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abaya_tourism" sheetId="1" r:id="rId5"/>
    <sheet state="visible" name="data200" sheetId="2" r:id="rId6"/>
    <sheet state="visible" name="hasil scrapping (belum ku cek)" sheetId="3" r:id="rId7"/>
    <sheet state="visible" name="Sheet8" sheetId="4" r:id="rId8"/>
    <sheet state="hidden" name="positional swaps" sheetId="5" r:id="rId9"/>
    <sheet state="hidden" name="Delection Random_surabaya_touri" sheetId="6" r:id="rId10"/>
    <sheet state="hidden" name="Sinonim" sheetId="7" r:id="rId11"/>
    <sheet state="hidden" name="tourism 5 kota" sheetId="8" r:id="rId12"/>
  </sheets>
  <definedNames>
    <definedName hidden="1" localSheetId="7" name="_xlnm._FilterDatabase">'tourism 5 kota'!$A$1:$K$438</definedName>
  </definedNames>
  <calcPr/>
</workbook>
</file>

<file path=xl/sharedStrings.xml><?xml version="1.0" encoding="utf-8"?>
<sst xmlns="http://schemas.openxmlformats.org/spreadsheetml/2006/main" count="14557" uniqueCount="6319">
  <si>
    <t xml:space="preserve"> Place_ID</t>
  </si>
  <si>
    <t>Place_Name</t>
  </si>
  <si>
    <t>Description</t>
  </si>
  <si>
    <t>Category</t>
  </si>
  <si>
    <t>Tags</t>
  </si>
  <si>
    <t>Review_count</t>
  </si>
  <si>
    <t>City</t>
  </si>
  <si>
    <t>Price</t>
  </si>
  <si>
    <t>Rating</t>
  </si>
  <si>
    <t>Open_Day</t>
  </si>
  <si>
    <t>Close_Day</t>
  </si>
  <si>
    <t>Open_time</t>
  </si>
  <si>
    <t>Close_time</t>
  </si>
  <si>
    <t>Coordinate</t>
  </si>
  <si>
    <t>Lat</t>
  </si>
  <si>
    <t>Long</t>
  </si>
  <si>
    <t>Google_Maps_URL</t>
  </si>
  <si>
    <t>Firstfloor Coffee</t>
  </si>
  <si>
    <t>Firstfloor Coffee merupakan kafe modern di Surabaya yang menawarkan suasana nyaman dengan desain interior minimalis dan estetik, menjadikannya pilihan favorit untuk bekerja, belajar, maupun bersantai. Kafe ini menyajikan beragam pilihan kopi, minuman non-kopi, serta aneka makanan ringan dan hidangan utama yang cocok dinikmati bersama teman atau keluarga. Dengan ambience yang tenang, pencahayaan yang nyaman, dan penataan ruang yang menarik, Firstfloor Coffee menjadi salah satu destinasi populer bagi pecinta kopi maupun pengunjung yang mencari tempat nongkrong yang cozy di Surabaya.</t>
  </si>
  <si>
    <t>Cafe</t>
  </si>
  <si>
    <t>Coffee Shop, Cafe, Specialty Coffee, Nongkrong, Cozy, Minimalist, Modern, Aesthetic, Instagramable, Spot Foto, Work Friendly, Study Friendly, WiFi, Kopi, Non-Coffee, Brunch, Kuliner, Santai, Meeting, Hangout, Couple Friendly, Family Friendly, Lifestyle, Surabaya.</t>
  </si>
  <si>
    <t>Surabaya</t>
  </si>
  <si>
    <t>25000-50000</t>
  </si>
  <si>
    <t>Senin - Minggu</t>
  </si>
  <si>
    <t>-7.2598901, 112.7393419</t>
  </si>
  <si>
    <t>https://www.google.com/maps/place/Firstfloor+Coffee/data=!4m7!3m6!1s0x2dd7f917b5dc05eb:0x37540165efe74421!8m2!3d-7.2598901!4d112.7393419!16s%2Fg%2F11lnmwdcj9!19sChIJ6wXctRf51y0RIUTn72UBVDc?authuser=0&amp;hl=zh-TW&amp;rclk=1</t>
  </si>
  <si>
    <t>ONNI House Surabaya</t>
  </si>
  <si>
    <t>ONNI House Surabaya merupakan kafe dan restoran berkonsep garden house yang memadukan pengalaman bersantap dengan suasana hijau yang asri dan dekorasi penuh bunga. Setiap sudutnya dirancang dengan sentuhan estetik bergaya modern dan natural, menjadikannya destinasi favorit untuk bersantai, berkumpul bersama keluarga maupun teman, hingga mengabadikan momen melalui foto. Selain menyajikan beragam hidangan dan minuman, ONNI House juga dikenal dengan atmosfernya yang hangat, nyaman, serta cocok untuk berbagai acara seperti brunch, perayaan, maupun afternoon tea.</t>
  </si>
  <si>
    <t>Cafe, Restaurant, Garden Cafe, Floral, Flower Decor, Greenery, Aesthetic, Instagramable, Spot Foto, Cozy, Brunch, Afternoon Tea, Coffee, Dessert, Kuliner, Nongkrong, Family Friendly, Couple Friendly, Gathering, Lifestyle, Indoor, Outdoor, Healing, Santai, Surabaya.</t>
  </si>
  <si>
    <t>50000-125000</t>
  </si>
  <si>
    <t>-7.2858283, 112.7331216</t>
  </si>
  <si>
    <t>https://www.google.com/maps/place/ONNI+House+Surabaya/data=!4m7!3m6!1s0x2dd7fbec9d70db87:0x13b94624fef33e59!8m2!3d-7.2858283!4d112.7331216!16s%2Fg%2F11bx1yxzkb!19sChIJh9twnez71y0RWT7z_iRGuRM?authuser=0&amp;hl=zh-TW&amp;rclk=1</t>
  </si>
  <si>
    <t>Pangsit Mie Ayam - Undaan Wetan</t>
  </si>
  <si>
    <t>Pangsit Mie Ayam – Undaan Wetan merupakan salah satu destinasi kuliner legendaris di Surabaya yang terkenal dengan sajian mi ayam bercita rasa khas dan pangsit yang gurih. Mi yang kenyal dipadukan dengan topping ayam berbumbu, kuah kaldu yang lezat, serta pelengkap seperti bakso dan pangsit menjadikannya favorit berbagai kalangan. Cita rasa yang konsisten dan porsi yang mengenyangkan membuat tempat ini menjadi pilihan banyak warga maupun wisatawan yang ingin menikmati hidangan mi ayam khas Surabaya.</t>
  </si>
  <si>
    <t>Kuliner</t>
  </si>
  <si>
    <t>Kuliner, Mie Ayam, Pangsit, Bakso, Chinese Food, Comfort Food, Kuliner Legendaris, Kuliner Surabaya, Makan Siang, Makan Malam, Kuah Kaldu, Mi Kenyal, Hidangan Hangat, Family Friendly, Casual Dining, Kuliner Lokal, Food Hunting, Wisata Kuliner, Enak, Favorit Warga, Surabaya.</t>
  </si>
  <si>
    <t>1-25000</t>
  </si>
  <si>
    <t>-7.2525207, 112.7446953</t>
  </si>
  <si>
    <t>https://www.google.com/maps/place/Undaan+Pangsit+Chicken+Noodles/data=!4m7!3m6!1s0x2dd7f969494cb457:0x8ce8227873785b5d!8m2!3d-7.2525207!4d112.7446953!16s%2Fg%2F1hm2wwfjz!19sChIJV7RMSWn51y0RXVt4c3gi6Iw?authuser=0&amp;hl=zh-TW&amp;rclk=1</t>
  </si>
  <si>
    <t>Bebek Canggih</t>
  </si>
  <si>
    <t>Bebek Canggih merupakan salah satu tempat makan populer di Surabaya yang dikenal dengan menu bebek goreng bercita rasa khas, daging yang empuk, serta kulit yang renyah. Hidangan disajikan bersama sambal yang pedas menggugah selera, lalapan segar, dan nasi hangat, menciptakan perpaduan rasa yang menjadi favorit para pecinta kuliner. Dengan suasana makan yang nyaman dan pilihan menu yang beragam, Bebek Canggih menjadi destinasi yang cocok untuk makan bersama keluarga, teman, maupun rekan kerja.</t>
  </si>
  <si>
    <t>Kuliner, Bebek Goreng, Bebek, Sambal Pedas, Kuliner Nusantara, Makanan Indonesia, Makan Siang, Makan Malam, Kuliner Surabaya, Food Hunting, Comfort Food, Lalapan, Nasi, Hidangan Gurih, Family Friendly, Casual Dining, Hangout, Favorit Warga, Wisata Kuliner, Surabaya.</t>
  </si>
  <si>
    <t>-7.2802789, 112.7494287</t>
  </si>
  <si>
    <t>https://www.google.com/maps/place/Bebek+Canggih/data=!4m7!3m6!1s0x2dd7fbc5bfd93de7:0x9a2c9b140a59c8e0!8m2!3d-7.2802789!4d112.7494287!16s%2Fg%2F11b69_r3p7!19sChIJ5z3Zv8X71y0R4MhZChSbLJo?authuser=0&amp;hl=zh-TW&amp;rclk=1</t>
  </si>
  <si>
    <t>Tunjungan Romansa</t>
  </si>
  <si>
    <t>Tunjungan Romansa adalah kawasan wisata pedestrian ikonik di jantung Kota Surabaya yang memanfaatkan koridor Jalan Tunjungan sebagai ruang publik kreatif. Dipenuhi instalasi seni, lampu hias warna-warni, dan dekorasi estetis, tempat ini menjadi favorit warga untuk berfoto dan bersantai di malam hari. Suasana romantis dan nostalgik kawasan ini membangkitkan kenangan kejayaan Jalan Tunjungan di masa lampau sebagai pusat perniagaan dan budaya Surabaya.</t>
  </si>
  <si>
    <t>Wisata</t>
  </si>
  <si>
    <t>Pedestrian, Wisata Malam, Night View, Lampu Hias, Aesthetic, Instagramable, Spot Foto, Fotografi, Couple Friendly, Family Friendly, Rekreasi, Healing, Santai, Landmark Surabaya, Wisata Gratis, Urban Tourism, City Walk, Ikonik, Pusat Kota, Surabaya.</t>
  </si>
  <si>
    <t>-7.260153182222541, 112.73950248957301</t>
  </si>
  <si>
    <t>https://www.google.com/maps/place/Tunjungan+Romansa/@-7.2603878,112.7395077,17z/data=!3m1!4b1!4m6!3m5!1s0x2dd7f9281642f615:0xb5af7c74a7d86b75!8m2!3d-7.2603878!4d112.7395077!16s%2Fg%2F11t82_qnz5?entry=ttu&amp;g_ep=EgoyMDI2MDYyOS4wIKXMDSoASAFQAw%3D%3D</t>
  </si>
  <si>
    <t>Calibre Coffee Roasters</t>
  </si>
  <si>
    <t>Calibre Coffee Roasters adalah kedai kopi spesialti yang mengutamakan kualitas biji kopi pilihan dari berbagai daerah di Indonesia dan mancanegara. Dengan proses roasting yang teliti dan barista berpengalaman, Calibre menyajikan cita rasa kopi yang konsisten dan berkualitas tinggi. Tempat ini menjadi destinasi favorit para pecinta kopi sejati di Surabaya yang menghargai proses dan kualitas di setiap cangkir.</t>
  </si>
  <si>
    <t>Specialty Coffee, Coffee Roaster, Third Wave Coffee, Kopi Spesialti, Pour Over, Espresso, Barista, Kopi Berkualitas, Hangout, Nongkrong, Aesthetic, Cozy, Work From Cafe, WFC, Coffee Enthusiast, Instagramable, Indoor, Lifestyle, Surabaya Pusat.</t>
  </si>
  <si>
    <t>-7.261025892481609, 112.74880975485473</t>
  </si>
  <si>
    <t>https://www.google.com/maps/place/Calibre+Coffee+Roasters/@-7.2612075,112.7488144,17z/data=!3m1!4b1!4m6!3m5!1s0x2dd7f96484aa2e85:0x9a8add2fb2242a50!8m2!3d-7.2612075!4d112.7488144!16s%2Fg%2F11bvvzglbt?entry=ttu&amp;g_ep=EgoyMDI2MDYyOS4wIKXMDSoASAFQAw%3D%3D</t>
  </si>
  <si>
    <t>Restaurant Sear</t>
  </si>
  <si>
    <t>Restaurant Sear merupakan restoran bergaya modern di Surabaya yang menawarkan pengalaman bersantap dengan suasana elegan dan nyaman. Dikenal dengan penyajian hidangan yang menarik serta pilihan menu yang beragam, restoran ini cocok untuk menikmati makan siang, makan malam, maupun momen spesial bersama keluarga, pasangan, atau kolega. Interior yang berkelas dipadukan dengan pelayanan yang baik menjadikan Restaurant Sear sebagai salah satu pilihan tempat bersantap yang ideal bagi pencinta kuliner dengan suasana premium.</t>
  </si>
  <si>
    <t>Restaurant, Fine Dining, Modern Restaurant, Casual Dining, Western Food, Steak, Grill, Seafood, Kuliner, Makan Siang, Makan Malam, Elegant, Cozy, Premium, Aesthetic, Instagramable, Family Friendly, Couple Friendly, Gathering, Business Meeting, Lifestyle, Wisata Kuliner, Surabaya.</t>
  </si>
  <si>
    <t>Selasa-Minggu</t>
  </si>
  <si>
    <t>Senin</t>
  </si>
  <si>
    <t>-7.2886644, 112.678333</t>
  </si>
  <si>
    <t>https://www.google.com/maps/place/Restaurant+Sear/data=!4m7!3m6!1s0x2dd7fd004ab4252b:0x7d4ae23cda281cab!8m2!3d-7.2886644!4d112.678333!16s%2Fg%2F11x2p_r1g6!19sChIJKyW0SgD91y0Rqxwo2jziSn0?authuser=0&amp;hl=zh-TW&amp;rclk=1</t>
  </si>
  <si>
    <t>Bakso Pak Djo</t>
  </si>
  <si>
    <t>Bakso Pak Djo merupakan salah satu tempat kuliner favorit di Surabaya yang menyajikan bakso dengan cita rasa gurih dan kuah kaldu yang kaya rasa. Beragam pilihan bakso, mulai dari bakso halus, bakso urat, hingga pelengkap seperti mi dan tahu, menjadikannya pilihan yang cocok untuk dinikmati kapan saja. Dengan porsi yang mengenyangkan, rasa yang konsisten, serta suasana makan yang sederhana dan nyaman, Bakso Pak Djo menjadi destinasi kuliner yang banyak diminati oleh warga maupun pengunjung di Surabaya.</t>
  </si>
  <si>
    <t>Kuliner, Bakso, Bakso Urat, Bakso Halus, Kuah Kaldu, Comfort Food, Makanan Indonesia, Kuliner Surabaya, Kuliner Lokal, Makan Siang, Makan Malam, Hidangan Hangat, Mi, Tahu, Food Hunting, Favorit Warga, Family Friendly, Casual Dining, Enak, Wisata Kuliner, Surabaya.</t>
  </si>
  <si>
    <t>Senin - Sabtu</t>
  </si>
  <si>
    <t>Minggu</t>
  </si>
  <si>
    <t>-7.2878148, 112.7682769</t>
  </si>
  <si>
    <t>https://www.google.com/maps/place/Pak+Djo+Meatball/data=!4m7!3m6!1s0x2dd7fa49a0442179:0x771a7f8dbd6f8188!8m2!3d-7.2878148!4d112.7682769!16s%2Fg%2F1pzv8tdtq!19sChIJeSFEoEn61y0RiIFvvY1_Gnc?authuser=0&amp;hl=zh-TW&amp;rclk=1</t>
  </si>
  <si>
    <t>Seafood cahaya 86 abah sholeh surabaya</t>
  </si>
  <si>
    <t>Seafood Cahaya 86 Abah Sholeh merupakan destinasi kuliner seafood di Surabaya yang menawarkan beragam hidangan laut segar dengan cita rasa khas. Menu seperti kepiting, udang, cumi, kerang, dan ikan diolah dengan berbagai pilihan bumbu, mulai dari saus padang, saus tiram, hingga saus asam manis yang menggugah selera. Dengan porsi yang cocok untuk dinikmati bersama dan suasana makan yang santai, tempat ini menjadi pilihan favorit bagi pecinta seafood untuk makan bersama keluarga, teman, maupun rombongan.</t>
  </si>
  <si>
    <t>Kuliner, Seafood, Kepiting, Udang, Cumi, Kerang, Ikan Bakar, Ikan Goreng, Saus Padang, Saus Tiram, Saus Asam Manis, Makanan Laut, Kuliner Surabaya, Makan Siang, Makan Malam, Family Friendly, Gathering, Food Hunting, Hidangan Nusantara, Casual Dining, Porsi Sharing, Wisata Kuliner, Surabaya.</t>
  </si>
  <si>
    <t>25000-75000</t>
  </si>
  <si>
    <t>-7.2748924, 112.7011636</t>
  </si>
  <si>
    <t>https://www.google.com/maps/place/Seafood+Cahaya+86/data=!4m7!3m6!1s0x2dd7fc0f6825d675:0xde02d59b91b9260c!8m2!3d-7.2748924!4d112.7011636!16s%2Fg%2F11f0kvgs4t!19sChIJddYlaA_81y0RDCa5kZvVAt4?authuser=0&amp;hl=zh-TW&amp;rclk=1</t>
  </si>
  <si>
    <t>Nasi Bebek &amp; Ayam Barokah</t>
  </si>
  <si>
    <t>Nasi Bebek &amp; Ayam Barokah merupakan salah satu tempat kuliner di Surabaya yang menyajikan hidangan bebek dan ayam dengan cita rasa khas serta bumbu yang meresap. Daging yang empuk dipadukan dengan sambal pedas, lalapan segar, dan nasi hangat menghadirkan pengalaman makan yang menggugah selera. Dengan porsi yang mengenyangkan, harga yang terjangkau, dan suasana makan yang sederhana serta nyaman, tempat ini menjadi pilihan favorit untuk makan siang maupun makan malam.</t>
  </si>
  <si>
    <t>Kuliner, Nasi Bebek, Nasi Ayam, Bebek Goreng, Ayam Goreng, Sambal Pedas, Lalapan, Makanan Indonesia, Kuliner Surabaya, Kuliner Lokal, Makan Siang, Makan Malam, Comfort Food, Hidangan Nusantara, Food Hunting, Favorit Warga, Casual Dining, Family Friendly, Harga Terjangkau, Wisata Kuliner, Surabaya.</t>
  </si>
  <si>
    <t>-7.2677907, 112.7492986</t>
  </si>
  <si>
    <t>https://www.google.com/maps/place/Nasi+Bebek+%26+Ayam+Barokah/data=!4m7!3m6!1s0x2dd7fbd86a6bb47b:0xdfea15ef4d6cf361!8m2!3d-7.2677907!4d112.7492986!16s%2Fg%2F11b66h7stx!19sChIJe7Rratj71y0RYfNsTe8V6t8?authuser=0&amp;hl=zh-TW&amp;rclk=1</t>
  </si>
  <si>
    <t>Bakso Royal</t>
  </si>
  <si>
    <t>Bakso Royal merupakan salah satu tempat kuliner bakso di Surabaya yang dikenal dengan sajian bakso bercita rasa gurih dan kuah kaldu yang kaya rasa. Tersedia berbagai pilihan bakso beserta pelengkap seperti mi, bihun, tahu, dan pangsit yang dapat dinikmati sesuai selera. Dengan porsi yang mengenyangkan, suasana makan yang nyaman, serta cita rasa yang konsisten, Bakso Royal menjadi pilihan favorit untuk menikmati hidangan hangat bersama keluarga maupun teman.</t>
  </si>
  <si>
    <t>Kuliner, Bakso, Bakso Urat, Bakso Halus, Kuah Kaldu, Mi, Bihun, Tahu, Pangsit, Comfort Food, Makanan Indonesia, Kuliner Surabaya, Kuliner Lokal, Makan Siang, Makan Malam, Hidangan Hangat, Food Hunting, Family Friendly, Casual Dining, Favorit Warga, Wisata Kuliner, Surabaya.</t>
  </si>
  <si>
    <t>-7.2576953, 112.7579731</t>
  </si>
  <si>
    <t>https://www.google.com/maps/place/Bakso+Royal/data=!4m7!3m6!1s0x2dd7f9799218adcd:0x1e8a0a4d511a823!8m2!3d-7.2576953!4d112.7579731!16s%2Fg%2F1hm1qh4bh!19sChIJza0Yknn51y0RI6gR1aSg6AE?authuser=0&amp;hl=zh-TW&amp;rclk=1</t>
  </si>
  <si>
    <t>Kakkoii All You Can Eat Japanese BBQ &amp; Shabu-Shabu, Surabaya, Adityawarman</t>
  </si>
  <si>
    <t>Kakkoii All You Can Eat Japanese BBQ &amp; Shabu-Shabu cabang Adityawarman merupakan restoran all you can eat di Surabaya yang menawarkan pengalaman menikmati Japanese BBQ dan shabu-shabu dalam satu tempat. Pengunjung dapat memilih beragam pilihan daging premium, seafood, sayuran segar, serta aneka pelengkap yang dapat dipanggang maupun direbus sesuai selera. Dengan suasana restoran yang modern dan nyaman, tempat ini cocok untuk makan bersama keluarga, teman, maupun acara perayaan dan gathering.</t>
  </si>
  <si>
    <t>125000-200000</t>
  </si>
  <si>
    <t>-7.2945121, 112.7326607</t>
  </si>
  <si>
    <t>https://www.google.com/maps/place/Kakkoii+Japanese+BBQ+%26+Shabu-Shabu/data=!4m7!3m6!1s0x2dd7fb0512db8239:0x13fc99f2ca58b515!8m2!3d-7.2945121!4d112.7326607!16s%2Fg%2F11r_xlr_r4!19sChIJOYLbEgX71y0RFbVYyvKZ_BM?authuser=0&amp;hl=zh-TW&amp;rclk=1</t>
  </si>
  <si>
    <t>Taman Cinta Kampus C Unair</t>
  </si>
  <si>
    <t>Taman Cinta Kampus C Unair merupakan ruang terbuka hijau yang berada di kawasan Kampus C Universitas Airlangga, Surabaya. Taman ini menawarkan suasana yang rindang, asri, dan tenang sehingga menjadi tempat favorit mahasiswa maupun masyarakat untuk bersantai, berolahraga ringan, belajar, atau menikmati udara segar. Dilengkapi dengan jalur pejalan kaki, area duduk, serta pepohonan yang teduh, taman ini menghadirkan lingkungan yang nyaman untuk melepas penat sekaligus menikmati suasana kampus yang hijau.</t>
  </si>
  <si>
    <t>Taman, Ruang Terbuka Hijau, Taman Kota, Kampus, Universitas Airlangga, Unair, Healing, Santai, Jogging, Jalan Santai, Piknik, Outdoor, Nature, Green Space, Rindang, Spot Foto, Family Friendly, Couple Friendly, Rekreasi, Edukasi, Wisata Gratis, Surabaya.</t>
  </si>
  <si>
    <t>-7.2691696, 112.7830632</t>
  </si>
  <si>
    <t>https://www.google.com/maps/place/Taman+Cinta+Kampus+C+Unair/data=!4m7!3m6!1s0x2dd7fb7a536922d3:0xa83e435692998200!8m2!3d-7.2691696!4d112.7830632!16s%2Fg%2F11q227v30c!19sChIJ0yJpU3r71y0RAIKZklZDPqg?authuser=0&amp;hl=zh-TW&amp;rclk=1</t>
  </si>
  <si>
    <t>Soto Ayam Cak To Merr</t>
  </si>
  <si>
    <t>Soto Ayam Cak To Merr merupakan salah satu destinasi kuliner di Surabaya yang menyajikan soto ayam dengan kuah gurih bercita rasa khas. Hidangan disajikan dengan potongan ayam, telur, soun, kol, dan pelengkap lainnya yang dipadukan dengan sambal, jeruk nipis, serta kerupuk untuk menambah kenikmatan. Dengan cita rasa yang konsisten, porsi yang mengenyangkan, dan suasana makan yang nyaman, tempat ini menjadi pilihan favorit untuk menikmati hidangan hangat saat sarapan, makan siang, maupun makan malam.</t>
  </si>
  <si>
    <t>Kuliner, Soto Ayam, Soto, Makanan Indonesia, Kuliner Surabaya, Kuliner Lokal, Kuah Gurih, Hidangan Hangat, Comfort Food, Sarapan, Makan Siang, Makan Malam, Ayam, Sambal, Kerupuk, Food Hunting, Favorit Warga, Casual Dining, Family Friendly, Wisata Kuliner, Surabaya.</t>
  </si>
  <si>
    <t>-7.2543638, 112.7823786</t>
  </si>
  <si>
    <t>https://www.google.com/maps/place/Soto+Ayam+Cak+To+Merr/data=!4m7!3m6!1s0x2dd7f98db5ea0291:0x9fda6f50ab519ae9!8m2!3d-7.2543638!4d112.7823786!16s%2Fg%2F11d_v3vpm9!19sChIJkQLqtY351y0R6ZpRq1Bv2p8?authuser=0&amp;hl=zh-TW&amp;rclk=1</t>
  </si>
  <si>
    <t>Warung Makan Mbak Yanti</t>
  </si>
  <si>
    <t>Warung Makan Mbak Yanti merupakan salah satu tempat makan di Surabaya yang menyajikan beragam hidangan khas Indonesia dengan cita rasa rumahan yang autentik. Pengunjung dapat menikmati aneka lauk dan sayur yang dimasak dengan bumbu khas, menjadikannya pilihan tepat untuk makan siang maupun makan malam. Dengan suasana yang sederhana, pelayanan yang ramah, serta harga yang terjangkau, warung ini menjadi favorit bagi warga sekitar yang mencari hidangan lezat dan mengenyangkan.</t>
  </si>
  <si>
    <t>Kuliner, Warung Makan, Masakan Indonesia, Masakan Rumahan, Kuliner Surabaya, Kuliner Lokal, Makanan Nusantara, Aneka Lauk, Sayur, Makan Siang, Makan Malam, Comfort Food, Harga Terjangkau, Food Hunting, Favorit Warga, Casual Dining, Family Friendly, Hidangan Tradisional, Wisata Kuliner, Surabaya.</t>
  </si>
  <si>
    <t>Minggu - Jumat</t>
  </si>
  <si>
    <t>Sabtu</t>
  </si>
  <si>
    <t>-7.275834, 112.7053885</t>
  </si>
  <si>
    <t>https://www.google.com/maps/place/Warung+Mbak+Yanti/data=!4m7!3m6!1s0x2dd7fc04faa0b2b5:0x32b6f57dc13536d5!8m2!3d-7.275834!4d112.7053885!16s%2Fg%2F11g69hrqy5!19sChIJtbKg-gT81y0R1TY1wX31tjI?authuser=0&amp;hl=zh-TW&amp;rclk=1</t>
  </si>
  <si>
    <t>Penyetan Mas Brooo spesial pedas</t>
  </si>
  <si>
    <t>Penyetan Mas Brooo Spesial Pedas merupakan tempat kuliner di Surabaya yang menyajikan aneka menu penyetan dengan cita rasa pedas yang menjadi daya tarik utamanya. Berbagai pilihan lauk seperti ayam, bebek, lele, nila, hingga tahu dan tempe disajikan bersama sambal khas, lalapan segar, dan nasi hangat. Dengan porsi yang mengenyangkan, pilihan tingkat kepedasan, serta suasana makan yang santai, tempat ini menjadi favorit bagi pecinta kuliner pedas untuk makan bersama keluarga maupun teman.</t>
  </si>
  <si>
    <t>Kuliner, Penyetan, Sambal Pedas, Spesial Pedas, Ayam Penyet, Bebek Penyet, Lele Penyet, Nila Penyet, Tahu Tempe, Lalapan, Makanan Indonesia, Kuliner Surabaya, Makan Siang, Makan Malam, Comfort Food, Food Hunting, Harga Terjangkau, Casual Dining, Family Friendly, Favorit Warga, Wisata Kuliner, Surabaya.</t>
  </si>
  <si>
    <t>-7.3002765, 112.7728283</t>
  </si>
  <si>
    <t>https://www.google.com/maps/place/Penyetan+Mas+Brooo+spesial+pedas/data=!4m7!3m6!1s0x2dd7fb981395fc49:0xc4acadfb3ab3c9e8!8m2!3d-7.3002765!4d112.7728283!16s%2Fg%2F11g14j3197!19sChIJSfyVE5j71y0R6MmzOvutrMQ?authuser=0&amp;hl=zh-TW&amp;rclk=1</t>
  </si>
  <si>
    <t>Penyetan Bu Tri</t>
  </si>
  <si>
    <t>Penyetan Bu Tri merupakan salah satu tempat kuliner di Surabaya yang terkenal dengan sajian penyetan khas Indonesia yang menggugah selera. Beragam pilihan lauk seperti ayam, bebek, ikan, lele, tahu, dan tempe disajikan bersama sambal khas yang pedas, lalapan segar, serta nasi hangat. Dengan cita rasa yang konsisten, porsi yang mengenyangkan, dan suasana makan yang sederhana namun nyaman, Penyetan Bu Tri menjadi pilihan favorit untuk menikmati hidangan khas Nusantara bersama keluarga maupun teman.</t>
  </si>
  <si>
    <t>Kuliner, Penyetan, Ayam Penyet, Bebek Penyet, Lele Penyet, Ikan Penyet, Sambal Pedas, Lalapan, Nasi, Makanan Indonesia, Kuliner Surabaya, Kuliner Lokal, Comfort Food, Makan Siang, Makan Malam, Food Hunting, Harga Terjangkau, Casual Dining, Family Friendly, Favorit Warga, Wisata Kuliner, Surabaya.</t>
  </si>
  <si>
    <t>-7.3434727, 112.7372855</t>
  </si>
  <si>
    <t>https://www.google.com/maps/place/Penyetan+Bu+Tri/data=!4m7!3m6!1s0x2dd7fb3094da652d:0xfa4c4dd6a58003d!8m2!3d-7.3434727!4d112.7372855!16s%2Fg%2F11q1s2fkt8!19sChIJLWXalDD71y0RPQBYat3EpA8?authuser=0&amp;hl=zh-TW&amp;rclk=1</t>
  </si>
  <si>
    <t>Kampoeng Lawas Maspati</t>
  </si>
  <si>
    <t>Kampoeng Lawas Maspati merupakan destinasi wisata kampung tematik di Surabaya yang menghadirkan nuansa kehidupan kota tempo dulu dengan tetap mempertahankan nilai sejarah dan budaya lokal. Pengunjung dapat menyusuri gang-gang yang tertata rapi, melihat rumah-rumah bersejarah, mural edukatif, serta berbagai koleksi benda bernilai historis yang menceritakan perjalanan masyarakat Surabaya. Selain menjadi tempat wisata edukasi, Kampoeng Lawas Maspati juga menawarkan pengalaman berinteraksi dengan warga, mengenal kearifan lokal, serta menikmati suasana kampung yang bersih, asri, dan penuh nilai budaya.</t>
  </si>
  <si>
    <t>Wisata Sejarah, Wisata Budaya, Kampung Wisata, Kampung Tematik, Heritage, Kampung Lawas, Edukasi, Sejarah Surabaya, Budaya Lokal, Arsitektur Tradisional, Mural, Spot Foto, Fotografi, Walking Tour, Family Friendly, Wisata Edukasi, Wisata Kota, Landmark Surabaya, Hidden Gem, Wisata Lokal, Surabaya.</t>
  </si>
  <si>
    <t>-7.2475283, 112.7341726</t>
  </si>
  <si>
    <t>https://www.google.com/maps/place/Kampoeng+Lawas+Maspati/data=!4m7!3m6!1s0x2dd7f940a6a92b13:0x68a328ac980e56c6!8m2!3d-7.2475283!4d112.7341726!16s%2Fg%2F11bwf76cw3!19sChIJEyuppkD51y0RxlYOmKwoo2g?authuser=0&amp;hl=zh-TW&amp;rclk=1</t>
  </si>
  <si>
    <t>Warung Penyetan Sido Mulyo Cak Benyamin - Surabaya Barat</t>
  </si>
  <si>
    <t>Warung Penyetan Sido Mulyo Cak Benyamin merupakan salah satu destinasi kuliner di Surabaya Barat yang dikenal dengan sajian penyetan khas Jawa Timur yang kaya rasa. Berbagai pilihan lauk seperti ayam, bebek, lele, ikan, hingga tahu dan tempe disajikan bersama sambal yang pedas, lalapan segar, dan nasi hangat. Cita rasa sambal yang khas serta porsi yang mengenyangkan menjadikan tempat ini favorit bagi pecinta makanan pedas. Dengan suasana warung yang sederhana dan nyaman, tempat ini cocok untuk makan bersama keluarga, teman, maupun rekan kerja.</t>
  </si>
  <si>
    <t>Kuliner, Penyetan, Ayam Penyet, Bebek Penyet, Lele Penyet, Ikan Penyet, Sambal Pedas, Lalapan, Makanan Jawa Timur, Makanan Indonesia, Kuliner Surabaya, Kuliner Surabaya Barat, Kuliner Lokal, Comfort Food, Makan Siang, Makan Malam, Food Hunting, Favorit Warga, Harga Terjangkau, Casual Dining, Family Friendly, Wisata Kuliner, Surabaya.</t>
  </si>
  <si>
    <t>-7.2742691, 112.636627</t>
  </si>
  <si>
    <t>https://www.google.com/maps/place/Warung+Penyetan+Sido+Mulyo+Cak+Benyamin+-+Surabaya+Barat/data=!4m7!3m6!1s0x2dd7fdc5f481751f:0x633517f72db5a6f1!8m2!3d-7.2742691!4d112.636627!16s%2Fg%2F11h3b2p1b7!19sChIJH3WB9MX91y0R8aa1LfcXNWM?authuser=0&amp;hl=zh-TW&amp;rclk=1</t>
  </si>
  <si>
    <t>Royal Plaza</t>
  </si>
  <si>
    <t>Pusat perbelanjaan yang populer di Surabaya Selatan dengan berbagai tenant fashion, kuliner, kebutuhan rumah tangga, dan hiburan keluarga.</t>
  </si>
  <si>
    <t>Pusat Perbelanjaan</t>
  </si>
  <si>
    <t>Shopping Mall, Lifestyle, Family Friendly, Fashion, Kuliner, Entertainment, Indoor, Urban Tourism</t>
  </si>
  <si>
    <t>50000-100000</t>
  </si>
  <si>
    <t>-7.3087384500779775, 112.73454686931356</t>
  </si>
  <si>
    <t>-7,3087384500779775</t>
  </si>
  <si>
    <t>112,73454686931356</t>
  </si>
  <si>
    <t>https://www.google.com/maps/place/bebek+semangat+royal+plaza/data=!4m7!3m6!1s0x2dd7fb0f988b2cf7:0x1f1bc631f42fc04a!8m2!3d-7.3092342!4d112.7346233!16s%2Fg%2F11pbyyvz6j!19sChIJ9yyLmA_71y0RSsAv9DHGGx8?authuser=0&amp;hl=zh-TW&amp;rclk=1</t>
  </si>
  <si>
    <t>Tempe Penyet C - Ho</t>
  </si>
  <si>
    <t>Tempe Penyet C-Ho merupakan salah satu tempat kuliner di Surabaya yang menyajikan hidangan penyetan dengan tempe sebagai menu andalan. Tempe yang digoreng hingga renyah disajikan bersama sambal khas yang pedas, lalapan segar, dan nasi hangat, menciptakan perpaduan rasa sederhana namun menggugah selera. Selain tempe penyet, tersedia pula beragam pilihan lauk pendamping yang cocok dinikmati untuk makan siang maupun makan malam. Dengan harga yang terjangkau dan suasana makan yang nyaman, tempat ini menjadi pilihan favorit bagi pencinta kuliner khas Nusantara.</t>
  </si>
  <si>
    <t>Kuliner, Tempe Penyet, Penyetan, Sambal Pedas, Tempe Goreng, Lalapan, Makanan Indonesia, Kuliner Surabaya, Kuliner Lokal, Comfort Food, Makan Siang, Makan Malam, Food Hunting, Harga Terjangkau, Casual Dining, Family Friendly, Favorit Warga, Hidangan Nusantara, Wisata Kuliner, Surabaya.</t>
  </si>
  <si>
    <t>-7.2660166, 112.7664359</t>
  </si>
  <si>
    <t>https://www.google.com/maps/place/Tempe+Penyet+C+-+Ho/data=!4m7!3m6!1s0x2dd7fa2a7bdc2fbf:0xb3643ef08b2d54fe!8m2!3d-7.2660166!4d112.7664359!16s%2Fg%2F11b67q3d05!19sChIJvy_ceyr61y0R_lQti_A-ZLM?authuser=0&amp;hl=zh-TW&amp;rclk=1</t>
  </si>
  <si>
    <t>Deja-Vu</t>
  </si>
  <si>
    <t>Deja-Vu Cafe merupakan kafe di Surabaya yang menghadirkan suasana modern dan nyaman untuk menikmati waktu bersama teman, keluarga, maupun pasangan. Dengan desain interior yang estetik dan ambience yang hangat, kafe ini menjadi tempat yang cocok untuk bekerja, belajar, atau sekadar bersantai. Deja-Vu Cafe menyajikan beragam pilihan kopi, minuman non-kopi, dessert, serta aneka hidangan yang dapat dinikmati sepanjang hari, menjadikannya salah satu destinasi favorit bagi pencinta kuliner dan gaya hidup di Surabaya.</t>
  </si>
  <si>
    <t>Cafe, Coffee Shop, Specialty Coffee, Kopi, Non-Coffee, Dessert, Brunch, Kuliner, Nongkrong, Cozy, Modern, Aesthetic, Instagramable, Spot Foto, Work Friendly, Study Friendly, WiFi, Hangout, Couple Friendly, Family Friendly, Lifestyle, Healing, Santai, Kuliner Surabaya, Surabaya.</t>
  </si>
  <si>
    <t>-7.2925846, 112.7512433</t>
  </si>
  <si>
    <t>https://www.google.com/maps/place/DEJAVU/data=!4m7!3m6!1s0x2dd7f964f3215fdf:0x6e4c656f316f9727!8m2!3d-7.2925846!4d112.7512433!16s%2Fg%2F119vrtf56!19sChIJ318h82T51y0RJ5dvMW9lTG4?authuser=0&amp;hl=zh-TW&amp;rclk=1</t>
  </si>
  <si>
    <t>Sate Kelopo Ondomohen Bu Asih</t>
  </si>
  <si>
    <t>Sate Kelopo Ondomohen Bu Asih merupakan salah satu kuliner legendaris di Surabaya yang terkenal dengan sajian sate kelopo khas Jawa Timur. Keunikan hidangan ini terletak pada baluran parutan kelapa berbumbu yang dibakar bersama daging sehingga menghasilkan cita rasa gurih, aroma khas, dan tekstur yang berbeda dari sate pada umumnya. Selain sate daging sapi dan ayam, pengunjung juga dapat menikmati berbagai pilihan sate lainnya beserta pelengkap seperti lontong dan bumbu kacang. Dengan cita rasa autentik yang telah dikenal luas, tempat ini menjadi destinasi wajib bagi pecinta wisata kuliner di Surabaya.</t>
  </si>
  <si>
    <t>Kuliner, Sate Kelopo, Sate, Kuliner Legendaris, Kuliner Khas Surabaya, Kuliner Jawa Timur, Makanan Tradisional, Makanan Indonesia, Daging Sapi, Ayam, Kelapa Parut, Bumbu Kacang, Lontong, Food Hunting, Wisata Kuliner, Kuliner Lokal, Makan Siang, Makan Malam, Comfort Food, Family Friendly, Favorit Warga, Ikonik, Surabaya.</t>
  </si>
  <si>
    <t>-7.2601075, 112.7442245</t>
  </si>
  <si>
    <t>https://www.google.com/maps/place/Sate+Kelopo+Ondomohen+Bu+Asih/data=!4m7!3m6!1s0x2dd7f96423a1d5af:0xc7570172dd94b50c!8m2!3d-7.2601075!4d112.7442245!16s%2Fg%2F11b6djmjp3!19sChIJr9WhI2T51y0RDLWU3XIBV8c?authuser=0&amp;hl=zh-TW&amp;rclk=1</t>
  </si>
  <si>
    <t>Taman Rungkut Menanggal</t>
  </si>
  <si>
    <t>Taman Rungkut Menanggal merupakan salah satu ruang terbuka hijau di Surabaya yang menjadi tempat favorit warga untuk berolahraga, bersantai, dan menikmati suasana yang asri. Dilengkapi dengan pepohonan rindang, jalur pejalan kaki, area duduk, serta ruang terbuka yang nyaman, taman ini cocok untuk berbagai aktivitas luar ruangan seperti jogging, berjalan santai, maupun berkumpul bersama keluarga. Lingkungannya yang bersih dan sejuk menjadikan Taman Rungkut Menanggal sebagai pilihan ideal untuk melepas penat di tengah kesibukan kota.</t>
  </si>
  <si>
    <t>Taman, Taman Kota, Ruang Terbuka Hijau, RTH, Rekreasi, Healing, Santai, Jogging, Jalan Santai, Olahraga, Outdoor, Nature, Green Space, Pepohonan Rindang, Family Friendly, Couple Friendly, Piknik, Spot Foto, Wisata Gratis, Wisata Kota, Surabaya.</t>
  </si>
  <si>
    <t>-7.3385112, 112.7673209</t>
  </si>
  <si>
    <t>https://www.google.com/maps/place/Taman+Rungkut+Menanggal/data=!4m7!3m6!1s0x2dd7fbe9f736566f:0xa8394d160a441174!8m2!3d-7.3385112!4d112.7673209!16s%2Fg%2F11gvz8p0qk!19sChIJb1Y29-n71y0RdBFEChZNOag?authuser=0&amp;hl=zh-TW&amp;rclk=1</t>
  </si>
  <si>
    <t>Titik Koma Grand Eastern</t>
  </si>
  <si>
    <t>Titik Koma Grand Eastern merupakan kafe modern di Surabaya yang menawarkan suasana nyaman dengan konsep interior minimalis dan estetik. Kafe ini menjadi pilihan favorit untuk menikmati kopi, bekerja, belajar, maupun berkumpul bersama teman dan keluarga berkat ambience yang tenang serta fasilitas yang mendukung. Selain menyajikan berbagai pilihan kopi dan minuman non-kopi, Titik Koma juga menawarkan aneka makanan ringan dan hidangan yang cocok dinikmati sepanjang hari, menjadikannya destinasi yang ideal untuk bersantai maupun menghabiskan waktu produktif.</t>
  </si>
  <si>
    <t>Cafe, Coffee Shop, Specialty Coffee, Kopi, Non-Coffee, Brunch, Dessert, Kuliner, Nongkrong, Cozy, Modern, Minimalist, Aesthetic, Instagramable, Spot Foto, Work Friendly, Study Friendly, WiFi, Hangout, Couple Friendly, Family Friendly, Lifestyle, Healing, Kuliner Surabaya, Surabaya.</t>
  </si>
  <si>
    <t>-7.2917597, 112.812315</t>
  </si>
  <si>
    <t>https://www.google.com/maps/place/Titik+Koma+Grand+Eastern/data=!4m7!3m6!1s0x2dd7f9acfbd7f011:0x16ba722caf2aaa48!8m2!3d-7.2917597!4d112.812315!16s%2Fg%2F11vl92d_v6!19sChIJEfDX-6z51y0RSKoqryxyuhY?authuser=0&amp;hl=zh-TW&amp;rclk=1</t>
  </si>
  <si>
    <t>Dining Club</t>
  </si>
  <si>
    <t>Dining Club merupakan restoran modern di Surabaya yang menghadirkan pengalaman bersantap dengan suasana elegan dan nyaman. Menawarkan beragam pilihan hidangan serta minuman, restoran ini cocok untuk makan siang, makan malam, maupun merayakan momen spesial bersama keluarga, pasangan, atau rekan kerja. Dengan interior yang berkelas, pelayanan yang ramah, dan atmosfer yang hangat, Dining Club menjadi salah satu pilihan destinasi kuliner untuk menikmati pengalaman makan yang berkesan di Surabaya.</t>
  </si>
  <si>
    <t>Restaurant, Modern Restaurant, Casual Dining, Fine Dining, Kuliner, Makan Siang, Makan Malam, Western Food, Asian Food, Fusion Food, Elegant, Cozy, Premium, Aesthetic, Instagramable, Family Friendly, Couple Friendly, Gathering, Business Meeting, Celebration, Lifestyle, Kuliner Surabaya, Wisata Kuliner, Surabaya.</t>
  </si>
  <si>
    <t>100000-250000</t>
  </si>
  <si>
    <t>-7.2732746, 112.7466362</t>
  </si>
  <si>
    <t>https://www.google.com/maps/place/Dining+Club/data=!4m7!3m6!1s0x2dd7fbcca0de2fc5:0x31cb3e65f32c26be!8m2!3d-7.2732746!4d112.7466362!16s%2Fg%2F11rw7m2tqn!19sChIJxS_eoMz71y0RviYs82U-yzE?authuser=0&amp;hl=zh-TW&amp;rclk=1</t>
  </si>
  <si>
    <t>Pangsit Mie Ayam Jakarta Sidomoro Pak Yanto</t>
  </si>
  <si>
    <t>Pangsit Mie Ayam Jakarta Sidomoro Pak Yanto merupakan salah satu tempat kuliner di Surabaya yang menyajikan mi ayam dengan cita rasa khas serta pangsit yang gurih dan renyah. Mi bertekstur kenyal dipadukan dengan topping ayam berbumbu, kuah kaldu yang lezat, serta pelengkap seperti bakso, pangsit, dan sawi, menghasilkan hidangan yang nikmat dan mengenyangkan. Dengan rasa yang konsisten, porsi yang pas, serta suasana makan yang sederhana dan nyaman, tempat ini menjadi pilihan favorit bagi pecinta mi ayam di Surabaya.</t>
  </si>
  <si>
    <t>Kuliner, Mie Ayam, Pangsit, Pangsit Goreng, Bakso, Kuah Kaldu, Mi Kenyal, Comfort Food, Makanan Indonesia, Kuliner Surabaya, Kuliner Lokal, Makan Siang, Makan Malam, Food Hunting, Hidangan Hangat, Family Friendly, Casual Dining, Favorit Warga, Harga Terjangkau, Wisata Kuliner, Surabaya.</t>
  </si>
  <si>
    <t>-7.2465379, 112.7572979</t>
  </si>
  <si>
    <t>https://www.google.com/maps/place/Pangsit+Mie+Ayam+Jakarta+Sidomoro+Pak+Yanto/data=!4m7!3m6!1s0x2dd7f9bf6a25c30d:0xd477ade52da9f54f!8m2!3d-7.2465379!4d112.7572979!16s%2Fg%2F11glwgp4zk!19sChIJDcMlar_51y0RT_WpLeWtd9Q?authuser=0&amp;hl=zh-TW&amp;rclk=1</t>
  </si>
  <si>
    <t>Warung Kuning - Kalibokor</t>
  </si>
  <si>
    <t>Warung Kuning – Kalibokor merupakan salah satu tempat kuliner di Surabaya yang dikenal dengan beragam sajian masakan khas Indonesia bercita rasa rumahan. Pengunjung dapat menikmati aneka pilihan lauk, sayur, dan hidangan pendamping yang disajikan segar dengan bumbu khas, cocok untuk makan siang maupun makan malam. Dengan suasana yang sederhana, pelayanan yang ramah, serta harga yang terjangkau, Warung Kuning menjadi pilihan favorit bagi warga sekitar yang mencari hidangan lezat dan mengenyangkan.</t>
  </si>
  <si>
    <t>Kuliner, Warung Makan, Masakan Indonesia, Masakan Rumahan, Aneka Lauk, Makanan Nusantara, Kuliner Surabaya, Kuliner Lokal, Comfort Food, Makan Siang, Makan Malam, Food Hunting, Harga Terjangkau, Casual Dining, Family Friendly, Favorit Warga, Hidangan Tradisional, Wisata Kuliner, Kalibokor, Surabaya.</t>
  </si>
  <si>
    <t>-7.2877322, 112.7624485</t>
  </si>
  <si>
    <t>https://www.google.com/maps/place/Warung+Kuning/data=!4m7!3m6!1s0x2dd7fbb5316dd829:0xbbd99620398a695d!8m2!3d-7.2877322!4d112.7624485!16s%2Fg%2F11b6xgd_g2!19sChIJKdhtMbX71y0RXWmKOSCW2bs?authuser=0&amp;hl=zh-TW&amp;rclk=1</t>
  </si>
  <si>
    <t>Sentra Wisata Kuliner Tanah Merah Kenjeran</t>
  </si>
  <si>
    <t>Sentra Wisata Kuliner Tanah Merah Kenjeran merupakan kawasan kuliner di Surabaya yang menghadirkan beragam pilihan makanan dan minuman khas dengan suasana yang ramai dan nyaman. Pengunjung dapat menemukan aneka hidangan mulai dari masakan tradisional, makanan laut, jajanan, hingga minuman segar dalam satu lokasi. Berada di kawasan Kenjeran, sentra kuliner ini menjadi pilihan favorit untuk menikmati wisata kuliner bersama keluarga maupun teman sambil merasakan suasana khas pesisir Surabaya.</t>
  </si>
  <si>
    <t>Sentra Kuliner, Wisata Kuliner, Kuliner, Kuliner Surabaya, Kuliner Kenjeran, Food Court, Aneka Kuliner, Seafood, Makanan Indonesia, Jajanan, Minuman, Makan Siang, Makan Malam, Family Friendly, Gathering, Food Hunting, Kuliner Lokal, Pesisir, Rekreasi, Wisata Kota, Favorit Warga, Surabaya.</t>
  </si>
  <si>
    <t>-7.2266081, 112.7684107</t>
  </si>
  <si>
    <t>https://www.google.com/maps/place/Wisata+Kuliner+Tanah+Merah/data=!4m7!3m6!1s0x2dd7f9ab60aa8085:0x305de8d002dd4d1a!8m2!3d-7.2266081!4d112.7684107!16s%2Fg%2F11cjj09sbv!19sChIJhYCqYKv51y0RGk3dAtDoXTA?authuser=0&amp;hl=zh-TW&amp;rclk=1</t>
  </si>
  <si>
    <t>Crab N Co Restaurant</t>
  </si>
  <si>
    <t>Crab N Co Restaurant merupakan restoran seafood di Surabaya yang menawarkan pengalaman bersantap dengan hidangan laut segar dan beragam pilihan saus khas. Menu andalannya meliputi kepiting, udang, kerang, cumi, dan lobster yang disajikan dengan bumbu seperti saus cajun, garlic butter, black pepper, hingga saus pedas yang kaya cita rasa. Dengan konsep makan seafood yang praktis dan suasana restoran yang modern serta nyaman, Crab N Co menjadi pilihan tepat untuk makan bersama keluarga, teman, maupun merayakan momen spesial.</t>
  </si>
  <si>
    <t>Restaurant, Seafood, Kepiting, Crab, Udang, Kerang, Cumi, Lobster, Cajun Seafood, Garlic Butter, Black Pepper, Saus Pedas, Seafood Boil, Makanan Laut, Modern Restaurant, Casual Dining, Family Friendly, Couple Friendly, Gathering, Dinner, Food Hunting, Kuliner Surabaya, Wisata Kuliner, Surabaya.</t>
  </si>
  <si>
    <t>-7.2868057, 112.6470856</t>
  </si>
  <si>
    <t>https://www.google.com/maps/place/Crab+N+Co+Restaurant/data=!4m7!3m6!1s0x2dd7fdda680f2979:0x9994aaf04ca801c1!8m2!3d-7.2868057!4d112.6470856!16s%2Fg%2F11pckj51zh!19sChIJeSkPaNr91y0RwQGoTPCqlJk?authuser=0&amp;hl=zh-TW&amp;rclk=1</t>
  </si>
  <si>
    <t>Cafe Rooftop Mibimibi</t>
  </si>
  <si>
    <t>Cafe Rooftop Mibimibi merupakan kafe rooftop di Surabaya yang menawarkan suasana santai dengan pemandangan kota dari ketinggian. Mengusung konsep modern dan estetik, kafe ini menjadi tempat favorit untuk menikmati waktu bersama teman, pasangan, maupun keluarga, terutama saat sore hingga malam hari. Beragam pilihan kopi, minuman non-kopi, camilan, dan hidangan utama tersedia untuk melengkapi pengalaman bersantai. Dengan ambience yang nyaman dan panorama city view yang menarik, Cafe Rooftop Mibimibi menjadi destinasi yang cocok untuk nongkrong maupun mengabadikan momen.</t>
  </si>
  <si>
    <t>Cafe, Rooftop Cafe, Coffee Shop, City View, Night View, Sunset Spot, Kopi, Non-Coffee, Dessert, Brunch, Kuliner, Nongkrong, Cozy, Modern, Aesthetic, Instagramable, Spot Foto, Hangout, Couple Friendly, Family Friendly, Lifestyle, Healing, Outdoor Seating, Kuliner Surabaya, Surabaya.</t>
  </si>
  <si>
    <t>-7.2638032, 112.7173132</t>
  </si>
  <si>
    <t>https://www.google.com/maps/place/Cafe+Rooftop+Mibimibi/data=!4m7!3m6!1s0x2dd7f9e724054b91:0xf13717e3a4986c97!8m2!3d-7.2638032!4d112.7173132!16s%2Fg%2F11f9v7p_wt!19sChIJkUsFJOf51y0Rl2yYpOMXN_E?authuser=0&amp;hl=zh-TW&amp;rclk=1</t>
  </si>
  <si>
    <t>Shigoto Coffee - Dukuh Kupang Barat</t>
  </si>
  <si>
    <t>Shigoto Coffee – Dukuh Kupang Barat merupakan kafe modern di Surabaya yang menawarkan suasana nyaman dengan desain interior minimalis dan estetik. Kafe ini menjadi pilihan ideal untuk bekerja, belajar, mengadakan pertemuan, maupun bersantai bersama teman dan keluarga berkat ambience yang tenang dan fasilitas yang mendukung. Menyajikan berbagai pilihan specialty coffee, minuman non-kopi, serta aneka makanan dan camilan, Shigoto Coffee menghadirkan pengalaman menikmati kopi dalam suasana yang hangat dan nyaman.</t>
  </si>
  <si>
    <t>Cafe, Coffee Shop, Specialty Coffee, Kopi, Non-Coffee, Brunch, Dessert, Kuliner, Nongkrong, Cozy, Modern, Minimalist, Aesthetic, Instagramable, Spot Foto, Work Friendly, Study Friendly, WiFi, Meeting, Hangout, Couple Friendly, Family Friendly, Lifestyle, Kuliner Surabaya, Surabaya.</t>
  </si>
  <si>
    <t>-7.2838563, 112.7082899</t>
  </si>
  <si>
    <t>https://www.google.com/maps/place/Shigoto+Coffee+-+Dukuh+Kupang+Barat/data=!4m7!3m6!1s0x2dd7fdf00defde55:0x6a3f5adc286e7b47!8m2!3d-7.2838563!4d112.7082899!16s%2Fg%2F11wj95kjqf!19sChIJVd7vDfD91y0RR3tuKNxaP2o?authuser=0&amp;hl=zh-TW&amp;rclk=1</t>
  </si>
  <si>
    <t>Sentra Wisata Kuliner Kapas Krampung</t>
  </si>
  <si>
    <t>Sentra Wisata Kuliner Kapas Krampung merupakan kawasan kuliner di Surabaya yang menghadirkan beragam pilihan makanan dan minuman dalam satu lokasi. Pengunjung dapat menikmati aneka hidangan khas Nusantara, jajanan, hingga minuman segar dengan suasana yang ramai dan nyaman, terutama pada sore hingga malam hari. Dengan banyaknya tenant kuliner yang tersedia, tempat ini menjadi destinasi favorit bagi warga untuk berburu makanan, berkumpul bersama keluarga atau teman, serta menikmati suasana kuliner khas Surabaya.</t>
  </si>
  <si>
    <t>Sentra Kuliner, Wisata Kuliner, Kuliner, Food Court, Kuliner Surabaya, Kuliner Lokal, Aneka Kuliner, Makanan Indonesia, Jajanan, Street Food, Minuman, Food Hunting, Makan Siang, Makan Malam, Nongkrong, Family Friendly, Gathering, Harga Terjangkau, Favorit Warga, Wisata Kota, Rekreasi, Surabaya.</t>
  </si>
  <si>
    <t>-7.252782, 112.7670666</t>
  </si>
  <si>
    <t>https://www.google.com/maps/place/Kapas+Krampung+Street+Food+Culinary+Center,+Surabaya/data=!4m7!3m6!1s0x2dd7f99c5c107609:0x29d363e56fe4453a!8m2!3d-7.252782!4d112.7670666!16s%2Fg%2F11c325y6rd!19sChIJCXYQXJz51y0ROkXkb-Vj0yk?authuser=0&amp;hl=zh-TW&amp;rclk=1</t>
  </si>
  <si>
    <t>Warung sumber rejeki (Rawon Bu Sri)</t>
  </si>
  <si>
    <t>Warung Sumber Rejeki (Rawon Bu Sri) merupakan salah satu tempat kuliner di Surabaya yang dikenal dengan sajian rawon khas Jawa Timur bercita rasa autentik. Kuah rawon yang kaya rempah dengan warna hitam khas dari kluwek dipadukan dengan potongan daging sapi yang empuk, nasi hangat, tauge pendek, sambal, dan pelengkap lainnya menciptakan hidangan yang gurih dan menggugah selera. Dengan cita rasa yang konsisten, suasana warung yang sederhana dan nyaman, serta harga yang terjangkau, tempat ini menjadi favorit bagi pecinta kuliner tradisional di Surabaya.</t>
  </si>
  <si>
    <t>Kuliner, Rawon, Rawon Bu Sri, Makanan Jawa Timur, Makanan Indonesia, Daging Sapi, Kluwek, Kuah Gurih, Kuliner Surabaya, Kuliner Lokal, Kuliner Legendaris, Hidangan Tradisional, Comfort Food, Makan Siang, Makan Malam, Food Hunting, Family Friendly, Casual Dining, Harga Terjangkau, Wisata Kuliner, Surabaya.</t>
  </si>
  <si>
    <t>-7.2764531, 112.7058434</t>
  </si>
  <si>
    <t>https://www.google.com/maps/place/Warung+sumber+rejeki+%28Rawon+Bu+Sri%29/data=!4m7!3m6!1s0x2dd7fc05026fe349:0xa178b0cb3465d620!8m2!3d-7.2764531!4d112.7058434!16s%2Fg%2F11gcf3xwvm!19sChIJSeNvAgX81y0RINZlNMuweKE?authuser=0&amp;hl=zh-TW&amp;rclk=1</t>
  </si>
  <si>
    <t>Penyetan Bu NUR</t>
  </si>
  <si>
    <t>Penyetan Bu NUR merupakan salah satu tempat kuliner di Surabaya yang menyajikan aneka hidangan penyetan khas Jawa Timur dengan cita rasa autentik. Beragam pilihan lauk seperti ayam, bebek, lele, ikan, tahu, dan tempe disajikan bersama sambal khas yang pedas, lalapan segar, serta nasi hangat. Perpaduan bumbu yang meresap, porsi yang mengenyangkan, dan suasana makan yang sederhana namun nyaman menjadikan tempat ini pilihan favorit untuk menikmati hidangan Nusantara bersama keluarga maupun teman.</t>
  </si>
  <si>
    <t>Kuliner, Penyetan, Ayam Penyet, Bebek Penyet, Lele Penyet, Ikan Penyet, Tahu Tempe, Sambal Pedas, Lalapan, Makanan Jawa Timur, Makanan Indonesia, Kuliner Surabaya, Kuliner Lokal, Comfort Food, Makan Siang, Makan Malam, Food Hunting, Harga Terjangkau, Casual Dining, Family Friendly, Favorit Warga, Wisata Kuliner, Surabaya.</t>
  </si>
  <si>
    <t>1-50000</t>
  </si>
  <si>
    <t>-7.2974774, 112.7331763</t>
  </si>
  <si>
    <t>https://www.google.com/maps/place/Penyetan+Bu+NUR/data=!4m7!3m6!1s0x2dd7fb4c7fe1ee5f:0x7445d9f8c1c32203!8m2!3d-7.2974774!4d112.7331763!16s%2Fg%2F11fjtl95zq!19sChIJX-7hf0z71y0RAyLDwfjZRXQ?authuser=0&amp;hl=zh-TW&amp;rclk=1</t>
  </si>
  <si>
    <t>Penyetan Spesial Sambel Uleg Cak Naryo II</t>
  </si>
  <si>
    <t>Penyetan Spesial Sambel Uleg Cak Naryo II merupakan salah satu tempat kuliner di Surabaya yang terkenal dengan sajian penyetan khas Jawa Timur dan sambal uleg yang dibuat segar setiap hari. Beragam pilihan lauk seperti ayam, bebek, lele, ikan, tahu, dan tempe disajikan bersama sambal pedas, lalapan segar, serta nasi hangat yang menggugah selera. Dengan cita rasa yang khas, porsi yang mengenyangkan, dan suasana makan yang nyaman, tempat ini menjadi favorit bagi pecinta makanan pedas untuk makan siang maupun makan malam.</t>
  </si>
  <si>
    <t>Kuliner, Penyetan, Sambal Uleg, Sambal Pedas, Ayam Penyet, Bebek Penyet, Lele Penyet, Ikan Penyet, Tahu Tempe, Lalapan, Makanan Jawa Timur, Makanan Indonesia, Kuliner Surabaya, Kuliner Lokal, Comfort Food, Makan Siang, Makan Malam, Food Hunting, Harga Terjangkau, Casual Dining, Family Friendly, Favorit Warga, Wisata Kuliner, Surabaya.</t>
  </si>
  <si>
    <t>-7.3135353, 112.6968003</t>
  </si>
  <si>
    <t>https://www.google.com/maps/place/Penyetan+Spesial+Sambel+Uleg+Cak+Naryo/data=!4m7!3m6!1s0x2dd7fc89489610e3:0xdd3f2561bba4ded8!8m2!3d-7.3135353!4d112.6968003!16s%2Fg%2F11cm4h7np8!19sChIJ4xCWSIn81y0R2N6ku2ElP90?authuser=0&amp;hl=zh-TW&amp;rclk=1</t>
  </si>
  <si>
    <t>Hari Hari Restaurant</t>
  </si>
  <si>
    <t>Hari Hari Restaurant merupakan restoran di Surabaya yang menyajikan beragam hidangan dengan cita rasa khas Asia dan Indonesia dalam suasana yang nyaman dan modern. Restoran ini menjadi pilihan tepat untuk makan siang, makan malam, maupun berkumpul bersama keluarga, teman, atau rekan kerja. Dengan pilihan menu yang beragam, pelayanan yang ramah, serta suasana yang hangat dan bersih, Hari Hari Restaurant menawarkan pengalaman bersantap yang menyenangkan bagi berbagai kalangan.</t>
  </si>
  <si>
    <t>Restaurant, Asian Food, Indonesian Food, Chinese Food, Kuliner, Makan Siang, Makan Malam, Casual Dining, Family Friendly, Gathering, Business Meeting, Comfort Food, Aneka Menu, Modern Restaurant, Cozy, Kuliner Surabaya, Food Hunting, Celebration, Wisata Kuliner, Surabaya.</t>
  </si>
  <si>
    <t>50000-75000</t>
  </si>
  <si>
    <t>-7.287681, 112.731984</t>
  </si>
  <si>
    <t>https://www.google.com/maps/place/Hari+Hari+Restaurant/data=!4m7!3m6!1s0x2dd7fb934cbf946f:0x8dc307166bbd4da7!8m2!3d-7.287681!4d112.731984!16s%2Fg%2F1hc1v5f3z!19sChIJb5S_TJP71y0Rp029axYHw40?authuser=0&amp;hl=zh-TW&amp;rclk=1</t>
  </si>
  <si>
    <t>Seirama Kafe</t>
  </si>
  <si>
    <t>Seirama Kafe merupakan kafe di Surabaya yang menawarkan suasana hangat dan nyaman untuk bersantai, bekerja, maupun berkumpul bersama teman dan keluarga. Mengusung konsep modern dengan sentuhan interior yang estetik, kafe ini menghadirkan ambience yang mendukung untuk menikmati waktu santai maupun aktivitas produktif. Beragam pilihan kopi, minuman non-kopi, camilan, dessert, dan hidangan utama tersedia untuk melengkapi pengalaman bersantap, menjadikan Seirama Kafe sebagai salah satu destinasi favorit bagi pencinta kopi dan gaya hidup di Surabaya.</t>
  </si>
  <si>
    <t>Cafe, Coffee Shop, Specialty Coffee, Kopi, Non-Coffee, Dessert, Brunch, Kuliner, Nongkrong, Cozy, Modern, Aesthetic, Instagramable, Spot Foto, Work Friendly, Study Friendly, WiFi, Hangout, Couple Friendly, Family Friendly, Lifestyle, Healing, Meeting, Kuliner Surabaya, Surabaya.</t>
  </si>
  <si>
    <t>-7.2587001, 112.7828312</t>
  </si>
  <si>
    <t>https://www.google.com/maps/place/Seirama+Kafe/data=!4m7!3m6!1s0x2dd7f94d14cc66a1:0xb305433d980803dc!8m2!3d-7.2587001!4d112.7828312!16s%2Fg%2F11ny0m53xr!19sChIJoWbMFE351y0R3AMImD1DBbM?authuser=0&amp;hl=zh-TW&amp;rclk=1</t>
  </si>
  <si>
    <t>Bakso Solo Rindu Malam</t>
  </si>
  <si>
    <t>Bakso Solo Rindu Malam merupakan salah satu tempat kuliner di Surabaya yang menyajikan bakso khas Solo dengan cita rasa gurih dan kuah kaldu yang kaya rasa. Beragam pilihan bakso disajikan bersama mi, bihun, tahu, serta pelengkap lainnya, menghasilkan hidangan hangat yang cocok dinikmati kapan saja, terutama pada malam hari. Dengan porsi yang mengenyangkan, rasa yang konsisten, dan suasana makan yang sederhana namun nyaman, tempat ini menjadi favorit bagi pecinta bakso dan kuliner malam di Surabaya.</t>
  </si>
  <si>
    <t>Kuliner, Bakso, Bakso Solo, Kuah Kaldu, Mi, Bihun, Tahu, Comfort Food, Makanan Indonesia, Kuliner Surabaya, Kuliner Lokal, Kuliner Malam, Makan Malam, Makan Siang, Hidangan Hangat, Food Hunting, Harga Terjangkau, Casual Dining, Family Friendly, Favorit Warga, Wisata Kuliner, Surabaya.</t>
  </si>
  <si>
    <t>-7.2956457, 112.7333035</t>
  </si>
  <si>
    <t>https://www.google.com/maps/place/Rindu+Malam+Solo%27s+Meatballs/data=!4m7!3m6!1s0x2dd7fb972c8289b3:0xd235ac96aa9c53d2!8m2!3d-7.2956457!4d112.7333035!16s%2Fg%2F1hm4v8tn6!19sChIJs4mCLJf71y0R0lOcqpasNdI?authuser=0&amp;hl=zh-TW&amp;rclk=1</t>
  </si>
  <si>
    <t>Depot Singaraja pak Gede</t>
  </si>
  <si>
    <t>Depot Singaraja Pak Gede merupakan salah satu tempat kuliner di Surabaya yang menyajikan hidangan khas Bali dengan cita rasa autentik dan kaya rempah. Beragam menu seperti ayam betutu, nasi campur Bali, sate lilit, serta aneka lauk tradisional diolah dengan bumbu khas yang meresap dan menggugah selera. Dengan suasana makan yang sederhana namun nyaman, porsi yang mengenyangkan, serta cita rasa yang konsisten, Depot Singaraja Pak Gede menjadi pilihan favorit bagi pecinta kuliner khas Bali di Surabaya.</t>
  </si>
  <si>
    <t>Kuliner, Depot, Masakan Bali, Kuliner Bali, Nasi Campur Bali, Ayam Betutu, Sate Lilit, Makanan Indonesia, Kuliner Surabaya, Kuliner Lokal, Rempah Nusantara, Comfort Food, Makan Siang, Makan Malam, Food Hunting, Hidangan Tradisional, Casual Dining, Family Friendly, Favorit Warga, Wisata Kuliner, Surabaya.</t>
  </si>
  <si>
    <t>-7.2497684, 112.741108</t>
  </si>
  <si>
    <t>https://www.google.com/maps/place/Depot+Singaraja+Pak+Gede/data=!4m7!3m6!1s0x2dd7f96a561e3cad:0x1e4a35b872b0c0fd!8m2!3d-7.2497684!4d112.741108!16s%2Fg%2F11b6d41l69!19sChIJrTweVmr51y0R_cCwcrg1Sh4?authuser=0&amp;hl=zh-TW&amp;rclk=1</t>
  </si>
  <si>
    <t>Yoi Kona 2.0</t>
  </si>
  <si>
    <t>Yoi Kona 2.0 merupakan kafe modern di Surabaya yang menawarkan suasana nyaman dengan konsep interior minimalis dan estetik. Kafe ini menjadi tempat yang cocok untuk menikmati kopi, bekerja, belajar, maupun berkumpul bersama teman dan keluarga. Selain menghadirkan berbagai pilihan specialty coffee dan minuman non-kopi, Yoi Kona 2.0 juga menyajikan aneka makanan ringan, dessert, dan hidangan utama yang dapat dinikmati sepanjang hari. Dengan ambience yang hangat dan desain yang menarik, kafe ini menjadi salah satu destinasi favorit untuk bersantai dan menikmati gaya hidup urban di Surabaya.</t>
  </si>
  <si>
    <t>Cafe, Coffee Shop, Specialty Coffee, Kopi, Non-Coffee, Dessert, Brunch, Kuliner, Nongkrong, Cozy, Modern, Minimalist, Aesthetic, Instagramable, Spot Foto, Work Friendly, Study Friendly, WiFi, Hangout, Couple Friendly, Family Friendly, Lifestyle, Healing, Kuliner Surabaya, Surabaya.</t>
  </si>
  <si>
    <t>-7.26979, 112.744348</t>
  </si>
  <si>
    <t>https://www.google.com/maps/place/Yoi+Kona+2.0/data=!4m7!3m6!1s0x2dd7fb9ffc2cde45:0x5fdf9347e67f4747!8m2!3d-7.26979!4d112.744348!16s%2Fg%2F11thbyp200!19sChIJRd4s_J_71y0RR0d_5keT318?authuser=0&amp;hl=zh-TW&amp;rclk=1</t>
  </si>
  <si>
    <t>Bebini Gelati Café</t>
  </si>
  <si>
    <t>Bebini Gelati Café merupakan kafe di Surabaya yang dikenal dengan sajian gelato artisan serta suasana yang modern dan estetik. Menghadirkan berbagai pilihan rasa gelato, dessert, kopi, dan minuman non-kopi, kafe ini menjadi tempat yang cocok untuk bersantai bersama teman, keluarga, maupun pasangan. Dengan interior yang nyaman, pencahayaan yang hangat, dan dekorasi yang menarik, Bebini Gelati Café menawarkan pengalaman menikmati hidangan penutup dalam suasana yang menyenangkan dan ramah untuk berbagai kalangan.</t>
  </si>
  <si>
    <t>Cafe, Gelato, Artisan Gelato, Dessert, Ice Cream, Coffee Shop, Kopi, Non-Coffee, Sweet Treats, Brunch, Kuliner, Nongkrong, Cozy, Modern, Aesthetic, Instagramable, Spot Foto, Hangout, Couple Friendly, Family Friendly, Lifestyle, Dessert Cafe, Kuliner Surabaya, Surabaya.</t>
  </si>
  <si>
    <t>-7.2671004, 112.7706514</t>
  </si>
  <si>
    <t>https://www.google.com/maps/place/Bebini+Gelati+Caf%C3%A9/data=!4m7!3m6!1s0x2dd7fa29bce687cd:0xf93f5938ee2b3c55!8m2!3d-7.2671004!4d112.7706514!16s%2Fg%2F11cs16gvqc!19sChIJzYfmvCn61y0RVTwr7jhZP_k?authuser=0&amp;hl=zh-TW&amp;rclk=1</t>
  </si>
  <si>
    <t>BAKSO PUTRA MANTEP</t>
  </si>
  <si>
    <t>Bakso Putra Mantep merupakan salah satu tempat kuliner bakso di Surabaya yang menyajikan bakso dengan cita rasa gurih dan kuah kaldu yang kaya akan rempah. Beragam pilihan bakso, mulai dari bakso halus, bakso urat, hingga pelengkap seperti mi, bihun, tahu, dan pangsit, menjadikan hidangan semakin nikmat dan mengenyangkan. Dengan rasa yang konsisten, harga yang terjangkau, serta suasana makan yang sederhana dan nyaman, Bakso Putra Mantep menjadi pilihan favorit bagi pecinta bakso untuk menikmati hidangan hangat kapan saja.</t>
  </si>
  <si>
    <t>Kuliner, Bakso, Bakso Urat, Bakso Halus, Kuah Kaldu, Mi, Bihun, Tahu, Pangsit, Comfort Food, Makanan Indonesia, Kuliner Surabaya, Kuliner Lokal, Makan Siang, Makan Malam, Hidangan Hangat, Food Hunting, Harga Terjangkau, Casual Dining, Family Friendly, Favorit Warga, Wisata Kuliner, Surabaya.</t>
  </si>
  <si>
    <t>-7.249548, 112.7827012</t>
  </si>
  <si>
    <t>https://www.google.com/maps/place/Bakso+Putra+Mantep/data=!4m7!3m6!1s0x2dd7f9937f8f8da5:0xea0d61976529b232!8m2!3d-7.249548!4d112.7827012!16s%2Fg%2F11g6rbhsff!19sChIJpY2Pf5P51y0RMrIpZZdhDeo?authuser=0&amp;hl=zh-TW&amp;rclk=1</t>
  </si>
  <si>
    <t>Bakso Iwan Prasmanan Cabang Arjuno</t>
  </si>
  <si>
    <t>Bakso Iwan Prasmanan Cabang Arjuno merupakan salah satu tempat kuliner bakso di Surabaya yang menawarkan konsep prasmanan, sehingga pengunjung dapat memilih sendiri berbagai jenis bakso dan pelengkap sesuai selera. Tersedia aneka pilihan seperti bakso halus, bakso urat, tahu, siomay, pangsit, mi, bihun, hingga sayuran yang disajikan dengan kuah kaldu gurih dan hangat. Dengan pilihan menu yang beragam, porsi yang dapat disesuaikan, serta suasana makan yang nyaman, tempat ini menjadi favorit bagi pecinta bakso untuk menikmati hidangan yang lezat dan mengenyangkan.</t>
  </si>
  <si>
    <t>Kuliner, Bakso, Bakso Prasmanan, Prasmanan, Bakso Urat, Bakso Halus, Kuah Kaldu, Mi, Bihun, Tahu, Siomay, Pangsit, Comfort Food, Makanan Indonesia, Kuliner Surabaya, Kuliner Lokal, Makan Siang, Makan Malam, Food Hunting, Family Friendly, Casual Dining, Favorit Warga, Wisata Kuliner, Surabaya.</t>
  </si>
  <si>
    <t>-7.265728, 112.7272991</t>
  </si>
  <si>
    <t>https://www.google.com/maps/place/Bakso+Iwan+Prasmanan+Cabang+Arjuno/data=!4m7!3m6!1s0x2dd7f9582881e7b7:0xb91ba50e315b993f!8m2!3d-7.265728!4d112.7272991!16s%2Fg%2F11ggbrsvm4!19sChIJt-eBKFj51y0RP5lbMQ6lG7k?authuser=0&amp;hl=zh-TW&amp;rclk=1</t>
  </si>
  <si>
    <t>Pantai Ria</t>
  </si>
  <si>
    <t>Pantai Ria merupakan salah satu destinasi wisata pesisir di kawasan Surabaya yang menawarkan suasana pantai yang tenang dan cocok untuk bersantai bersama keluarga maupun teman. Pengunjung dapat menikmati semilir angin laut, pemandangan perairan, serta suasana khas kawasan pesisir yang memberikan pengalaman rekreasi di tengah kota. Pantai ini juga menjadi pilihan untuk berjalan santai, menikmati matahari terbenam, berfoto, maupun sekadar melepas penat sambil menikmati panorama laut.</t>
  </si>
  <si>
    <t>Pantai, Wisata Pantai, Wisata Alam, Wisata Pesisir, Laut, Sunset, Sunrise, Pemandangan Laut, Rekreasi, Healing, Santai, Jalan Santai, Outdoor, Spot Foto, Fotografi, Family Friendly, Couple Friendly, Wisata Kota, Wisata Gratis, Nature, Surabaya.</t>
  </si>
  <si>
    <t>-7.2509164, 112.8009332</t>
  </si>
  <si>
    <t>https://www.google.com/maps/place/Ria+Beach+Kenjeran/data=!4m7!3m6!1s0x2e79be2f20f43191:0xad5c2fdaadec1f28!8m2!3d-7.2509164!4d112.8009332!16s%2Fg%2F1tj3hh0v!19sChIJkTH0IC--eS4RKB_srdovXK0?authuser=0&amp;hl=zh-TW&amp;rclk=1</t>
  </si>
  <si>
    <t>Warung Bu Kris</t>
  </si>
  <si>
    <t>Warung Bu Kris merupakan salah satu tempat kuliner legendaris di Surabaya yang terkenal dengan aneka hidangan penyetan khas Jawa Timur. Berbagai pilihan lauk seperti ayam, bebek, empal, iga, ikan, hingga tahu dan tempe disajikan bersama sambal khas yang pedas, lalapan segar, dan nasi hangat. Cita rasa sambalnya yang khas, porsi yang mengenyangkan, serta kualitas hidangan yang konsisten menjadikan Warung Bu Kris sebagai favorit warga maupun wisatawan yang ingin menikmati kuliner khas Surabaya.</t>
  </si>
  <si>
    <t>Kuliner, Warung Makan, Penyetan, Ayam Penyet, Bebek Penyet, Iga Penyet, Empal Penyet, Lele Penyet, Ikan Penyet, Sambal Pedas, Lalapan, Makanan Jawa Timur, Makanan Indonesia, Kuliner Legendaris, Kuliner Surabaya, Food Hunting, Comfort Food, Makan Siang, Makan Malam, Family Friendly, Casual Dining, Wisata Kuliner, Surabaya.</t>
  </si>
  <si>
    <t>-7.2777432, 112.7653907</t>
  </si>
  <si>
    <t>https://www.google.com/maps/place/Warung+Bu+Kris/data=!4m7!3m6!1s0x2dd7fa33986b16fb:0xd8f806fb14ca632a!8m2!3d-7.2777432!4d112.7653907!16s%2Fg%2F1hc16bbtr!19sChIJ-xZrmDP61y0RKmPKFPsG-Ng?authuser=0&amp;hl=zh-TW&amp;rclk=1</t>
  </si>
  <si>
    <t>Mie Pitik dan Bakso "Barcelona"</t>
  </si>
  <si>
    <t>Mie Pitik dan Bakso "Barcelona" merupakan salah satu destinasi kuliner di Surabaya yang menyajikan mi ayam (mie pitik) dan bakso dengan cita rasa khas yang menggugah selera. Mi bertekstur kenyal dipadukan dengan topping ayam berbumbu, sementara bakso disajikan dengan kuah kaldu yang gurih serta berbagai pelengkap seperti tahu, pangsit, dan mi. Dengan porsi yang mengenyangkan, rasa yang konsisten, serta suasana makan yang nyaman dan sederhana, tempat ini menjadi pilihan favorit untuk menikmati hidangan hangat bersama keluarga maupun teman.</t>
  </si>
  <si>
    <t>Kuliner, Mie Ayam, Mie Pitik, Bakso, Kuah Kaldu, Mi Kenyal, Pangsit, Tahu, Comfort Food, Makanan Indonesia, Kuliner Surabaya, Kuliner Lokal, Makan Siang, Makan Malam, Hidangan Hangat, Food Hunting, Family Friendly, Casual Dining, Harga Terjangkau, Favorit Warga, Wisata Kuliner, Surabaya.</t>
  </si>
  <si>
    <t>-7.272653, 112.7660788</t>
  </si>
  <si>
    <t>https://www.google.com/maps/place/Mie+Pitik+dan+Bakso+%22Barcelona%22/data=!4m7!3m6!1s0x2dd7fbaf67abd88f:0x631c7b12e7c77c34!8m2!3d-7.272653!4d112.7660788!16s%2Fg%2F11f6y6pk2n!19sChIJj9irZ6_71y0RNHzH5xJ7HGM?authuser=0&amp;hl=zh-TW&amp;rclk=1</t>
  </si>
  <si>
    <t>jawa garden alam park</t>
  </si>
  <si>
    <t>Jawa Garden Alam Park merupakan destinasi wisata keluarga di Surabaya yang menghadirkan konsep ruang terbuka hijau dengan perpaduan taman, area rekreasi, dan suasana alam yang asri. Pengunjung dapat menikmati berbagai sudut taman yang tertata rapi, area bermain, serta spot-spot menarik untuk bersantai dan berfoto. Dengan lingkungan yang sejuk, fasilitas yang ramah keluarga, dan suasana yang nyaman, Jawa Garden Alam Park menjadi pilihan tepat untuk rekreasi, menghabiskan waktu bersama keluarga, maupun menikmati suasana alam di tengah kota.</t>
  </si>
  <si>
    <t>Taman, Wisata Keluarga, Wisata Alam, Taman Kota, Ruang Terbuka Hijau, Rekreasi, Healing, Santai, Green Space, Nature, Outdoor, Spot Foto, Instagramable, Fotografi, Family Friendly, Couple Friendly, Area Bermain, Piknik, Wisata Kota, Rekreasi Outdoor, Surabaya.</t>
  </si>
  <si>
    <t>-7.28882, 112.7386058</t>
  </si>
  <si>
    <t>https://www.google.com/maps/place/jawa+garden+alam+park/data=!4m7!3m6!1s0x2dd7fb4a0c010479:0x597a8bd203ca78b9!8m2!3d-7.28882!4d112.7386058!16s%2Fg%2F11y5gy948q!19sChIJeQQBDEr71y0RuXjKA9KLelk?authuser=0&amp;hl=zh-TW&amp;rclk=1</t>
  </si>
  <si>
    <t>Soto Madura Dan Soto Ayam H. Syafik Arief Rahman Hakim (Warung Makan Soto, Soto Madura Asli, Soto Daging Madura, Soto Ayam)</t>
  </si>
  <si>
    <t>Soto Madura dan Soto Ayam H. Syafik Arief Rahman Hakim merupakan salah satu tempat kuliner di Surabaya yang menyajikan soto khas Madura dan soto ayam dengan cita rasa autentik. Hidangan disajikan dengan kuah yang gurih dan kaya rempah, dipadukan dengan pilihan daging sapi atau ayam, serta pelengkap seperti telur, soun, kentang, dan sambal yang menambah kelezatan. Dengan resep khas yang konsisten, porsi yang mengenyangkan, dan suasana warung yang nyaman, tempat ini menjadi favorit bagi pecinta kuliner tradisional untuk menikmati hidangan hangat sepanjang hari.</t>
  </si>
  <si>
    <t>Kuliner, Soto Madura, Soto Ayam, Soto Daging, Makanan Madura, Makanan Indonesia, Kuliner Surabaya, Kuliner Lokal, Kuah Gurih, Hidangan Hangat, Comfort Food, Daging Sapi, Ayam, Sarapan, Makan Siang, Makan Malam, Food Hunting, Family Friendly, Casual Dining, Wisata Kuliner, Surabaya.</t>
  </si>
  <si>
    <t>-7.2893881, 112.7785537</t>
  </si>
  <si>
    <t>https://www.google.com/maps/place/Soto+Madura+Dan+Soto+Ayam+H.+Syafik+Arief+Rahman+Hakim+%28Warung+Makan+Soto,+Soto+Madura+Asli,+Soto+Daging+Madura,+Soto+Ayam%29/data=!4m7!3m6!1s0x2dd7fa4691d3c2bb:0x5b2a071aed9641e8!8m2!3d-7.2893881!4d112.7785537!16s%2Fg%2F11cn8ys_0n!19sChIJu8LTkUb61y0R6EGW7RoHKls?authuser=0&amp;hl=zh-TW&amp;rclk=1</t>
  </si>
  <si>
    <t>Warung NOW</t>
  </si>
  <si>
    <t>Warung NOW merupakan salah satu tempat kuliner di Surabaya yang menyajikan beragam hidangan khas Indonesia dengan cita rasa rumahan yang autentik. Pengunjung dapat menikmati aneka pilihan lauk, sayur, serta menu harian yang diolah dengan bumbu khas dan disajikan dalam suasana sederhana namun nyaman. Dengan porsi yang mengenyangkan, harga yang terjangkau, dan pelayanan yang ramah, Warung NOW menjadi pilihan tepat untuk makan siang maupun makan malam bersama keluarga, teman, atau rekan kerja.</t>
  </si>
  <si>
    <t>Kuliner, Warung Makan, Masakan Indonesia, Masakan Rumahan, Aneka Lauk, Makanan Nusantara, Kuliner Surabaya, Kuliner Lokal, Comfort Food, Makan Siang, Makan Malam, Food Hunting, Harga Terjangkau, Casual Dining, Family Friendly, Favorit Warga, Hidangan Tradisional, Wisata Kuliner, Surabaya.</t>
  </si>
  <si>
    <t>Senin - Jumat</t>
  </si>
  <si>
    <t>Sabtu - Minggu</t>
  </si>
  <si>
    <t>-7.2583138, 112.7486017</t>
  </si>
  <si>
    <t>https://www.google.com/maps/place/Warung+NOW/data=!4m7!3m6!1s0x2dd7f9650fb0f459:0x8ac0313d2d88db48!8m2!3d-7.2583138!4d112.7486017!16s%2Fg%2F11g9jgv5_x!19sChIJWfSwD2X51y0RSNuILT0xwIo?authuser=0&amp;hl=zh-TW&amp;rclk=1</t>
  </si>
  <si>
    <t>Kopitagram - Tenggilis</t>
  </si>
  <si>
    <t>Kopitagram – Tenggilis merupakan kafe modern di Surabaya yang menawarkan suasana nyaman dengan desain interior estetik dan ambience yang hangat. Kafe ini menjadi tempat yang ideal untuk menikmati kopi, bekerja, belajar, maupun berkumpul bersama teman dan keluarga. Beragam pilihan specialty coffee, minuman non-kopi, dessert, serta hidangan ringan dan makanan utama tersedia untuk menemani waktu bersantai. Dengan fasilitas yang mendukung dan suasana yang cozy, Kopitagram menjadi salah satu destinasi favorit untuk nongkrong di kawasan Tenggilis.</t>
  </si>
  <si>
    <t>Cafe, Coffee Shop, Specialty Coffee, Kopi, Non-Coffee, Dessert, Brunch, Kuliner, Nongkrong, Cozy, Modern, Aesthetic, Instagramable, Spot Foto, Work Friendly, Study Friendly, WiFi, Hangout, Couple Friendly, Family Friendly, Lifestyle, Healing, Kuliner Surabaya, Tenggilis, Surabaya.</t>
  </si>
  <si>
    <t>-7.3200278, 112.7552781</t>
  </si>
  <si>
    <t>https://www.google.com/maps/place/Kopitagram+-+Tenggilis/data=!4m7!3m6!1s0x2dd7fb461c410641:0xa2dea7517df8c426!8m2!3d-7.3200278!4d112.7552781!16s%2Fg%2F11sfbb4yg0!19sChIJQQZBHEb71y0RJsT4fVGn3qI?authuser=0&amp;hl=zh-TW&amp;rclk=1</t>
  </si>
  <si>
    <t>Bakso Pajero Surabaya</t>
  </si>
  <si>
    <t>Bakso Pajero Surabaya merupakan salah satu tempat kuliner bakso yang populer di Surabaya dengan sajian bakso bercita rasa gurih dan kuah kaldu yang kaya rasa. Tersedia berbagai pilihan bakso serta pelengkap seperti mi, bihun, tahu, pangsit, dan sayuran yang dapat dinikmati dalam satu mangkuk hidangan hangat. Dengan porsi yang mengenyangkan, rasa yang konsisten, serta suasana makan yang nyaman, Bakso Pajero menjadi pilihan favorit bagi pecinta bakso untuk makan siang, makan malam, maupun berkumpul bersama keluarga dan teman.</t>
  </si>
  <si>
    <t>Kuliner, Bakso, Bakso Urat, Bakso Halus, Kuah Kaldu, Mi, Bihun, Tahu, Pangsit, Comfort Food, Makanan Indonesia, Kuliner Surabaya, Kuliner Lokal, Makan Siang, Makan Malam, Hidangan Hangat, Food Hunting, Casual Dining, Family Friendly, Favorit Warga, Wisata Kuliner, Surabaya.</t>
  </si>
  <si>
    <t>-7.2721265, 112.7562419</t>
  </si>
  <si>
    <t>https://www.google.com/maps/place/Bakso+Pajero+Surabaya/data=!4m7!3m6!1s0x2dd7fb0be360f129:0x57bbdd344fd6388d!8m2!3d-7.2721265!4d112.7562419!16s%2Fg%2F11n4xhr2zs!19sChIJKfFg4wv71y0RjTjWTzTdu1c?authuser=0&amp;hl=zh-TW&amp;rclk=1</t>
  </si>
  <si>
    <t>Pangsit Mie Ayam Jakarta Anugerah Jaya CAK RUL</t>
  </si>
  <si>
    <t>Pangsit Mie Ayam Jakarta Anugerah Jaya Cak Rul merupakan salah satu tempat kuliner di Surabaya yang menyajikan mi ayam bergaya Jakarta dengan cita rasa gurih dan porsi yang mengenyangkan. Mi yang kenyal dipadukan dengan topping ayam berbumbu, kuah kaldu yang lezat, serta pelengkap seperti pangsit, bakso, dan sawi, menghasilkan hidangan yang cocok dinikmati kapan saja. Dengan rasa yang konsisten, harga yang terjangkau, dan suasana makan yang sederhana namun nyaman, tempat ini menjadi favorit bagi pecinta mi ayam di Surabaya.</t>
  </si>
  <si>
    <t>Kuliner, Mie Ayam, Pangsit, Pangsit Mie, Bakso, Kuah Kaldu, Mi Kenyal, Comfort Food, Makanan Indonesia, Kuliner Surabaya, Kuliner Lokal, Makan Siang, Makan Malam, Hidangan Hangat, Food Hunting, Harga Terjangkau, Casual Dining, Family Friendly, Favorit Warga, Wisata Kuliner, Surabaya.</t>
  </si>
  <si>
    <t>-7.3359633, 112.6996374</t>
  </si>
  <si>
    <t>https://www.google.com/maps/place/Pangsit+Mie+Ayam+Jakarta+Anugerah+Jaya+CAK+RUL/data=!4m7!3m6!1s0x2dd7fdaf528c91e9:0x64222e18a4f5e156!8m2!3d-7.3359633!4d112.6996374!16s%2Fg%2F11gnt99f51!19sChIJ6ZGMUq_91y0RVuH1pBguImQ?authuser=0&amp;hl=zh-TW&amp;rclk=1</t>
  </si>
  <si>
    <t>Rawon Pak Pangat Wonokromo</t>
  </si>
  <si>
    <t>Rawon Pak Pangat Wonokromo merupakan salah satu kuliner legendaris di Surabaya yang terkenal dengan sajian rawon khas Jawa Timur bercita rasa autentik. Kuah hitam yang kaya rempah dari kluwek dipadukan dengan potongan daging sapi yang empuk, serta disajikan bersama nasi, tauge pendek, sambal, telur asin, dan pelengkap lainnya. Cita rasa yang konsisten, aroma rempah yang khas, serta porsi yang mengenyangkan menjadikan tempat ini favorit warga maupun wisatawan yang ingin menikmati rawon khas Surabaya.</t>
  </si>
  <si>
    <t>Kuliner, Rawon, Rawon Pak Pangat, Kuliner Legendaris, Makanan Jawa Timur, Makanan Indonesia, Daging Sapi, Kluwek, Kuah Gurih, Kuliner Surabaya, Kuliner Lokal, Comfort Food, Hidangan Tradisional, Makan Siang, Makan Malam, Food Hunting, Favorit Warga, Casual Dining, Family Friendly, Wisata Kuliner, Surabaya.</t>
  </si>
  <si>
    <t>-7.3246861, 112.7254193</t>
  </si>
  <si>
    <t>https://www.google.com/maps/place/Rawon+Pak+Pangat/data=!4m7!3m6!1s0x2dd7fb6646d42f51:0x402f071492005ab4!8m2!3d-7.3246861!4d112.7254193!16s%2Fg%2F1hm36f846!19sChIJUS_URmb71y0RtFoAkhQHL0A?authuser=0&amp;hl=zh-TW&amp;rclk=1</t>
  </si>
  <si>
    <t>Bakso Dumbo Surabaya</t>
  </si>
  <si>
    <t>Bakso Dumbo Surabaya merupakan salah satu tempat kuliner bakso yang dikenal dengan sajian bakso berukuran besar serta cita rasa gurih yang khas. Hidangan disajikan dengan kuah kaldu yang kaya rasa, dilengkapi pilihan mi, bihun, tahu, pangsit, dan pelengkap lainnya yang membuat setiap porsi semakin mengenyangkan. Dengan kualitas rasa yang konsisten, suasana makan yang nyaman, dan menu yang beragam, Bakso Dumbo menjadi destinasi favorit bagi pecinta bakso untuk menikmati hidangan hangat bersama keluarga maupun teman.</t>
  </si>
  <si>
    <t>Kuliner, Bakso, Bakso Jumbo, Bakso Dumbo, Bakso Urat, Kuah Kaldu, Mi, Bihun, Tahu, Pangsit, Comfort Food, Makanan Indonesia, Kuliner Surabaya, Kuliner Lokal, Makan Siang, Makan Malam, Hidangan Hangat, Food Hunting, Casual Dining, Family Friendly, Favorit Warga, Wisata Kuliner, Surabaya.</t>
  </si>
  <si>
    <t>5.0</t>
  </si>
  <si>
    <t>-7.2987308, 112.7319486</t>
  </si>
  <si>
    <t>https://www.google.com/maps/place/Bakso+Dumbo+Surabaya/data=!4m7!3m6!1s0x2dd7fbc56202d9f1:0xf47975510c1e42a7!8m2!3d-7.2987308!4d112.7319486!16s%2Fg%2F11ys1636px!19sChIJ8dkCYsX71y0Rp0IeDFF1efQ?authuser=0&amp;hl=zh-TW&amp;rclk=1</t>
  </si>
  <si>
    <t>Warung Nasi Pak Ghofar</t>
  </si>
  <si>
    <t>Warung Nasi Pak Ghofar merupakan salah satu tempat makan di Surabaya yang menyajikan hidangan nasi dengan berbagai lauk khas masakan Indonesia bercita rasa rumahan. Pengunjung dapat memilih aneka lauk seperti ayam, telur, tempe, tahu, hingga sayur yang dimasak dengan bumbu sederhana namun kaya rasa. Dengan suasana warung yang sederhana, porsi yang mengenyangkan, serta harga yang terjangkau, Warung Nasi Pak Ghofar menjadi pilihan favorit untuk makan sehari-hari bagi warga sekitar.</t>
  </si>
  <si>
    <t>Kuliner, Warung Nasi, Masakan Indonesia, Masakan Rumahan, Aneka Lauk, Nasi Campur, Kuliner Surabaya, Kuliner Lokal, Comfort Food, Makan Siang, Makan Malam, Sarapan, Food Hunting, Harga Terjangkau, Casual Dining, Family Friendly, Favorit Warga, Hidangan Tradisional, Wisata Kuliner, Surabaya.</t>
  </si>
  <si>
    <t>Selasa - Sabtu</t>
  </si>
  <si>
    <t>Minggu - Senin</t>
  </si>
  <si>
    <t>-7.2752225, 112.6867139</t>
  </si>
  <si>
    <t>https://www.google.com/maps/place/Warung+Pak+Ghofar/data=!4m7!3m6!1s0x2dd7fc23e72ee2d3:0x4ea46a0214682904!8m2!3d-7.2752225!4d112.6867139!16s%2Fg%2F11btxc_0wc!19sChIJ0-Iu5yP81y0RBCloFAJqpE4?authuser=0&amp;hl=zh-TW&amp;rclk=1</t>
  </si>
  <si>
    <t>Warong penyetan Ponorogo</t>
  </si>
  <si>
    <t>Warong Penyetan Ponorogo merupakan salah satu tempat kuliner di Surabaya yang menyajikan aneka hidangan penyetan khas Jawa Timur dengan cita rasa autentik. Berbagai pilihan lauk seperti ayam, bebek, lele, ikan, tahu, dan tempe disajikan bersama sambal pedas khas, lalapan segar, serta nasi hangat yang menggugah selera. Dengan bumbu yang meresap, porsi yang mengenyangkan, dan suasana makan yang sederhana namun nyaman, tempat ini menjadi pilihan favorit bagi pecinta makanan pedas untuk menikmati hidangan khas Nusantara.</t>
  </si>
  <si>
    <t>Kuliner, Penyetan, Ayam Penyet, Bebek Penyet, Lele Penyet, Ikan Penyet, Sambal Pedas, Lalapan, Makanan Jawa Timur, Makanan Indonesia, Kuliner Surabaya, Kuliner Lokal, Comfort Food, Makan Siang, Makan Malam, Food Hunting, Harga Terjangkau, Casual Dining, Family Friendly, Favorit Warga, Wisata Kuliner, Surabaya.</t>
  </si>
  <si>
    <t>-7.2625496, 112.7354527</t>
  </si>
  <si>
    <t>https://www.google.com/maps/place/Warong+penyetan+Ponorogo/data=!4m7!3m6!1s0x2dd7f9cef1788629:0xf5aa9baf14db4427!8m2!3d-7.2625496!4d112.7354527!16s%2Fg%2F11jbntxx1t!19sChIJKYZ48c751y0RJ0TbFK-bqvU?authuser=0&amp;hl=zh-TW&amp;rclk=1</t>
  </si>
  <si>
    <t>Wisata Kuliner Pasar Genteng</t>
  </si>
  <si>
    <t>Wisata Kuliner Pasar Genteng merupakan salah satu destinasi kuliner populer di Surabaya yang menghadirkan beragam makanan khas dalam suasana pasar yang ramai dan autentik. Pengunjung dapat menemukan aneka hidangan tradisional, jajanan legendaris, makanan khas Surabaya, hingga minuman segar dari berbagai pedagang yang telah dikenal oleh masyarakat. Dengan pilihan kuliner yang beragam, harga yang terjangkau, dan cita rasa yang khas, kawasan ini menjadi tujuan favorit untuk berburu kuliner bersama keluarga, teman, maupun wisatawan yang ingin mencicipi kekayaan kuliner Surabaya.</t>
  </si>
  <si>
    <t>Wisata Kuliner, Sentra Kuliner, Pasar Kuliner, Pasar Genteng, Kuliner Surabaya, Kuliner Legendaris, Kuliner Lokal, Makanan Tradisional, Makanan Indonesia, Jajanan Pasar, Street Food, Food Hunting, Aneka Kuliner, Makan Siang, Sarapan, Minuman, Harga Terjangkau, Family Friendly, Favorit Warga, Wisata Kota, Surabaya.</t>
  </si>
  <si>
    <t>-7.2588538, 112.7416521</t>
  </si>
  <si>
    <t>https://www.google.com/maps/place/Wisata+Kuliner+Pasar+Genteng/data=!4m7!3m6!1s0x2dd7f949d317e533:0x911d84da2720187e!8m2!3d-7.2588538!4d112.7416521!16s%2Fg%2F11f6ycry0k!19sChIJM-UX00n51y0RfhggJ9qEHZE?authuser=0&amp;hl=zh-TW&amp;rclk=1</t>
  </si>
  <si>
    <t>Layar Seafood</t>
  </si>
  <si>
    <t>Layar Seafood merupakan salah satu restoran seafood terkenal di Surabaya yang menyajikan beragam hidangan laut segar dengan cita rasa khas. Pengunjung dapat menikmati pilihan menu seperti kepiting, udang, lobster, cumi, kerang, hingga berbagai jenis ikan yang diolah dengan aneka bumbu, mulai dari saus padang, saus tiram, lada hitam, hingga mentega. Dengan kualitas bahan yang segar, suasana restoran yang nyaman, dan pilihan menu yang lengkap, Layar Seafood menjadi destinasi favorit untuk makan bersama keluarga, teman, maupun acara spesial.</t>
  </si>
  <si>
    <t>Seafood, Restaurant, Makanan Laut, Kepiting, Udang, Lobster, Cumi, Kerang, Ikan Bakar, Saus Padang, Saus Tiram, Lada Hitam, Butter Sauce, Casual Dining, Family Friendly, Gathering, Makan Siang, Makan Malam, Food Hunting, Kuliner Surabaya, Wisata Kuliner, Surabaya.</t>
  </si>
  <si>
    <t>10000-250000</t>
  </si>
  <si>
    <t>-7.2937027, 112.707384</t>
  </si>
  <si>
    <t>https://www.google.com/maps/place/Layar+Seafood+KH+Abdul+Wahab+Siamin/data=!4m7!3m6!1s0x2dd7fc7a4e47c44d:0x4daf76d21ed7ac8e!8m2!3d-7.2937027!4d112.707384!16s%2Fg%2F1hm5d8pc0!19sChIJTcRHTnr81y0RjqzXHtJ2r00?authuser=0&amp;hl=zh-TW&amp;rclk=1</t>
  </si>
  <si>
    <t>Penyetan Cok - Transmart Surabaya</t>
  </si>
  <si>
    <t>Penyetan Cok - Transmart Surabaya merupakan tempat makan yang menyajikan aneka hidangan penyetan khas Jawa Timur dengan sambal yang pedas dan cita rasa autentik. Berbagai pilihan lauk seperti ayam, bebek, lele, ikan, tahu, dan tempe disajikan bersama lalapan segar serta nasi hangat yang menggugah selera. Berlokasi di area Transmart Surabaya, tempat ini menjadi pilihan praktis untuk menikmati hidangan Nusantara setelah berbelanja atau berkumpul bersama keluarga dan teman.</t>
  </si>
  <si>
    <t>kuliner</t>
  </si>
  <si>
    <t>Kuliner, Penyetan, Ayam Penyet, Bebek Penyet, Lele Penyet, Ikan Penyet, Sambal Pedas, Lalapan, Makanan Indonesia, Makanan Jawa Timur, Kuliner Surabaya, Comfort Food, Food Court, Makan Siang, Makan Malam, Family Friendly, Casual Dining, Food Hunting, Transmart, Wisata Kuliner, Surabaya.</t>
  </si>
  <si>
    <t>-7.3207557, 112.7706718</t>
  </si>
  <si>
    <t>https://www.google.com/maps/place/Penyetan+Cok+-+Transmart+Surabaya/data=!4m7!3m6!1s0x2dd7fba718c10c03:0xea7a8b5014587199!8m2!3d-7.3207557!4d112.7706718!16s%2Fg%2F11f63010_n!19sChIJAwzBGKf71y0RmXFYFFCLeuo?authuser=0&amp;hl=zh-TW&amp;rclk=1</t>
  </si>
  <si>
    <t>Pantai Kenjeran Lama</t>
  </si>
  <si>
    <t>Pantai Kenjeran Lama merupakan salah satu destinasi wisata pesisir ikonik di Surabaya yang menawarkan panorama laut, suasana pantai, dan berbagai aktivitas rekreasi. Pengunjung dapat menikmati pemandangan Selat Madura, berjalan di sepanjang kawasan pantai, menikmati kuliner seafood, hingga mengabadikan momen di berbagai sudut yang menarik. Dengan suasana yang khas dan nilai historis sebagai salah satu kawasan wisata tertua di Surabaya, Pantai Kenjeran Lama menjadi destinasi favorit untuk rekreasi bersama keluarga maupun teman.</t>
  </si>
  <si>
    <t>-7.2381863, 112.7955159</t>
  </si>
  <si>
    <t>https://www.google.com/maps/place/Pantai+Kenjeran+Lama/data=!4m7!3m6!1s0x2dd7f9c590a1a9a3:0xc62c6855e5b63c45!8m2!3d-7.2381863!4d112.7955159!16s%2Fg%2F11bxfm0plv!19sChIJo6mhkMX51y0RRTy25VVoLMY?authuser=0&amp;hl=zh-TW&amp;rclk=1</t>
  </si>
  <si>
    <t>Bakso Solo Dan Es Campur Pak Sabar</t>
  </si>
  <si>
    <t>Bakso Solo dan Es Campur Pak Sabar merupakan salah satu tempat kuliner di Surabaya yang dikenal dengan sajian bakso khas Solo dan es campur yang menyegarkan. Bakso disajikan dengan kuah kaldu gurih, mi, bihun, serta pelengkap lainnya, sementara es campur berisi aneka isian yang dipadukan dengan sirup dan es serut sebagai pilihan penutup yang menyegarkan. Kombinasi hidangan hangat dan minuman dingin menjadikan tempat ini favorit untuk dinikmati bersama keluarga maupun teman.</t>
  </si>
  <si>
    <t>Kuliner, Bakso, Bakso Solo, Es Campur, Kuah Kaldu, Mi, Bihun, Dessert, Minuman Segar, Comfort Food, Makanan Indonesia, Kuliner Surabaya, Kuliner Lokal, Makan Siang, Makan Malam, Hidangan Hangat, Food Hunting, Casual Dining, Family Friendly, Wisata Kuliner, Surabaya.</t>
  </si>
  <si>
    <t>-7.2735004, 112.7521441</t>
  </si>
  <si>
    <t>https://www.google.com/maps/place/Bakso+Solo+Dan+Es+Campur+Pak+Sabar/data=!4m7!3m6!1s0x2dd7fbd08b70f425:0xa93290240f2c17b0!8m2!3d-7.2735004!4d112.7521441!16s%2Fg%2F11bwpd1z6l!19sChIJJfRwi9D71y0RsBcsDySQMqk?authuser=0&amp;hl=zh-TW&amp;rclk=1</t>
  </si>
  <si>
    <t>Taman Pakuwon</t>
  </si>
  <si>
    <t>Taman Pakuwon merupakan salah satu ruang terbuka hijau di Surabaya yang menawarkan suasana asri dan nyaman untuk berbagai aktivitas rekreasi. Dilengkapi dengan pepohonan rindang, jalur pejalan kaki, serta area duduk, taman ini menjadi tempat favorit warga untuk berolahraga ringan, bersantai, maupun menghabiskan waktu bersama keluarga. Lingkungannya yang bersih dan sejuk menjadikan Taman Pakuwon sebagai pilihan ideal untuk menikmati suasana hijau di tengah perkotaan.</t>
  </si>
  <si>
    <t>Taman, Taman Kota, Ruang Terbuka Hijau, RTH, Rekreasi, Healing, Santai, Jogging, Jalan Santai, Outdoor, Green Space, Nature, Pepohonan Rindang, Family Friendly, Couple Friendly, Piknik, Spot Foto, Wisata Gratis, Wisata Kota, Surabaya.</t>
  </si>
  <si>
    <t>-7.2921856, 112.6688692</t>
  </si>
  <si>
    <t>https://www.google.com/maps/place/Taman+Pakuwon/data=!4m7!3m6!1s0x2dd7fc4abf86d06b:0x2aec024551c1d8ff!8m2!3d-7.2921856!4d112.6688692!16s%2Fg%2F11g8cr2xn7!19sChIJa9CGv0r81y0R_9jBUUUC7Co?authuser=0&amp;hl=zh-TW&amp;rclk=1</t>
  </si>
  <si>
    <t>Taman PUPR Keputih Surabaya</t>
  </si>
  <si>
    <t>Taman PUPR Keputih merupakan ruang terbuka hijau di kawasan Keputih, Surabaya, yang menghadirkan lingkungan asri dan nyaman untuk berolahraga maupun bersantai. Taman ini dilengkapi dengan jalur pejalan kaki, area duduk, serta pepohonan yang memberikan suasana teduh bagi para pengunjung. Sebagai salah satu ruang publik, taman ini menjadi tempat yang cocok untuk rekreasi ringan, menikmati udara segar, serta berkumpul bersama keluarga dan teman.</t>
  </si>
  <si>
    <t>Taman, Taman Kota, Ruang Terbuka Hijau, RTH, Keputih, Rekreasi, Healing, Santai, Jogging, Jalan Santai, Outdoor, Green Space, Nature, Pepohonan Rindang, Family Friendly, Couple Friendly, Piknik, Spot Foto, Wisata Gratis, Wisata Kota, Surabaya.</t>
  </si>
  <si>
    <t>-7.3007106, 112.8024759</t>
  </si>
  <si>
    <t>https://www.google.com/maps/place/Taman+PUPR+Keputih+Surabaya/data=!4m7!3m6!1s0x2dd7fb337d845aa5:0x3ec717156f00d8b6!8m2!3d-7.3007106!4d112.8024759!16s%2Fg%2F11kwb2lz8y!19sChIJpVqEfTP71y0RttgAbxUXxz4?authuser=0&amp;hl=zh-TW&amp;rclk=1</t>
  </si>
  <si>
    <t>The Gallery Restaurant - Ciputra World Hotel Surabaya</t>
  </si>
  <si>
    <t>The Gallery Restaurant merupakan restoran yang berada di Ciputra World Hotel Surabaya dan menawarkan pengalaman bersantap dengan suasana elegan serta pilihan hidangan internasional dan khas Indonesia. Restoran ini menyajikan menu buffet maupun à la carte dengan berbagai pilihan makanan yang cocok untuk sarapan, makan siang, hingga makan malam. Dengan interior yang mewah, pelayanan profesional, dan suasana yang nyaman, The Gallery Restaurant menjadi pilihan ideal untuk jamuan bisnis, makan bersama keluarga, maupun perayaan acara spesial.</t>
  </si>
  <si>
    <t>Restaurant, Hotel Restaurant, Buffet, International Cuisine, Indonesian Food, Fine Dining, All Day Dining, Breakfast, Lunch, Dinner, Elegant, Premium, Family Friendly, Business Meeting, Celebration, Casual Dining, Ciputra World Hotel, Kuliner Surabaya, Wisata Kuliner, Surabaya.</t>
  </si>
  <si>
    <t>-7.292156, 112.7189564</t>
  </si>
  <si>
    <t>https://www.google.com/maps/place/The+Gallery+Restaurant+-+Ciputra+World+Hotel+Surabaya/data=!4m7!3m6!1s0x2dd7fb000d1c3a6f:0x9bd32906094fef9c!8m2!3d-7.292156!4d112.7189564!16s%2Fg%2F11y317fx0v!19sChIJbzocDQD71y0RnO9PCQYp05s?authuser=0&amp;hl=zh-TW&amp;rclk=1</t>
  </si>
  <si>
    <t>Hutan Bambu Keputih Surabaya</t>
  </si>
  <si>
    <t>Hutan Bambu Keputih merupakan salah satu destinasi wisata alam ikonik di Surabaya yang menghadirkan deretan pohon bambu tinggi dengan suasana yang sejuk dan menenangkan. Jalur pejalan kaki yang membelah kawasan bambu menciptakan pemandangan yang estetik dan menjadi favorit pengunjung untuk berjalan santai maupun berfoto. Dengan suasana yang asri dan mudah diakses, Hutan Bambu Keputih menjadi pilihan tepat untuk rekreasi, menikmati udara segar, dan melepas penat di tengah kota.</t>
  </si>
  <si>
    <t>Wisata Alam, Hutan Bambu, Keputih, Taman, Ruang Terbuka Hijau, Nature, Green Space, Outdoor, Healing, Santai, Jalan Santai, Spot Foto, Instagramable, Fotografi, Wisata Gratis, Family Friendly, Couple Friendly, Rekreasi, Wisata Kota, Landmark Surabaya, Surabaya.</t>
  </si>
  <si>
    <t>-7.2941909, 112.8017238</t>
  </si>
  <si>
    <t>https://www.google.com/maps/place/Bamboo+Forest+Keputih+Surabaya/data=!4m7!3m6!1s0x2dd7f900d37fae9b:0x637bddc13af0df47!8m2!3d-7.2941909!4d112.8017238!16s%2Fg%2F11b7rtm8fv!19sChIJm65_0wD51y0RR9_wOsHde2M?authuser=0&amp;hl=zh-TW&amp;rclk=1</t>
  </si>
  <si>
    <t>Warung Leko Manyar</t>
  </si>
  <si>
    <t>Warung Leko Manyar merupakan salah satu restoran populer di Surabaya yang terkenal dengan sajian iga sapi penyet bercita rasa khas. Menu andalannya berupa iga sapi yang empuk disajikan bersama sambal ulek, nasi hangat, dan lalapan, menghadirkan perpaduan rasa gurih dan pedas yang menggugah selera. Selain iga penyet, tersedia pula berbagai pilihan hidangan khas Indonesia lainnya, menjadikan Warung Leko sebagai destinasi favorit untuk makan bersama keluarga, teman, maupun rekan kerja.</t>
  </si>
  <si>
    <t>Kuliner, Warung Leko, Iga Penyet, Iga Sapi, Penyetan, Sambal Ulek, Makanan Indonesia, Makanan Jawa Timur, Kuliner Surabaya, Kuliner Lokal, Comfort Food, Makan Siang, Makan Malam, Casual Dining, Family Friendly, Gathering, Food Hunting, Favorit Warga, Wisata Kuliner, Surabaya.</t>
  </si>
  <si>
    <t>-7.2775483, 112.7660712</t>
  </si>
  <si>
    <t>https://www.google.com/maps/place/Warung+Leko/data=!4m7!3m6!1s0x2dd7fa33a84ab17d:0xd15b711951f1f689!8m2!3d-7.2775083!4d112.7659981!16s%2Fg%2F1pzrfjk6t!19sChIJfbFKqDP61y0RifbxURlxW9E?authuser=0&amp;hl=zh-TW&amp;rclk=1</t>
  </si>
  <si>
    <t>Bakwan Pak Nur Trunojoyo</t>
  </si>
  <si>
    <t>Bakwan Pak Nur Trunojoyo merupakan salah satu kuliner legendaris di Surabaya yang terkenal dengan bakwan goreng renyah serta aneka gorengan bercita rasa khas. Menggunakan bahan-bahan segar dan bumbu yang sederhana namun gurih, setiap sajian menjadi camilan maupun pelengkap makan yang digemari berbagai kalangan. Dengan cita rasa yang konsisten dan telah dikenal selama bertahun-tahun, tempat ini menjadi destinasi favorit bagi pecinta jajanan tradisional di Surabaya.</t>
  </si>
  <si>
    <t>Kuliner, Bakwan, Gorengan, Jajanan Tradisional, Street Food, Camilan, Kuliner Legendaris, Kuliner Surabaya, Kuliner Lokal, Food Hunting, Makanan Indonesia, Gorengan Renyah, Favorit Warga, Harga Terjangkau, Take Away, Comfort Food, Wisata Kuliner, Surabaya.</t>
  </si>
  <si>
    <t>-7.2816342, 112.7335055</t>
  </si>
  <si>
    <t>https://www.google.com/maps/place/Bakwan+Pak+Nur/data=!4m7!3m6!1s0x2dd7fbe94c6984af:0x3a9186ecda29bcc2!8m2!3d-7.2816342!4d112.7335055!16s%2Fg%2F11btwqh9j_!19sChIJr4RpTOn71y0Rwrwp2uyGkTo?authuser=0&amp;hl=zh-TW&amp;rclk=1</t>
  </si>
  <si>
    <t>Monumen Tugu Pahlawan dan Museum Sepuluh Nopember Surabaya</t>
  </si>
  <si>
    <t>Monumen Tugu Pahlawan dan Museum Sepuluh Nopember merupakan ikon sejarah sekaligus destinasi wisata edukasi di Surabaya yang didedikasikan untuk mengenang perjuangan para pahlawan dalam Pertempuran 10 November 1945. Monumen berbentuk paku terbalik setinggi 41 meter menjadi simbol semangat perjuangan rakyat Surabaya, sementara museum menyimpan berbagai koleksi diorama, foto, dokumen, senjata, dan artefak bersejarah yang menggambarkan perjalanan perjuangan kemerdekaan Indonesia. Destinasi ini menjadi tempat yang tepat untuk mempelajari sejarah nasional sekaligus mengenang jasa para pahlawan.</t>
  </si>
  <si>
    <t>Wisata Sejarah, Museum, Monumen, Tugu Pahlawan, Museum Sepuluh Nopember, Pertempuran 10 November, Edukasi, Sejarah Indonesia, Sejarah Surabaya, Heritage, Landmark Surabaya, Wisata Edukasi, Fotografi, Spot Foto, Family Friendly, Pelajar, Budaya, Ikonik, Wisata Kota, Surabaya.</t>
  </si>
  <si>
    <t>Selasa - Minggu</t>
  </si>
  <si>
    <t>-7.245555, 112.7378627</t>
  </si>
  <si>
    <t>https://www.google.com/maps/place/Monumen+Tugu+Pahlawan+dan+Museum+Sepuluh+Nopember+Surabaya/data=!4m7!3m6!1s0x2dd7f93fc001bc5d:0x110e38d8a6c23fbe!8m2!3d-7.245555!4d112.7378627!16s%2Fg%2F11f01txlq2!19sChIJXbwBwD_51y0Rvj_Cptg4DhE?authuser=0&amp;hl=zh-TW&amp;rclk=1</t>
  </si>
  <si>
    <t>Sate Ayam Ponorogo Pak Seger</t>
  </si>
  <si>
    <t>Sate Ayam Ponorogo Pak Seger merupakan salah satu destinasi kuliner di Surabaya yang menyajikan sate ayam khas Ponorogo dengan cita rasa autentik. Potongan daging ayam yang diiris memanjang dibumbui dengan rempah khas, kemudian dibakar hingga menghasilkan aroma yang harum dan disajikan bersama bumbu kacang yang gurih serta lontong. Dengan rasa yang khas, porsi yang mengenyangkan, dan kualitas yang konsisten, tempat ini menjadi favorit bagi pecinta sate khas Jawa Timur.</t>
  </si>
  <si>
    <t>Kuliner, Sate Ayam, Sate Ponorogo, Bumbu Kacang, Lontong, Makanan Indonesia, Makanan Jawa Timur, Kuliner Surabaya, Kuliner Lokal, Food Hunting, Makan Siang, Makan Malam, Comfort Food, Hidangan Tradisional, Casual Dining, Family Friendly, Favorit Warga, Wisata Kuliner, Surabaya.</t>
  </si>
  <si>
    <t>-7.2798719, 112.7560594</t>
  </si>
  <si>
    <t>https://www.google.com/maps/place/Sate+Ayam+Ponorogo+Pak+Seger/data=!4m7!3m6!1s0x2dd7fbce1a3e8c01:0x207db03b3286bc66!8m2!3d-7.2798719!4d112.7560594!16s%2Fg%2F1hm56zd3t!19sChIJAYw-Gs771y0RZryGMjuwfSA?authuser=0&amp;hl=zh-TW&amp;rclk=1</t>
  </si>
  <si>
    <t>Mangrove petani tambak turnodjoyo (Pak Suratno)</t>
  </si>
  <si>
    <t>Mangrove Petani Tambak Turnodjoyo merupakan destinasi wisata edukasi berbasis ekowisata di Surabaya yang memperkenalkan kehidupan kawasan tambak dan ekosistem hutan mangrove. Pengunjung dapat menyusuri area mangrove, menikmati suasana alam yang asri, mengamati berbagai jenis flora dan fauna pesisir, serta mempelajari pentingnya pelestarian lingkungan pantai. Dengan nuansa yang tenang dan alami, tempat ini menjadi pilihan yang tepat untuk rekreasi, fotografi, maupun wisata edukasi bersama keluarga dan pelajar.</t>
  </si>
  <si>
    <t>Ekowisata, Hutan Mangrove, Mangrove, Wisata Alam, Wisata Edukasi, Tambak, Pesisir, Konservasi, Lingkungan, Nature, Green Space, Outdoor, Rekreasi, Healing, Spot Foto, Fotografi, Family Friendly, Edukasi, Wisata Kota, Surabaya.</t>
  </si>
  <si>
    <t>-7.3117104, 112.8235237</t>
  </si>
  <si>
    <t>https://www.google.com/maps/place/Mangrove+petani+tambak+turnodjoyo+%28Pak+Suratno%29/data=!4m7!3m6!1s0x2dd7f111450ff63b:0x582fd8d1670d3efc!8m2!3d-7.3117104!4d112.8235237!16s%2Fg%2F11j3wp3vzd!19sChIJO_YPRRHx1y0R_D4NZ9HYL1g?authuser=0&amp;hl=zh-TW&amp;rclk=1</t>
  </si>
  <si>
    <t>Ah Yat Abalone Forum Restaurant</t>
  </si>
  <si>
    <t>Ah Yat Abalone Forum Restaurant merupakan restoran premium di Surabaya yang menghadirkan hidangan khas Chinese cuisine dengan cita rasa autentik. Restoran ini dikenal dengan menu seafood berkualitas, dim sum, bebek panggang, serta hidangan spesial seperti abalone yang disajikan dengan teknik memasak khas Tiongkok. Dengan interior yang elegan, pelayanan profesional, dan suasana mewah, Ah Yat Abalone Forum Restaurant menjadi pilihan ideal untuk jamuan keluarga, pertemuan bisnis, maupun perayaan acara istimewa.</t>
  </si>
  <si>
    <t>Restaurant, Chinese Restaurant, Chinese Food, Cantonese Cuisine, Abalone, Seafood, Dim Sum, Fine Dining, Premium Dining, Elegant, Family Friendly, Business Meeting, Celebration, Dinner, Lunch, Kuliner Surabaya, Wisata Kuliner, Luxury Dining, Hotel Restaurant, Surabaya.</t>
  </si>
  <si>
    <t>-7.2914406, 112.7154215</t>
  </si>
  <si>
    <t>https://www.google.com/maps/place/Ah+Yat+Abalone+Forum+Restaurant/data=!4m7!3m6!1s0x2dd7fb8d2a4ca493:0xc67176af2b6cc9fc!8m2!3d-7.2914406!4d112.7154215!16s%2Fg%2F1tl1f8z7!19sChIJk6RMKo371y0R_MlsK692ccY?authuser=0&amp;hl=zh-TW&amp;rclk=1</t>
  </si>
  <si>
    <t>BAKSO KUSUKA</t>
  </si>
  <si>
    <t>Bakso Kusuka merupakan salah satu tempat kuliner bakso di Surabaya yang menyajikan bakso dengan cita rasa gurih dan kuah kaldu yang kaya rasa. Berbagai pilihan bakso beserta pelengkap seperti mi, bihun, tahu, dan pangsit tersedia untuk memberikan pengalaman makan yang lengkap dan mengenyangkan. Dengan kualitas rasa yang konsisten, suasana makan yang nyaman, serta harga yang terjangkau, Bakso Kusuka menjadi pilihan favorit bagi pecinta bakso di Surabaya.</t>
  </si>
  <si>
    <t>Kuliner, Bakso, Bakso Urat, Bakso Halus, Kuah Kaldu, Mi, Bihun, Tahu, Pangsit, Comfort Food, Makanan Indonesia, Kuliner Surabaya, Kuliner Lokal, Makan Siang, Makan Malam, Hidangan Hangat, Food Hunting, Harga Terjangkau, Casual Dining, Family Friendly, Wisata Kuliner, Surabaya.</t>
  </si>
  <si>
    <t>3000-20000</t>
  </si>
  <si>
    <t>-7.2938386, 112.7547485</t>
  </si>
  <si>
    <t>https://www.google.com/maps/place/BAKSO+KUSUKA/data=!4m7!3m6!1s0x2dd7fb9594909a03:0x4bff32148d817b04!8m2!3d-7.2938386!4d112.7547485!16s%2Fg%2F11dztrc4l_!19sChIJA5qQlJX71y0RBHuBjRQy_0s?authuser=0&amp;hl=zh-TW&amp;rclk=1</t>
  </si>
  <si>
    <t>Bakso Tetelan Pak Sabar</t>
  </si>
  <si>
    <t>Bakso Tetelan Pak Sabar merupakan salah satu tempat kuliner di Surabaya yang dikenal dengan sajian bakso dan tetelan sapi yang empuk dalam kuah kaldu gurih. Perpaduan bakso, potongan tetelan, mi, bihun, serta pelengkap lainnya menghasilkan hidangan hangat yang kaya rasa dan mengenyangkan. Dengan cita rasa yang konsisten dan suasana makan yang sederhana namun nyaman, tempat ini menjadi favorit bagi pecinta bakso dan olahan daging sapi.</t>
  </si>
  <si>
    <t>Kuliner, Bakso, Bakso Tetelan, Tetelan Sapi, Kuah Kaldu, Mi, Bihun, Tahu, Comfort Food, Makanan Indonesia, Kuliner Surabaya, Kuliner Lokal, Makan Siang, Makan Malam, Hidangan Hangat, Food Hunting, Casual Dining, Family Friendly, Favorit Warga, Wisata Kuliner, Surabaya.</t>
  </si>
  <si>
    <t>-7.2986379, 112.7279963</t>
  </si>
  <si>
    <t>https://www.google.com/maps/place/Bakso+Tetelan+Pak+Sabar/data=!4m7!3m6!1s0x2dd7fb9abb492e87:0x5bdb32da32b691cc!8m2!3d-7.2986379!4d112.7279963!16s%2Fg%2F11g9nfyqym!19sChIJhy5Ju5r71y0RzJG2Mtoy21s?authuser=0&amp;hl=zh-TW&amp;rclk=1</t>
  </si>
  <si>
    <t>PANTAI PASIR PUTIH SURABAYA</t>
  </si>
  <si>
    <t>Pantai Pasir Putih Surabaya merupakan destinasi wisata pesisir yang menawarkan suasana pantai dengan hamparan pasir, pemandangan laut, dan udara yang segar. Tempat ini menjadi pilihan bagi pengunjung untuk berjalan santai, menikmati panorama laut, mengabadikan momen, maupun bersantai bersama keluarga dan teman. Dengan suasana yang nyaman dan beragam sudut menarik untuk berfoto, pantai ini menjadi salah satu destinasi rekreasi di kawasan pesisir Surabaya.</t>
  </si>
  <si>
    <t>Pantai, Pantai Pasir Putih, Wisata Pantai, Wisata Alam, Wisata Pesisir, Laut, Pemandangan Laut, Sunset, Rekreasi, Healing, Santai, Outdoor, Spot Foto, Fotografi, Family Friendly, Couple Friendly, Wisata Kota, Nature, Wisata Keluarga, Surabaya.</t>
  </si>
  <si>
    <t>-7.3083125, 112.8445625</t>
  </si>
  <si>
    <t>https://www.google.com/maps/place/PANTAI+PASIR+PUTIH+SURABAYA/data=!4m7!3m6!1s0x2dd7f1dbf2965c27:0x78e92f24d72477dc!8m2!3d-7.3083125!4d112.8445625!16s%2Fg%2F11p5qj3q0k!19sChIJJ1yW8tvx1y0R3Hck1yQv6Xg?authuser=0&amp;hl=zh-TW&amp;rclk=1</t>
  </si>
  <si>
    <t>Penyetan "Mbak Nur"</t>
  </si>
  <si>
    <t>Penyetan "Mbak Nur" merupakan salah satu tempat kuliner di Surabaya yang menyajikan aneka hidangan penyetan khas Jawa Timur dengan cita rasa autentik. Berbagai pilihan lauk seperti ayam, bebek, lele, ikan, tahu, dan tempe disajikan bersama sambal khas yang pedas, lalapan segar, dan nasi hangat. Dengan porsi yang mengenyangkan, rasa yang konsisten, serta suasana makan yang sederhana dan nyaman, tempat ini menjadi pilihan favorit bagi pecinta kuliner pedas.</t>
  </si>
  <si>
    <t>Kuliner, Penyetan, Ayam Penyet, Bebek Penyet, Lele Penyet, Ikan Penyet, Sambal Pedas, Lalapan, Makanan Jawa Timur, Makanan Indonesia, Kuliner Surabaya, Kuliner Lokal, Comfort Food, Makan Siang, Makan Malam, Food Hunting, Harga Terjangkau, Casual Dining, Family Friendly, Wisata Kuliner, Surabaya.</t>
  </si>
  <si>
    <t>-7.3032367, 112.7490103</t>
  </si>
  <si>
    <t>https://www.google.com/maps/place/Penyetan+%22Mbak+Nur%22/data=!4m7!3m6!1s0x2dd7fbc8e68c74e7:0xff83f922f86e9302!8m2!3d-7.3032367!4d112.7490103!16s%2Fg%2F11j36zd2h8!19sChIJ53SM5sj71y0RApNu-CL5g_8?authuser=0&amp;hl=zh-TW&amp;rclk=1</t>
  </si>
  <si>
    <t>de Soematra 1910</t>
  </si>
  <si>
    <t>de Soematra 1910 merupakan restoran fine dining bersejarah di Surabaya yang menempati bangunan kolonial bergaya art deco yang telah berdiri sejak tahun 1910. Restoran ini menawarkan pengalaman bersantap eksklusif dengan hidangan internasional yang dipadukan dengan pelayanan premium dan suasana yang elegan. Keindahan arsitektur klasik, interior yang mewah, serta nilai sejarah bangunan menjadikan de Soematra 1910 sebagai destinasi istimewa untuk jamuan bisnis, makan malam romantis, maupun perayaan acara spesial.</t>
  </si>
  <si>
    <t>Fine Dining, Restaurant, Heritage Building, Bangunan Kolonial, Art Deco, Luxury Dining, International Cuisine, Elegant, Premium, Romantic Dinner, Business Meeting, Celebration, Historical Building, Arsitektur, Landmark Surabaya, Couple Friendly, Hotel Style, Kuliner Surabaya, Wisata Kuliner, Surabaya.</t>
  </si>
  <si>
    <t>-7.2715355, 112.7473151</t>
  </si>
  <si>
    <t>https://www.google.com/maps/place/de+Soematra+1910/data=!4m7!3m6!1s0x2dd7fbd97d105b21:0xf5bb90ede92d68bb!8m2!3d-7.2715355!4d112.7473151!16s%2Fg%2F1q5cccjym!19sChIJIVsQfdn71y0Ru2gt6e2Qu_U?authuser=0&amp;hl=zh-TW&amp;rclk=1</t>
  </si>
  <si>
    <t>Bebek tuan muda</t>
  </si>
  <si>
    <t>Bebek Tuan Muda merupakan restoran di Surabaya yang terkenal dengan sajian bebek goreng berbumbu khas, daging yang empuk, serta kulit yang renyah. Hidangan disajikan bersama sambal, lalapan segar, dan nasi hangat yang menciptakan perpaduan rasa gurih dan pedas yang menggugah selera. Selain menu bebek, restoran ini juga menawarkan berbagai pilihan hidangan Nusantara lainnya dalam suasana makan yang nyaman, cocok untuk dinikmati bersama keluarga maupun teman.</t>
  </si>
  <si>
    <t>Kuliner, Bebek Goreng, Bebek, Sambal Pedas, Lalapan, Makanan Indonesia, Makanan Jawa Timur, Kuliner Surabaya, Kuliner Lokal, Comfort Food, Makan Siang, Makan Malam, Family Friendly, Casual Dining, Gathering, Food Hunting, Favorit Warga, Hidangan Nusantara, Wisata Kuliner, Surabaya.</t>
  </si>
  <si>
    <t>-7.2851947, 112.6566625</t>
  </si>
  <si>
    <t>https://www.google.com/maps/place/Bebek+tuan+muda/data=!4m7!3m6!1s0x2dd7fd002efe38e1:0xd6486281e060edfc!8m2!3d-7.2851947!4d112.6566625!16s%2Fg%2F11wng1v2v8!19sChIJ4Tj-LgD91y0R_O1g4IFiSNY?authuser=0&amp;hl=zh-TW&amp;rclk=1</t>
  </si>
  <si>
    <t>The Atjeh Connection SURABAYA</t>
  </si>
  <si>
    <t>The Atjeh Connection Surabaya merupakan kafe dan restoran yang menghadirkan cita rasa khas Aceh dalam suasana modern dan nyaman. Pengunjung dapat menikmati beragam menu autentik seperti mi Aceh, nasi goreng Aceh, roti canai, hingga kopi Aceh yang dikenal memiliki aroma dan karakter rasa yang khas. Dengan konsep tempat yang nyaman untuk bersantai maupun berkumpul, The Atjeh Connection menjadi pilihan tepat bagi pecinta kuliner Nusantara yang ingin menikmati kekayaan cita rasa Tanah Rencong di Surabaya.</t>
  </si>
  <si>
    <t>Cafe, Restaurant, Kuliner Aceh, Mie Aceh, Kopi Aceh, Roti Canai, Nasi Goreng Aceh, Makanan Indonesia, Kuliner Nusantara, Coffee Shop, Kuliner Surabaya, Kuliner Lokal, Nongkrong, Family Friendly, Casual Dining, Makan Siang, Makan Malam, Food Hunting, Comfort Food, Wisata Kuliner, Surabaya.</t>
  </si>
  <si>
    <t>-7.2585699, 112.727524</t>
  </si>
  <si>
    <t>https://www.google.com/maps/place/The+Atjeh+Connection+SURABAYA/data=!4m7!3m6!1s0x2dd7f94ebd03047b:0xcb0b69fa99b42939!8m2!3d-7.2585699!4d112.727524!16s%2Fg%2F11gvzdcdc0!19sChIJewQDvU751y0ROSm0mfppC8s?authuser=0&amp;hl=zh-TW&amp;rclk=1</t>
  </si>
  <si>
    <t>Bakso Cak Ilung</t>
  </si>
  <si>
    <t>Bakso Cak Ilung merupakan salah satu tempat kuliner bakso di Surabaya yang menyajikan bakso dengan cita rasa gurih dan kuah kaldu yang kaya rasa. Beragam pilihan bakso dan pelengkap seperti mi, bihun, tahu, pangsit, serta sayuran disajikan dalam satu mangkuk hangat yang mengenyangkan. Dengan rasa yang konsisten, harga yang terjangkau, dan suasana makan yang sederhana namun nyaman, Bakso Cak Ilung menjadi favorit bagi pecinta bakso di Surabaya.</t>
  </si>
  <si>
    <t>Kuliner, Bakso, Bakso Urat, Bakso Halus, Kuah Kaldu, Mi, Bihun, Tahu, Pangsit, Comfort Food, Makanan Indonesia, Kuliner Surabaya, Kuliner Lokal, Makan Siang, Makan Malam, Hidangan Hangat, Food Hunting, Casual Dining, Family Friendly, Wisata Kuliner, Surabaya.</t>
  </si>
  <si>
    <t>-7.2902827, 112.7196796</t>
  </si>
  <si>
    <t>https://www.google.com/maps/place/Bakso+Cak+Ilung/data=!4m7!3m6!1s0x2dd7fb8cee499487:0x50c6a8ece6bcb152!8m2!3d-7.2902827!4d112.7196796!16s%2Fg%2F1pzwfctcx!19sChIJh5RJ7oz71y0RUrG85uyoxlA?authuser=0&amp;hl=zh-TW&amp;rclk=1</t>
  </si>
  <si>
    <t>Indigo Restaurant</t>
  </si>
  <si>
    <t>Indigo Restaurant merupakan restoran modern di Surabaya yang menawarkan pengalaman bersantap dengan suasana elegan dan nyaman. Menyajikan beragam pilihan hidangan internasional dan Asia, restoran ini cocok untuk makan siang, makan malam, pertemuan bisnis, maupun perayaan bersama keluarga dan teman. Dengan interior yang berkelas, pelayanan profesional, serta atmosfer yang hangat, Indigo Restaurant menjadi salah satu pilihan destinasi kuliner premium di Surabaya.</t>
  </si>
  <si>
    <t>Restaurant, Fine Dining, Modern Restaurant, International Cuisine, Asian Food, Casual Dining, Elegant, Premium, Business Meeting, Celebration, Family Friendly, Couple Friendly, Lunch, Dinner, Aesthetic, Kuliner Surabaya, Food Hunting, Lifestyle, Wisata Kuliner, Surabaya.</t>
  </si>
  <si>
    <t>50000-200000</t>
  </si>
  <si>
    <t>-7.2601208, 112.7396083</t>
  </si>
  <si>
    <t>https://www.google.com/maps/place/Indigo+Restaurant/data=!4m7!3m6!1s0x2dd7f95d7c3a9981:0x8c5f4fd9cd14d904!8m2!3d-7.2601208!4d112.7396083!16s%2Fg%2F1hc1ms0v2!19sChIJgZk6fF351y0RBNkUzdlPX4w?authuser=0&amp;hl=zh-TW&amp;rclk=1</t>
  </si>
  <si>
    <t>Kampung Warna Warni Asem Rowo</t>
  </si>
  <si>
    <t>Kampung Warna Warni Asem Rowo merupakan kampung tematik di Surabaya yang dikenal dengan deretan rumah berwarna-warni serta mural kreatif yang mempercantik lingkungan permukiman. Suasana yang ceria dan penuh warna menjadikan kawasan ini menarik untuk dijelajahi, berfoto, serta menikmati hasil penataan lingkungan berbasis partisipasi masyarakat. Selain menjadi destinasi wisata kota, kampung ini juga mencerminkan semangat pemberdayaan warga dalam menciptakan lingkungan yang bersih, indah, dan nyaman.</t>
  </si>
  <si>
    <t>Kampung Wisata, Kampung Tematik, Kampung Warna Warni, Wisata Kota, Spot Foto, Instagramable, Mural, Street Art, Fotografi, Wisata Edukasi, Budaya Lokal, Rekreasi, Family Friendly, Couple Friendly, Wisata Gratis, Hidden Gem, Landmark Surabaya, Urban Tourism, Asem Rowo, Surabaya.</t>
  </si>
  <si>
    <t>-7.2289058, 112.685404</t>
  </si>
  <si>
    <t>https://www.google.com/maps/place/Kampung+Warna+Warni+Asem+Rowo/data=!4m7!3m6!1s0x2dd7ffb7e5dd40db:0x7bdb73630d3ea332!8m2!3d-7.2289058!4d112.685404!16s%2Fg%2F11rjqhx7gb!19sChIJ20Dd5bf_1y0RMqM-DWNz23s?authuser=0&amp;hl=zh-TW&amp;rclk=1</t>
  </si>
  <si>
    <t>Ekowisata Mangrove Medokan Ayu</t>
  </si>
  <si>
    <t>Ekowisata Mangrove Medokan Ayu merupakan destinasi wisata alam di Surabaya yang menawarkan pengalaman menjelajahi kawasan hutan mangrove sekaligus mempelajari pentingnya pelestarian ekosistem pesisir. Pengunjung dapat menyusuri jalur kayu di tengah rimbunnya mangrove, menikmati udara segar, mengamati berbagai jenis burung dan satwa, serta mengabadikan momen dengan latar alam yang hijau. Dengan suasana yang tenang dan edukatif, tempat ini menjadi pilihan tepat untuk rekreasi keluarga, fotografi, maupun wisata berbasis konservasi.</t>
  </si>
  <si>
    <t>Ekowisata, Hutan Mangrove, Mangrove, Wisata Alam, Wisata Edukasi, Konservasi, Pesisir, Nature, Green Space, Outdoor, Rekreasi, Healing, Spot Foto, Instagramable, Fotografi, Bird Watching, Family Friendly, Wisata Kota, Medokan Ayu, Surabaya.</t>
  </si>
  <si>
    <t>-7.3298177, 112.8207124</t>
  </si>
  <si>
    <t>https://www.google.com/maps/place/Ekowisata+Mangrove+Medokan+Ayu/data=!4m7!3m6!1s0x2dd7f1fe7bc97d41:0x2f2decc055da393!8m2!3d-7.3298177!4d112.8207124!16s%2Fg%2F11h7sn3lnf!19sChIJQX3Je_7x1y0Rk6NdBcze8gI?authuser=0&amp;hl=zh-TW&amp;rclk=1</t>
  </si>
  <si>
    <t>Taman AIS Nasution Surabaya</t>
  </si>
  <si>
    <t>Taman A. Yani I. S. Nasution merupakan salah satu ruang terbuka hijau di Surabaya yang menyediakan lingkungan asri dan nyaman untuk berbagai aktivitas rekreasi. Dilengkapi dengan pepohonan rindang, jalur pejalan kaki, serta area duduk, taman ini menjadi tempat yang cocok untuk berolahraga ringan, bersantai, maupun berkumpul bersama keluarga dan teman. Suasana yang teduh dan tertata rapi menjadikan taman ini sebagai salah satu ruang publik yang mendukung kualitas hidup masyarakat di tengah kawasan perkotaan.</t>
  </si>
  <si>
    <t>-7.2673876, 112.744186</t>
  </si>
  <si>
    <t>https://www.google.com/maps/place/Taman+AIS+Nasution+Surabaya/data=!4m7!3m6!1s0x2dd7fbdf5abe2039:0xf1e39042be08ceb1!8m2!3d-7.2673876!4d112.744186!16s%2Fg%2F11dyqy5njj!19sChIJOSC-Wt_71y0Rsc4IvkKQ4_E?authuser=0&amp;hl=zh-TW&amp;rclk=1</t>
  </si>
  <si>
    <t>Mie Tidar</t>
  </si>
  <si>
    <t>Mie Tidar merupakan salah satu destinasi kuliner mi di Surabaya yang menyajikan berbagai olahan mi dengan cita rasa khas dan tekstur mi yang kenyal. Beragam pilihan menu, mulai dari mi ayam hingga mi dengan aneka topping, disajikan bersama kuah kaldu yang gurih dan pelengkap yang melengkapi kelezatan hidangan. Dengan porsi yang mengenyangkan, rasa yang konsisten, serta suasana makan yang nyaman, Mie Tidar menjadi pilihan favorit bagi pecinta mi di Surabaya.</t>
  </si>
  <si>
    <t>Kuliner, Mie, Mie Ayam, Pangsit, Bakso, Mi Kenyal, Kuah Kaldu, Comfort Food, Makanan Indonesia, Kuliner Surabaya, Kuliner Lokal, Makan Siang, Makan Malam, Food Hunting, Casual Dining, Family Friendly, Favorit Warga, Hidangan Hangat, Wisata Kuliner, Surabaya.</t>
  </si>
  <si>
    <t>-7.257989, 112.7321891</t>
  </si>
  <si>
    <t>https://www.google.com/maps/place/Mie+Tidar/data=!4m7!3m6!1s0x2dd7f94e3356d9d5:0x73127e6b56489868!8m2!3d-7.257989!4d112.7321891!16s%2Fg%2F1hm3rh6sq!19sChIJ1dlWM0751y0RaJhIVmt-EnM?authuser=0&amp;hl=zh-TW&amp;rclk=1</t>
  </si>
  <si>
    <t>C12 Coffee &amp; Ride</t>
  </si>
  <si>
    <t>C12 Coffee &amp; Ride merupakan kafe di Surabaya yang mengusung konsep modern dengan nuansa yang akrab bagi komunitas otomotif dan pesepeda. Menawarkan suasana yang nyaman dan santai, kafe ini menjadi tempat ideal untuk menikmati kopi, bekerja, berkumpul, maupun mengadakan pertemuan komunitas. Beragam pilihan specialty coffee, minuman non-kopi, serta makanan ringan dan hidangan utama tersedia untuk melengkapi pengalaman bersantai dalam ambience yang estetik dan hangat.</t>
  </si>
  <si>
    <t>Cafe, Coffee Shop, Specialty Coffee, Coffee &amp; Ride, Kopi, Non-Coffee, Brunch, Dessert, Kuliner, Nongkrong, Cozy, Modern, Aesthetic, Instagramable, Work Friendly, Study Friendly, WiFi, Community Hub, Cyclist Friendly, Hangout, Lifestyle, Kuliner Surabaya, Surabaya.</t>
  </si>
  <si>
    <t>-7.2891827, 112.7370669</t>
  </si>
  <si>
    <t>https://www.google.com/maps/place/C12+Coffee+%26+Ride/data=!4m7!3m6!1s0x2dd7fbf7a0a518af:0xf956a28be2a6a035!8m2!3d-7.2891827!4d112.7370669!16s%2Fg%2F11ny5bh1l2!19sChIJrxiloPf71y0RNaCm4ouiVvk?authuser=0&amp;hl=zh-TW&amp;rclk=1</t>
  </si>
  <si>
    <t>Muphus Seafood Surabaya Unesa</t>
  </si>
  <si>
    <t>Muphus Seafood Surabaya Unesa merupakan restoran seafood di kawasan Universitas Negeri Surabaya yang menyajikan berbagai hidangan laut segar dengan cita rasa khas. Menu seperti kepiting, udang, cumi, kerang, dan ikan tersedia dengan pilihan bumbu yang beragam, mulai dari saus padang, lada hitam, hingga saus tiram. Dengan porsi yang cocok untuk dinikmati bersama serta suasana makan yang nyaman, restoran ini menjadi pilihan favorit bagi mahasiswa, keluarga, maupun pecinta seafood di Surabaya.</t>
  </si>
  <si>
    <t>Seafood, Restaurant, Makanan Laut, Kepiting, Udang, Cumi, Kerang, Ikan Bakar, Saus Padang, Lada Hitam, Saus Tiram, Casual Dining, Family Friendly, Gathering, Food Hunting, Makan Siang, Makan Malam, Kuliner Surabaya, Unesa, Wisata Kuliner, Surabaya.</t>
  </si>
  <si>
    <t>-7.2982948, 112.6706293</t>
  </si>
  <si>
    <t>https://www.google.com/maps/place/Muphus+Seafood+Surabaya+Unesa/data=!4m7!3m6!1s0x2dd7fda6cc3d15cd:0x28925092075ba3ee!8m2!3d-7.2982948!4d112.6706293!16s%2Fg%2F11w9n1n0hg!19sChIJzRU9zKb91y0R7qNbB5JQkig?authuser=0&amp;hl=zh-TW&amp;rclk=1</t>
  </si>
  <si>
    <t>Gajah Mada Pangsit Mie Ayam</t>
  </si>
  <si>
    <t>Gajah Mada Pangsit Mie Ayam merupakan salah satu tempat kuliner di Surabaya yang menyajikan mi ayam dengan cita rasa khas, dipadukan dengan pangsit gurih dan kuah kaldu yang lezat. Mi yang kenyal disajikan bersama topping ayam berbumbu, pangsit, serta pelengkap lainnya sehingga menghasilkan hidangan yang nikmat dan mengenyangkan. Dengan kualitas rasa yang konsisten, suasana makan yang nyaman, dan harga yang terjangkau, tempat ini menjadi salah satu favorit bagi pecinta mi ayam di Surabaya.</t>
  </si>
  <si>
    <t>Kuliner, Mie Ayam, Pangsit, Pangsit Mie, Mi Kenyal, Kuah Kaldu, Comfort Food, Makanan Indonesia, Kuliner Surabaya, Kuliner Lokal, Makan Siang, Makan Malam, Hidangan Hangat, Food Hunting, Harga Terjangkau, Casual Dining, Family Friendly, Favorit Warga, Wisata Kuliner, Surabaya.</t>
  </si>
  <si>
    <t>4.0</t>
  </si>
  <si>
    <t>-7.2670157, 112.7693953</t>
  </si>
  <si>
    <t>https://www.google.com/maps/place/Gajah+Mada+Pangsit+Mie+Ayam/data=!4m7!3m6!1s0x2dd7fa298c34dcfb:0xc74fdbe624c9b2bf!8m2!3d-7.2670157!4d112.7693953!16s%2Fg%2F1hc3jp5vs!19sChIJ-9w0jCn61y0Rv7LJJObbT8c?authuser=0&amp;hl=zh-TW&amp;rclk=1</t>
  </si>
  <si>
    <t>Pangsit Mie Ayam Jakarta Gebang Putih</t>
  </si>
  <si>
    <t>Pangsit Mie Ayam Jakarta Gebang Putih merupakan salah satu tempat kuliner di Surabaya yang menyajikan mi ayam bergaya Jakarta dengan cita rasa gurih dan tekstur mi yang kenyal. Hidangan disajikan dengan topping ayam berbumbu, kuah kaldu yang lezat, serta pelengkap seperti pangsit, bakso, dan sayuran sehingga menghasilkan sajian yang nikmat dan mengenyangkan. Dengan rasa yang konsisten, suasana makan yang nyaman, dan harga yang terjangkau, tempat ini menjadi favorit bagi pecinta mi ayam di kawasan Gebang Putih dan sekitarnya.</t>
  </si>
  <si>
    <t>Kuliner, Mie Ayam, Pangsit, Pangsit Mie, Bakso, Mi Kenyal, Kuah Kaldu, Comfort Food, Makanan Indonesia, Kuliner Surabaya, Kuliner Lokal, Gebang Putih, Makan Siang, Makan Malam, Hidangan Hangat, Food Hunting, Casual Dining, Family Friendly, Harga Terjangkau, Wisata Kuliner, Surabaya.</t>
  </si>
  <si>
    <t>-7.2823374, 112.7858515</t>
  </si>
  <si>
    <t>https://www.google.com/maps/place/Pangsit+Mie+Ayam+Jakarta/data=!4m7!3m6!1s0x2dd7fa3fcd004e21:0x80f4deb068072395!8m2!3d-7.2823374!4d112.7858515!16s%2Fg%2F11bx0b02rh!19sChIJIU4AzT_61y0RlSMHaLDe9IA?authuser=0&amp;hl=zh-TW&amp;rclk=1</t>
  </si>
  <si>
    <t>Hue Coffee</t>
  </si>
  <si>
    <t>Hue Coffee merupakan kafe modern di Surabaya yang menawarkan suasana nyaman dengan desain interior minimalis dan estetik. Kafe ini menjadi tempat yang ideal untuk menikmati specialty coffee, bekerja, belajar, maupun berkumpul bersama teman dan keluarga. Selain menyajikan berbagai pilihan kopi, Hue Coffee juga menawarkan minuman non-kopi, dessert, serta aneka makanan yang dapat dinikmati sepanjang hari dalam ambience yang hangat dan menenangkan.</t>
  </si>
  <si>
    <t>Cafe, Coffee Shop, Specialty Coffee, Kopi, Non-Coffee, Dessert, Brunch, Kuliner, Nongkrong, Cozy, Modern, Minimalist, Aesthetic, Instagramable, Spot Foto, Work Friendly, Study Friendly, WiFi, Hangout, Couple Friendly, Family Friendly, Lifestyle, Kuliner Surabaya, Surabaya.</t>
  </si>
  <si>
    <t>-7.2648523, 112.6874236</t>
  </si>
  <si>
    <t>https://www.google.com/maps/place/HUE+Coffee/data=!4m7!3m6!1s0x2dd7ff4f1b4bb1db:0x223e99809f70c585!8m2!3d-7.2648523!4d112.6874236!16s%2Fg%2F11r_nsd_vz!19sChIJ27FLG0__1y0RhcVwn4CZPiI?authuser=0&amp;hl=zh-TW&amp;rclk=1</t>
  </si>
  <si>
    <t>Threelogy Coffee</t>
  </si>
  <si>
    <t>Threelogy Coffee merupakan kafe di Surabaya yang menghadirkan pengalaman menikmati kopi dalam suasana modern, nyaman, dan estetik. Menawarkan berbagai pilihan specialty coffee, minuman non-kopi, serta makanan ringan dan hidangan utama, kafe ini cocok untuk bekerja, belajar, mengadakan pertemuan, maupun bersantai bersama teman. Dengan desain interior yang menarik dan ambience yang tenang, Threelogy Coffee menjadi salah satu destinasi favorit bagi pecinta kopi di Surabaya.</t>
  </si>
  <si>
    <t>Cafe, Coffee Shop, Specialty Coffee, Kopi, Non-Coffee, Dessert, Brunch, Kuliner, Nongkrong, Cozy, Modern, Aesthetic, Instagramable, Spot Foto, Work Friendly, Study Friendly, WiFi, Hangout, Couple Friendly, Family Friendly, Lifestyle, Meeting, Kuliner Surabaya, Surabaya.</t>
  </si>
  <si>
    <t>-7.2819229, 112.7415054</t>
  </si>
  <si>
    <t>https://www.google.com/maps/place/Threelogy+Coffee+-+Mojopahit/data=!4m7!3m6!1s0x2dd7fbc229dfbcbf:0x49390c3a3758eacf!8m2!3d-7.2819229!4d112.7415054!16s%2Fg%2F11d_z77p6v!19sChIJv7zfKcL71y0Rz-pYNzoMOUk?authuser=0&amp;hl=zh-TW&amp;rclk=1</t>
  </si>
  <si>
    <t>Rawon Legendaris Pak Pangat (Pusat)</t>
  </si>
  <si>
    <t>Rawon Legendaris Pak Pangat (Pusat) merupakan salah satu destinasi kuliner legendaris di Surabaya yang terkenal dengan sajian rawon khas Jawa Timur bercita rasa autentik. Kuah hitam yang kaya rempah dari kluwek dipadukan dengan potongan daging sapi yang empuk, serta disajikan bersama nasi, tauge pendek, sambal, telur asin, dan pelengkap lainnya. Dengan resep yang telah dipertahankan selama bertahun-tahun, cita rasa yang konsisten, dan kualitas hidangan yang terjaga, tempat ini menjadi tujuan favorit bagi pencinta rawon di Surabaya.</t>
  </si>
  <si>
    <t>Kuliner, Rawon, Rawon Pak Pangat, Kuliner Legendaris, Rawon Legendaris, Makanan Jawa Timur, Makanan Indonesia, Daging Sapi, Kluwek, Kuah Gurih, Kuliner Surabaya, Kuliner Lokal, Comfort Food, Makan Siang, Makan Malam, Food Hunting, Family Friendly, Casual Dining, Wisata Kuliner, Surabaya.</t>
  </si>
  <si>
    <t>-7.301804, 112.73748</t>
  </si>
  <si>
    <t>https://www.google.com/maps/place/Rawon+Legendaris+Pak+Pangat+%28Pusat%29/data=!4m7!3m6!1s0x2dd7fb98b7c333f3:0x3496c6df71f6f6ac!8m2!3d-7.301804!4d112.73748!16s%2Fg%2F11fxw18qj2!19sChIJ8zPDt5j71y0RrPb2cd_GljQ?authuser=0&amp;hl=zh-TW&amp;rclk=1</t>
  </si>
  <si>
    <t>KEBON KOTA TROPICAL GARDEN RESTAURANT &amp; HALL</t>
  </si>
  <si>
    <t>KEBON KOTA Tropical Garden Restaurant &amp; Hall merupakan restoran di Surabaya yang mengusung konsep taman tropis dengan suasana hijau, asri, dan nyaman. Dikelilingi pepohonan serta lanskap yang tertata indah, restoran ini menawarkan pengalaman bersantap yang menyatu dengan nuansa alam. Beragam hidangan khas Indonesia dan internasional tersedia untuk dinikmati, menjadikan tempat ini cocok untuk makan bersama keluarga, acara pernikahan, gathering, hingga berbagai perayaan spesial.</t>
  </si>
  <si>
    <t>Restaurant, Garden Restaurant, Tropical Garden, Outdoor Dining, Indonesian Food, International Cuisine, Family Friendly, Gathering, Wedding Venue, Event Hall, Celebration, Nature, Greenery, Aesthetic, Instagramable, Spot Foto, Casual Dining, Fine Dining, Kuliner Surabaya, Wisata Kuliner, Surabaya.</t>
  </si>
  <si>
    <t>-7.3126739, 112.7048741</t>
  </si>
  <si>
    <t>https://www.google.com/maps/place/KEBON+KOTA+TROPICAL+GARDEN+RESTAURANT+%26+HALL/data=!4m7!3m6!1s0x2dd7feb5c0be9709:0x82bc9a88a308143c!8m2!3d-7.3126739!4d112.7048741!16s%2Fg%2F1hm3k2g3r!19sChIJCZe-wLX-1y0RPBQIo4iavII?authuser=0&amp;hl=zh-TW&amp;rclk=1</t>
  </si>
  <si>
    <t>BEBEK BOOM</t>
  </si>
  <si>
    <t>BEBEK BOOM merupakan salah satu tempat kuliner di Surabaya yang menyajikan aneka olahan bebek dengan cita rasa khas dan bumbu yang meresap. Daging bebek yang empuk dipadukan dengan sambal pedas, lalapan segar, dan nasi hangat menciptakan perpaduan rasa gurih yang menggugah selera. Dengan pilihan menu yang beragam, porsi yang mengenyangkan, serta suasana makan yang nyaman, BEBEK BOOM menjadi destinasi favorit bagi pecinta kuliner bebek di Surabaya.</t>
  </si>
  <si>
    <t>Kuliner, Bebek, Bebek Goreng, Bebek Bakar, Sambal Pedas, Lalapan, Makanan Indonesia, Makanan Jawa Timur, Kuliner Surabaya, Kuliner Lokal, Comfort Food, Makan Siang, Makan Malam, Family Friendly, Casual Dining, Food Hunting, Favorit Warga, Hidangan Nusantara, Wisata Kuliner, Surabaya.</t>
  </si>
  <si>
    <t>-7.2680745, 112.6619873</t>
  </si>
  <si>
    <t>https://www.google.com/maps/place/BEBEK+BOOM/data=!4m7!3m6!1s0x2dd7fe7eabc24cfb:0x7da2023118d6727e!8m2!3d-7.2680745!4d112.6619873!16s%2Fg%2F11fy4jx_9q!19sChIJ-0zCq37-1y0RfnLWGDECon0?authuser=0&amp;hl=zh-TW&amp;rclk=1</t>
  </si>
  <si>
    <t>Bebek Petemon Simo</t>
  </si>
  <si>
    <t>Bebek Petemon Simo merupakan salah satu tempat kuliner di Surabaya yang terkenal dengan sajian bebek goreng khas Jawa Timur bercita rasa gurih dan bumbu yang meresap. Daging bebek yang empuk dipadukan dengan sambal pedas khas, lalapan segar, dan nasi hangat menciptakan perpaduan rasa yang menggugah selera. Dengan kualitas hidangan yang konsisten, porsi yang mengenyangkan, serta suasana makan yang nyaman, Bebek Petemon Simo menjadi pilihan favorit bagi pecinta olahan bebek di Surabaya.</t>
  </si>
  <si>
    <t>Kuliner, Bebek, Bebek Goreng, Sambal Pedas, Lalapan, Makanan Jawa Timur, Makanan Indonesia, Kuliner Surabaya, Kuliner Lokal, Comfort Food, Makan Siang, Makan Malam, Food Hunting, Casual Dining, Family Friendly, Favorit Warga, Hidangan Nusantara, Wisata Kuliner, Surabaya.</t>
  </si>
  <si>
    <t>-7.2671405, 112.7079655</t>
  </si>
  <si>
    <t>https://www.google.com/maps/place/Bebek+Petemon/data=!4m7!3m6!1s0x2dd7fea9969e7f2d:0x3f45ac100a69e575!8m2!3d-7.2671405!4d112.7079655!16s%2Fg%2F11gbz3bjzj!19sChIJLX-elqn-1y0RdeVpChCsRT8?authuser=0&amp;hl=zh-TW&amp;rclk=1</t>
  </si>
  <si>
    <t>Surabaya North Quay</t>
  </si>
  <si>
    <t>Surabaya North Quay merupakan salah satu destinasi wisata ikonik di Surabaya yang berada di kawasan Pelabuhan Tanjung Perak dan menawarkan panorama laut serta aktivitas pelabuhan dari ketinggian. Pengunjung dapat menikmati pemandangan kapal pesiar, kapal niaga, dan matahari terbenam sambil bersantai di area terbuka yang nyaman. Selain menjadi tempat rekreasi, Surabaya North Quay juga dilengkapi dengan area kuliner, spot foto, serta ruang publik yang menjadikannya destinasi favorit untuk menikmati suasana pesisir kota.</t>
  </si>
  <si>
    <t>Wisata, Pelabuhan, Surabaya North Quay, Tanjung Perak, Wisata Pesisir, Laut, City View, Sunset, Kapal Pesiar, Spot Foto, Instagramable, Fotografi, Rekreasi, Healing, Santai, Family Friendly, Couple Friendly, Landmark Surabaya, Wisata Kota, Surabaya.</t>
  </si>
  <si>
    <t>-7.1969273, 112.7322829</t>
  </si>
  <si>
    <t>https://www.google.com/maps/place/Surabaya+North+Quay/data=!4m7!3m6!1s0x2e778f2099fd4fa9:0xc1c1d0cff4cc2710!8m2!3d-7.1969273!4d112.7322829!16s%2Fg%2F11clycmn5j!19sChIJqU_9mSCPdy4RECfM9M_QwcE?authuser=0&amp;hl=zh-TW&amp;rclk=1</t>
  </si>
  <si>
    <t>Soto Ayam "Cak To" Undaan Wetan</t>
  </si>
  <si>
    <t>Soto Ayam "Cak To" Undaan Wetan merupakan salah satu kuliner legendaris di Surabaya yang terkenal dengan soto ayam berkuah gurih dan kaya rempah. Disajikan dengan potongan ayam, soun, kol, telur, serta pelengkap seperti sambal, jeruk nipis, dan kerupuk, hidangan ini menghadirkan cita rasa yang hangat dan menggugah selera. Dengan resep yang konsisten dan telah menjadi favorit masyarakat selama bertahun-tahun, tempat ini menjadi destinasi wajib bagi pencinta soto di Surabaya.</t>
  </si>
  <si>
    <t>Kuliner, Soto Ayam, Soto, Kuliner Legendaris, Kuah Gurih, Makanan Indonesia, Kuliner Surabaya, Kuliner Lokal, Comfort Food, Hidangan Hangat, Sarapan, Makan Siang, Makan Malam, Food Hunting, Family Friendly, Casual Dining, Favorit Warga, Wisata Kuliner, Undaan Wetan, Surabaya.</t>
  </si>
  <si>
    <t>-7.2549963, 112.7444317</t>
  </si>
  <si>
    <t>https://www.google.com/maps/place/Soto+Ayam+%22Cak+To%22+Undaan+Wetan/data=!4m7!3m6!1s0x2dd7f96bff179693:0x9c1040bc8458c28b!8m2!3d-7.2549963!4d112.7444317!16s%2Fg%2F1pzpngr1h!19sChIJk5YX_2v51y0Ri8JYhLxAEJw?authuser=0&amp;hl=zh-TW&amp;rclk=1</t>
  </si>
  <si>
    <t>Bebek Sinjay Madura</t>
  </si>
  <si>
    <t>Bebek Sinjay Madura merupakan restoran yang menyajikan bebek goreng khas Madura dengan cita rasa autentik yang telah dikenal luas. Daging bebek yang empuk dipadukan dengan sambal pencit khas Madura, lalapan segar, dan nasi hangat menciptakan perpaduan rasa gurih, pedas, dan segar yang menjadi ciri khasnya. Dengan kualitas rasa yang konsisten dan menu khas yang digemari banyak orang, Bebek Sinjay menjadi destinasi favorit bagi pecinta kuliner Madura di Surabaya.</t>
  </si>
  <si>
    <t>Kuliner, Bebek Sinjay, Bebek Goreng, Kuliner Madura, Sambal Pencit, Sambal Mangga Muda, Lalapan, Makanan Indonesia, Kuliner Surabaya, Kuliner Lokal, Comfort Food, Makan Siang, Makan Malam, Family Friendly, Casual Dining, Food Hunting, Favorit Warga, Hidangan Nusantara, Wisata Kuliner, Surabaya.</t>
  </si>
  <si>
    <t>-7.0382696, 112.7684461</t>
  </si>
  <si>
    <t>https://www.google.com/maps/place/Bebek+Sinjay/data=!4m7!3m6!1s0x2dd80576c84a54d3:0xfb25a1b85558795c!8m2!3d-7.0382696!4d112.7684461!16s%2Fg%2F11c3j5c4_1!19sChIJ01RKyHYF2C0RXHlYVbihJfs?authuser=0&amp;hl=zh-TW&amp;rclk=1</t>
  </si>
  <si>
    <t>Bunbee Korean Bakery and Cafe</t>
  </si>
  <si>
    <t>Kafe bergaya Korean-French fusion yang menghadirkan perpaduan pastry Perancis dengan cita rasa Korea khas. Sajian unggulan berupa Almond Croissant, berbagai varian bakery segar, Korean fusion food, steak, pizza, dan kopi. Desain minimalis modern ala Seoul yang sangat instagramable.</t>
  </si>
  <si>
    <t>Cafe, Korean Bakery, French Pastry, Croissant, Korean Food, Coffee, Aesthetic, Instagramable, Family Friendly, Kids Friendly, Surabaya Selatan</t>
  </si>
  <si>
    <t>-7.281651974195649, 112.73116133882263</t>
  </si>
  <si>
    <t>-7,281651974195649</t>
  </si>
  <si>
    <t>112,73116133882263</t>
  </si>
  <si>
    <t>https://www.google.com/maps/place/Bunbee+Korean+Bakery+and+Cafe/@-7.288463,112.6612952,12z/data=!4m10!1m2!2m1!1sBunbee+Korean+Bakery+and+Cafe!3m6!1s0x2dd7fb3fea9269c7:0xe5998872582d503a!8m2!3d-7.288463!4d112.731333!15sCh1CdW5iZWUgS29yZWFuIEJha2VyeSBhbmQgQ2FmZVofIh1idW5iZWUga29yZWFuIGJha2VyeSBhbmQgY2FmZZIBEWtvcmVhbl9yZXN0YXVyYW50mgEjQ2haRFNVaE5NRzluUzBWSlEwRm5TVU01YWxwNWFVWjNFQUXgAQD6AQQIABBA!16s%2Fg%2F11qp4ml4c_?entry=ttu&amp;g_ep=EgoyMDI2MDYyOS4wIKXMDSoASAFQAw%3D%3D</t>
  </si>
  <si>
    <t>Taichan Nyot2</t>
  </si>
  <si>
    <t>Taichan Nyot2 merupakan salah satu destinasi kuliner di Surabaya yang dikenal dengan sajian sate taichan bercita rasa gurih dan pedas. Potongan daging ayam yang dibakar tanpa bumbu kacang disajikan dengan sambal khas, perasan jeruk nipis, serta nasi atau lontong, menghasilkan perpaduan rasa yang segar dan menggugah selera. Dengan suasana makan yang santai, harga yang terjangkau, dan pilihan tingkat kepedasan, Taichan Nyot2 menjadi tempat favorit untuk menikmati kuliner bersama teman maupun keluarga.</t>
  </si>
  <si>
    <t>Kuliner, Sate Taichan, Sate Ayam, Sambal Pedas, Kuliner Surabaya, Kuliner Lokal, Street Food, Food Hunting, Makanan Indonesia, Makan Siang, Makan Malam, Comfort Food, Casual Dining, Nongkrong, Harga Terjangkau, Family Friendly, Couple Friendly, Favorit Warga, Wisata Kuliner, Surabaya.</t>
  </si>
  <si>
    <t>-7.2792099, 112.7560165</t>
  </si>
  <si>
    <t>https://www.google.com/maps/place/Sate+Taichan+Nyot+Nyot/data=!4m7!3m6!1s0x2dd7fbcdffc52ecd:0x343a0798ffc06d34!8m2!3d-7.2792099!4d112.7560165!16s%2Fg%2F11fhr7nfjg!19sChIJzS7F_8371y0RNG3A_5gHOjQ?authuser=0&amp;hl=zh-TW&amp;rclk=1</t>
  </si>
  <si>
    <t>Mie Ayam Sido Kangen</t>
  </si>
  <si>
    <t>Mie Ayam Sido Kangen merupakan salah satu tempat kuliner di Surabaya yang menyajikan mi ayam dengan cita rasa khas dan tekstur mi yang kenyal. Hidangan disajikan dengan topping ayam berbumbu, kuah kaldu yang gurih, serta pelengkap seperti pangsit, bakso, dan sawi yang menambah kelezatan setiap porsi. Dengan rasa yang konsisten, porsi yang mengenyangkan, dan suasana makan yang nyaman, tempat ini menjadi pilihan favorit bagi pecinta mi ayam di Surabaya.</t>
  </si>
  <si>
    <t>Kuliner, Mie Ayam, Pangsit, Bakso, Mi Kenyal, Kuah Kaldu, Comfort Food, Makanan Indonesia, Kuliner Surabaya, Kuliner Lokal, Makan Siang, Makan Malam, Hidangan Hangat, Food Hunting, Casual Dining, Family Friendly, Harga Terjangkau, Favorit Warga, Wisata Kuliner, Surabaya.</t>
  </si>
  <si>
    <t>-7.2397297, 112.7177921</t>
  </si>
  <si>
    <t>https://www.google.com/maps/place/Mie+Ayam+Sido+Kangen/data=!4m7!3m6!1s0x2dd7f932f0b6b623:0x63ab48a455a7e591!8m2!3d-7.2397297!4d112.7177921!16s%2Fg%2F11cls6cf26!19sChIJI7a28DL51y0RkeWnVaRIq2M?authuser=0&amp;hl=zh-TW&amp;rclk=1</t>
  </si>
  <si>
    <t>Eco Wisata - Susur Sungai Kejawan Putih Tambak</t>
  </si>
  <si>
    <t>Eco Wisata - Susur Sungai Kejawan Putih Tambak merupakan destinasi ekowisata di Surabaya yang menawarkan pengalaman menyusuri sungai di kawasan pesisir sambil menikmati keindahan alam dan ekosistem sekitarnya. Pengunjung dapat melihat kawasan mangrove, mengamati berbagai jenis burung dan satwa, serta mempelajari pentingnya pelestarian lingkungan melalui wisata berbasis edukasi. Dengan suasana yang tenang dan alami, tempat ini menjadi pilihan yang tepat untuk rekreasi keluarga, fotografi, maupun wisata edukasi.</t>
  </si>
  <si>
    <t>Ekowisata, Susur Sungai, Wisata Sungai, Wisata Alam, Mangrove, Kejawan Putih Tambak, Konservasi, Edukasi, Pesisir, Nature, Outdoor, Rekreasi, Healing, Spot Foto, Fotografi, Bird Watching, Family Friendly, Wisata Kota, Green Tourism, Surabaya.</t>
  </si>
  <si>
    <t>-7.2842452, 112.805911</t>
  </si>
  <si>
    <t>https://www.google.com/maps/place/Eco+Wisata+-+Susur+Sungai+Kejawan+Putih+Tambak/data=!4m7!3m6!1s0x2dd7fb037e40def1:0x901b288d43057665!8m2!3d-7.2842452!4d112.805911!16s%2Fg%2F11s7vmb7tq!19sChIJ8d5AfgP71y0RZXYFQ40oG5A?authuser=0&amp;hl=zh-TW&amp;rclk=1</t>
  </si>
  <si>
    <t>Penyetan Cok PTC</t>
  </si>
  <si>
    <t>Penyetan Cok PTC merupakan tempat makan di Surabaya yang menyajikan aneka hidangan penyetan khas Jawa Timur dengan sambal pedas yang menjadi ciri khasnya. Berbagai pilihan lauk seperti ayam, bebek, lele, ikan, tahu, dan tempe disajikan bersama lalapan segar serta nasi hangat, menghasilkan hidangan yang lezat dan mengenyangkan. Berlokasi di kawasan Pakuwon Trade Center (PTC), tempat ini menjadi pilihan yang praktis untuk menikmati kuliner Nusantara setelah berbelanja maupun berkumpul bersama keluarga.</t>
  </si>
  <si>
    <t>Kuliner, Penyetan, Ayam Penyet, Bebek Penyet, Lele Penyet, Ikan Penyet, Sambal Pedas, Lalapan, Makanan Indonesia, Makanan Jawa Timur, Kuliner Surabaya, PTC, Pakuwon Trade Center, Comfort Food, Makan Siang, Makan Malam, Casual Dining, Family Friendly, Food Hunting, Wisata Kuliner, Surabaya.</t>
  </si>
  <si>
    <t>-7.2907677, 112.6736724</t>
  </si>
  <si>
    <t>https://www.google.com/maps/place/Penyetan+Cok+PTC/data=!4m7!3m6!1s0x2dd7fda7a85b9155:0x12901a5ff579aa6b!8m2!3d-7.2907677!4d112.6736724!16s%2Fg%2F11y448yg1z!19sChIJVZFbqKf91y0Ra6p59V8akBI?authuser=0&amp;hl=zh-TW&amp;rclk=1</t>
  </si>
  <si>
    <t>Taman Hutan Raya Lempung</t>
  </si>
  <si>
    <t>Taman Hutan Raya Lempung merupakan ruang terbuka hijau di Surabaya yang menghadirkan suasana alami dengan pepohonan rindang dan lingkungan yang sejuk. Kawasan ini menjadi tempat yang cocok untuk berjalan santai, berolahraga ringan, menikmati udara segar, maupun menghabiskan waktu bersama keluarga di tengah suasana hijau. Dengan lingkungan yang asri dan tertata, Taman Hutan Raya Lempung menjadi salah satu destinasi rekreasi alam yang mendukung pelestarian lingkungan sekaligus menjadi ruang publik bagi masyarakat.</t>
  </si>
  <si>
    <t>Taman, Hutan Kota, Taman Hutan Raya, Ruang Terbuka Hijau, RTH, Wisata Alam, Nature, Green Space, Rekreasi, Healing, Santai, Jogging, Jalan Santai, Outdoor, Pepohonan Rindang, Family Friendly, Couple Friendly, Spot Foto, Wisata Gratis, Surabaya.</t>
  </si>
  <si>
    <t>-7.2650126, 112.6731242</t>
  </si>
  <si>
    <t>https://www.google.com/maps/place/Taman+Hutan+Raya+Lempung/data=!4m7!3m6!1s0x2dd7fffae6291fcb:0x8328cb2b3f0e2d0e!8m2!3d-7.2650126!4d112.6731242!16s%2Fg%2F11qnt91yrp!19sChIJyx8p5vr_1y0RDi0OPyvLKIM?authuser=0&amp;hl=zh-TW&amp;rclk=1</t>
  </si>
  <si>
    <t>VISMA | Coffee, Art &amp; Co - Working Space</t>
  </si>
  <si>
    <t>VISMA | Coffee, Art &amp; Co - Working Space merupakan kafe sekaligus ruang kerja bersama di Surabaya yang menggabungkan konsep kopi, seni, dan produktivitas dalam satu tempat. Dengan desain interior modern dan estetik, kafe ini menghadirkan suasana yang nyaman untuk bekerja, belajar, mengadakan rapat, maupun bersantai. Beragam pilihan specialty coffee, minuman non-kopi, serta makanan ringan dan hidangan utama tersedia untuk menemani aktivitas sepanjang hari, sementara sentuhan karya seni memberikan pengalaman yang inspiratif bagi para pengunjung.</t>
  </si>
  <si>
    <t>Cafe, Coffee Shop, Working Space, Coworking Space, Specialty Coffee, Kopi, Non-Coffee, Brunch, Dessert, Kuliner, Work Friendly, Study Friendly, WiFi, Meeting, Community, Modern, Aesthetic, Instagramable, Hangout, Lifestyle, Coffee &amp; Art, Kuliner Surabaya, Surabaya.</t>
  </si>
  <si>
    <t>-7.265988, 112.738307</t>
  </si>
  <si>
    <t>https://www.google.com/maps/place/VISMA+%7C+Coffee,+Art+%26+Co+-+Working+Space/data=!4m7!3m6!1s0x2dd7f95f961b3a21:0x937a6a39480a3e32!8m2!3d-7.265988!4d112.738307!16s%2Fg%2F11ckvdmd8s!19sChIJITobll_51y0RMj4KSDlqepM?authuser=0&amp;hl=zh-TW&amp;rclk=1</t>
  </si>
  <si>
    <t>Soto Ayam cak di Lamongan</t>
  </si>
  <si>
    <t>Soto Ayam Cak Di Lamongan merupakan salah satu tempat kuliner di Surabaya yang menyajikan soto ayam khas Lamongan dengan kuah gurih dan kaya rempah. Hidangan disajikan dengan suwiran ayam, kol, soun, telur, serta taburan koya khas Lamongan yang memberikan cita rasa gurih dan tekstur yang unik. Dengan porsi yang mengenyangkan, rasa yang konsisten, dan suasana makan yang nyaman, tempat ini menjadi pilihan favorit untuk menikmati hidangan hangat kapan saja.</t>
  </si>
  <si>
    <t>Kuliner, Soto Ayam, Soto Lamongan, Soto, Koya, Makanan Indonesia, Makanan Jawa Timur, Kuliner Surabaya, Kuliner Lokal, Kuah Gurih, Comfort Food, Sarapan, Makan Siang, Makan Malam, Hidangan Hangat, Food Hunting, Family Friendly, Casual Dining, Wisata Kuliner, Surabaya.</t>
  </si>
  <si>
    <t>-7.2818924, 112.7860041</t>
  </si>
  <si>
    <t>https://www.google.com/maps/place/Soto+Ayam+cak+di+Lamongan/data=!4m7!3m6!1s0x2dd7fa3e2e1b31bb:0x8e6852ffb8b240df!8m2!3d-7.2818924!4d112.7860041!16s%2Fg%2F11n6_1km3y!19sChIJuzEbLj761y0R30CyuP9SaI4?authuser=0&amp;hl=zh-TW&amp;rclk=1</t>
  </si>
  <si>
    <t>Kudos Cafe</t>
  </si>
  <si>
    <t>Kafe cozy di Surabaya Barat dengan desain interior unik penuh ornamen dan kaca sebagai ikon interiornya. Terkenal dengan menu Red Velvet khas dan Garlic Rice with Beef &amp; Mushroom. Terdiri dari dua lantai dengan suasana yang instagramable dan nyaman untuk nongkrong.</t>
  </si>
  <si>
    <t>Cafe, Coffee, Aesthetic, Instagramable, Cozy, Western Food, Pasta, Spot Foto, Hangout, Surabaya Barat</t>
  </si>
  <si>
    <t>-7.2945834920372254, 112.67524040674586</t>
  </si>
  <si>
    <t>-7,2945834920372254</t>
  </si>
  <si>
    <t>112,67524040674586</t>
  </si>
  <si>
    <t>https://www.google.com/maps/place/Kudos+Cafe+-+Pakuwon+Square/@-7.2948389,112.6752565,17z/data=!3m1!4b1!4m6!3m5!1s0x2dd7fc49d6eaaaab:0x37c978891819367f!8m2!3d-7.2948389!4d112.6752565!16s%2Fg%2F11bx4bhk3w?entry=ttu&amp;g_ep=EgoyMDI2MDYyOS4wIKXMDSoASAFQAw%3D%3D</t>
  </si>
  <si>
    <t>TaoHuaYuan Restaurant</t>
  </si>
  <si>
    <t>TaoHuaYuan Restaurant merupakan restoran di Surabaya yang menghadirkan hidangan khas Chinese cuisine dengan cita rasa autentik dalam suasana elegan dan nyaman. Restoran ini menawarkan beragam menu seperti dim sum, aneka seafood, olahan bebek, ayam, serta hidangan khas Tiongkok yang cocok dinikmati bersama keluarga maupun kolega. Dengan pelayanan yang profesional dan interior yang berkelas, TaoHuaYuan Restaurant menjadi pilihan tepat untuk makan bersama, pertemuan bisnis, maupun perayaan acara spesial.</t>
  </si>
  <si>
    <t>Restaurant, Chinese Restaurant, Chinese Food, Dim Sum, Seafood, Cantonese Cuisine, Asian Food, Fine Dining, Casual Dining, Family Friendly, Business Meeting, Celebration, Lunch, Dinner, Elegant, Premium, Kuliner Surabaya, Wisata Kuliner, Lifestyle, Surabaya.</t>
  </si>
  <si>
    <t>50000-300000</t>
  </si>
  <si>
    <t>-7.2882098, 112.7007817</t>
  </si>
  <si>
    <t>https://www.google.com/maps/place/TaoHuaYuan+Restaurant/data=!4m7!3m6!1s0x2dd7fd4abffa0a4f:0xb85380abd14e9c24!8m2!3d-7.2882098!4d112.7007817!16s%2Fg%2F11y98kl8tt!19sChIJTwr6v0r91y0RJJxO0auAU7g?authuser=0&amp;hl=zh-TW&amp;rclk=1</t>
  </si>
  <si>
    <t>Pangsit Mie Ayam Jakarta Kaisar</t>
  </si>
  <si>
    <t>Pangsit Mie Ayam Jakarta Kaisar merupakan salah satu tempat kuliner di Surabaya yang menyajikan mi ayam bergaya Jakarta dengan cita rasa gurih dan tekstur mi yang kenyal. Hidangan disajikan dengan topping ayam berbumbu, pangsit, kuah kaldu yang lezat, serta pelengkap lainnya sehingga menghasilkan sajian yang nikmat dan mengenyangkan. Dengan rasa yang konsisten, harga yang terjangkau, dan suasana makan yang nyaman, tempat ini menjadi pilihan favorit bagi pecinta mi ayam di Surabaya.</t>
  </si>
  <si>
    <t>Kuliner, Mie Ayam, Pangsit, Pangsit Mie, Bakso, Mi Kenyal, Kuah Kaldu, Comfort Food, Makanan Indonesia, Kuliner Surabaya, Kuliner Lokal, Makan Siang, Makan Malam, Hidangan Hangat, Food Hunting, Casual Dining, Family Friendly, Harga Terjangkau, Wisata Kuliner, Surabaya.</t>
  </si>
  <si>
    <t>-7.262635, 112.7248143</t>
  </si>
  <si>
    <t>https://www.google.com/maps/place/Pangsit+Mie+Ayam+Jakarta+Kaisar/data=!4m7!3m6!1s0x2dd7f950d26c73b5:0x956e89d4e34797cd!8m2!3d-7.262635!4d112.7248143!16s%2Fg%2F11b6c8x1rq!19sChIJtXNs0lD51y0RzZdH49SJbpU?authuser=0&amp;hl=zh-TW&amp;rclk=1</t>
  </si>
  <si>
    <t>Pangsit Mie Ayam Jakarta Mandiri II</t>
  </si>
  <si>
    <t>Pangsit Mie Ayam Jakarta Mandiri II merupakan salah satu tempat kuliner di Surabaya yang menyajikan mi ayam bergaya Jakarta dengan cita rasa gurih dan tekstur mi yang kenyal. Hidangan disajikan dengan topping ayam berbumbu, pangsit, kuah kaldu yang lezat, serta pelengkap seperti bakso dan sawi sehingga menghasilkan sajian yang nikmat dan mengenyangkan. Dengan kualitas rasa yang konsisten, harga yang terjangkau, dan suasana makan yang nyaman, tempat ini menjadi favorit bagi pecinta mi ayam di Surabaya.</t>
  </si>
  <si>
    <t>Kuliner, Mie Ayam, Pangsit, Pangsit Mie, Bakso, Mi Kenyal, Kuah Kaldu, Comfort Food, Makanan Indonesia, Kuliner Surabaya, Kuliner Lokal, Makan Siang, Makan Malam, Hidangan Hangat, Food Hunting, Casual Dining, Family Friendly, Harga Terjangkau, Favorit Warga, Wisata Kuliner, Surabaya.</t>
  </si>
  <si>
    <t>Sabtu - Kamis</t>
  </si>
  <si>
    <t>Jumat</t>
  </si>
  <si>
    <t>-7.2801337, 112.6361065</t>
  </si>
  <si>
    <t>https://www.google.com/maps/place/Pangsit+Mie+Ayam+Jakarta+Mandiri+II/data=!4m7!3m6!1s0x2dd7fde5b53967d5:0x361d4db5b945b3d2!8m2!3d-7.2801337!4d112.6361065!16s%2Fg%2F11f15m81my!19sChIJ1Wc5teX91y0R0rNFubVNHTY?authuser=0&amp;hl=zh-TW&amp;rclk=1</t>
  </si>
  <si>
    <t>Piting Kerang - Merr</t>
  </si>
  <si>
    <t>Piting Kerang - Merr merupakan restoran seafood di Surabaya yang menyajikan beragam hidangan laut segar dengan cita rasa khas Nusantara. Menu andalan seperti kepiting, kerang, udang, cumi, dan ikan tersedia dengan berbagai pilihan bumbu, mulai dari saus padang, saus tiram, lada hitam, hingga mentega. Dengan porsi yang cocok untuk dinikmati bersama, suasana makan yang nyaman, dan cita rasa yang kaya, restoran ini menjadi destinasi favorit bagi pecinta seafood di kawasan MERR.</t>
  </si>
  <si>
    <t>Seafood, Restaurant, Makanan Laut, Kepiting, Kerang, Udang, Cumi, Ikan, Saus Padang, Saus Tiram, Lada Hitam, Butter Sauce, Casual Dining, Family Friendly, Gathering, Makan Siang, Makan Malam, Food Hunting, Kuliner Surabaya, Wisata Kuliner, Surabaya.</t>
  </si>
  <si>
    <t>25000-100000</t>
  </si>
  <si>
    <t>-7.2536537, 112.7824638</t>
  </si>
  <si>
    <t>https://www.google.com/maps/place/Piting+Kerang/data=!4m7!3m6!1s0x2dd7f9bc10b4364f:0xce7bad0d43091c00!8m2!3d-7.2536537!4d112.7824638!16s%2Fg%2F11h5655dsv!19sChIJTza0ELz51y0RABwJQw2te84?authuser=0&amp;hl=zh-TW&amp;rclk=1</t>
  </si>
  <si>
    <t>Percent BLACK % Speciality Coffee Bar</t>
  </si>
  <si>
    <t>Percent BLACK % Speciality Coffee Bar merupakan kafe modern di Surabaya yang berfokus pada penyajian specialty coffee berkualitas dalam suasana minimalis dan elegan. Beragam pilihan espresso-based coffee, manual brew, serta minuman non-kopi disajikan menggunakan biji kopi pilihan untuk menghadirkan pengalaman menikmati kopi yang autentik. Dengan desain interior yang estetik, ambience yang nyaman, dan fasilitas yang mendukung, kafe ini menjadi pilihan ideal untuk bekerja, belajar, maupun bersantai bersama teman.</t>
  </si>
  <si>
    <t>Cafe, Specialty Coffee, Coffee Bar, Coffee Shop, Espresso, Manual Brew, Kopi, Non-Coffee, Brunch, Dessert, Kuliner, Cozy, Modern, Minimalist, Aesthetic, Instagramable, Work Friendly, Study Friendly, WiFi, Hangout, Lifestyle, Kuliner Surabaya, Surabaya.</t>
  </si>
  <si>
    <t>-7.2673827, 112.7712047</t>
  </si>
  <si>
    <t>https://www.google.com/maps/place/Percent+BLACK+%25+Speciality+Coffee+Roastery+%26+Bar/data=!4m7!3m6!1s0x2dd7fa29afeb2fc9:0x16de258b29369173!8m2!3d-7.2673827!4d112.7712047!16s%2Fg%2F11hd7ft6yn!19sChIJyS_rryn61y0Rc5E2KYsl3hY?authuser=0&amp;hl=zh-TW&amp;rclk=1</t>
  </si>
  <si>
    <t>Taman Barunawati</t>
  </si>
  <si>
    <t>Taman Barunawati merupakan salah satu ruang terbuka hijau di Surabaya yang menawarkan suasana asri dan nyaman untuk rekreasi maupun aktivitas luar ruangan. Dilengkapi dengan pepohonan rindang, jalur pejalan kaki, dan area duduk, taman ini menjadi tempat yang cocok untuk berolahraga ringan, bersantai, atau menikmati waktu bersama keluarga. Lingkungan yang teduh dan tertata menjadikan Taman Barunawati sebagai salah satu ruang publik yang mendukung kualitas hidup masyarakat perkotaan.</t>
  </si>
  <si>
    <t>-7.2220559, 112.7319967</t>
  </si>
  <si>
    <t>https://www.google.com/maps/place/Taman+Barunawati/data=!4m7!3m6!1s0x2dd7f8dbe21fd6e7:0x3c62c2a288e92d0b!8m2!3d-7.2220559!4d112.7319967!16s%2Fg%2F11b6dpg7t_!19sChIJ59Yf4tv41y0RCy3piKLCYjw?authuser=0&amp;hl=zh-TW&amp;rclk=1</t>
  </si>
  <si>
    <t>Taman Gantung Tunjungan</t>
  </si>
  <si>
    <t>Taman Gantung Tunjungan adalah taman vertikal unik yang berada di kawasan Jalan Tunjungan, hadir sebagai inovasi ruang hijau di tengah kepadatan kota. Konsep taman ini memanfaatkan struktur vertikal dengan tanaman-tanaman hijau yang menggantung, menciptakan oasis segar di jantung kawasan perniagaan bersejarah Surabaya. Menjadi salah satu elemen estetis yang memperindah kawasan Tunjungan sebagai destinasi wisata kota.</t>
  </si>
  <si>
    <t>Taman Vertikal, Taman Kota, Taman Tematik, Urban Farming, Ruang Terbuka Hijau, Outdoor, Aesthetic, Instagramable, Spot Foto, Fotografi, Healing, Santai, City Walk, Community Space, Inovatif, Wisata Gratis, Kawasan Tunjungan, Landmark Surabaya, Urban Tourism, Pusat Kota, Surabaya.</t>
  </si>
  <si>
    <t>-7.256603120558656, 112.73758167301209</t>
  </si>
  <si>
    <t>https://www.google.com/maps/place/Taman+Gantung+Tunjungan/@-7.2568213,112.7375173,17z/data=!3m1!4b1!4m6!3m5!1s0x2dd7f942b589b0dd:0x6ae866db0b415b93!8m2!3d-7.2568213!4d112.7375173!16s%2Fg%2F11f54rfcj_?entry=ttu&amp;g_ep=EgoyMDI2MDYyOS4wIKXMDSoASAFQAw%3D%3D</t>
  </si>
  <si>
    <t>Marshal Brew Coffee Surabaya</t>
  </si>
  <si>
    <t>Marshal Brew Coffee Surabaya merupakan kafe modern yang menawarkan pengalaman menikmati specialty coffee dalam suasana yang nyaman dan estetik. Menyajikan beragam pilihan espresso-based coffee, manual brew, minuman non-kopi, serta aneka makanan ringan dan hidangan utama, kafe ini cocok untuk bekerja, belajar, maupun bersantai bersama teman dan keluarga. Dengan desain interior yang modern, ambience yang hangat, dan fasilitas yang mendukung, Marshal Brew Coffee menjadi salah satu destinasi favorit bagi pecinta kopi di Surabaya.</t>
  </si>
  <si>
    <t>Cafe, Coffee Shop, Specialty Coffee, Coffee Bar, Espresso, Manual Brew, Kopi, Non-Coffee, Dessert, Brunch, Kuliner, Nongkrong, Cozy, Modern, Aesthetic, Instagramable, Work Friendly, Study Friendly, WiFi, Hangout, Couple Friendly, Lifestyle, Kuliner Surabaya, Surabaya.</t>
  </si>
  <si>
    <t>-7.2748483, 112.6598294</t>
  </si>
  <si>
    <t>https://www.google.com/maps/place/Marshal+Brew+Coffee+Surabaya/data=!4m7!3m6!1s0x2dd7fd295ea62707:0xbc8200af97740421!8m2!3d-7.2748483!4d112.6598294!16s%2Fg%2F11p7737wnq!19sChIJByemXin91y0RIQR0l68Agrw?authuser=0&amp;hl=zh-TW&amp;rclk=1</t>
  </si>
  <si>
    <t>Sate Asin Garuda - Kedungsari</t>
  </si>
  <si>
    <t>Sate Asin Garuda - Kedungsari merupakan salah satu kuliner legendaris di Surabaya yang terkenal dengan sate asin khasnya. Berbeda dari sate pada umumnya yang menggunakan bumbu kacang, sate ini mengandalkan bumbu gurih yang meresap pada daging sehingga menghasilkan cita rasa yang khas. Disajikan bersama lontong, sambal, dan pelengkap lainnya, hidangan ini menjadi favorit bagi pecinta kuliner tradisional yang ingin menikmati cita rasa autentik khas Surabaya.</t>
  </si>
  <si>
    <t>Kuliner, Sate Asin, Sate Garuda, Sate Ayam, Lontong, Kuliner Legendaris, Makanan Indonesia, Kuliner Surabaya, Kuliner Lokal, Hidangan Tradisional, Food Hunting, Makan Siang, Makan Malam, Casual Dining, Family Friendly, Favorit Warga, Street Food, Wisata Kuliner, Kedungsari, Surabaya.</t>
  </si>
  <si>
    <t>-7.2680661, 112.73461</t>
  </si>
  <si>
    <t>https://www.google.com/maps/place/Sate+Asin+Garuda+Kedungsari/data=!4m7!3m6!1s0x2dd7fb5051e065ef:0x2c2ab618aee58f80!8m2!3d-7.2680661!4d112.73461!16s%2Fg%2F11vw_55qvl!19sChIJ72XgUVD71y0RgI_lrhi2Kiw?authuser=0&amp;hl=zh-TW&amp;rclk=1</t>
  </si>
  <si>
    <t>Sentra Wisata Kuliner Ampel</t>
  </si>
  <si>
    <t>Sentra Wisata Kuliner Ampel merupakan kawasan kuliner di Surabaya yang menawarkan beragam hidangan khas Timur Tengah, Arab, dan Nusantara yang menjadi bagian dari kekayaan budaya Kampung Arab Ampel. Pengunjung dapat menikmati berbagai pilihan makanan seperti nasi kebuli, kebab, roti maryam, sate, hingga aneka jajanan tradisional dalam suasana yang khas dan ramai. Berlokasi di sekitar kawasan wisata religi Sunan Ampel, sentra kuliner ini menjadi destinasi favorit bagi wisatawan yang ingin menikmati perpaduan cita rasa dan budaya.</t>
  </si>
  <si>
    <t>Sentra Wisata Kuliner, Wisata Kuliner, Kampung Arab, Ampel, Kuliner Timur Tengah, Kuliner Arab, Nasi Kebuli, Roti Maryam, Kebab, Sate, Street Food, Kuliner Surabaya, Kuliner Lokal, Wisata Religi, Food Hunting, Makanan Indonesia, Family Friendly, Budaya, Wisata Kota, Surabaya.</t>
  </si>
  <si>
    <t>-7.2287568, 112.7456364</t>
  </si>
  <si>
    <t>https://www.google.com/maps/place/Sentra+Wisata+Kuliner+%28SWK%29+PEGIRIAN/data=!4m7!3m6!1s0x2dd7f9d207616671:0x7701b927a73ded41!8m2!3d-7.2287568!4d112.7456364!16s%2Fg%2F11hzm043g6!19sChIJcWZhB9L51y0RQe09pye5AXc?authuser=0&amp;hl=zh-TW&amp;rclk=1</t>
  </si>
  <si>
    <t>Atlantis Land</t>
  </si>
  <si>
    <t>Atlantis Land merupakan taman rekreasi keluarga di Surabaya yang menghadirkan berbagai wahana permainan, atraksi, dan hiburan dalam konsep taman hiburan bertema fantasi. Destinasi ini menawarkan beragam permainan yang cocok untuk anak-anak maupun orang dewasa, dilengkapi dengan area foto, pertunjukan, serta berbagai fasilitas penunjang untuk kenyamanan pengunjung. Dengan suasana yang meriah dan beragam aktivitas menarik, Atlantis Land menjadi salah satu pilihan utama untuk rekreasi keluarga di Surabaya.</t>
  </si>
  <si>
    <t>Taman Hiburan, Theme Park, Atlantis Land, Wisata Keluarga, Wahana Permainan, Rekreasi, Hiburan, Family Friendly, Anak-anak, Playground, Spot Foto, Instagramable, Fotografi, Outdoor, Landmark Surabaya, Wisata Kota, Liburan, Weekend, Surabaya.</t>
  </si>
  <si>
    <t>100000-125000</t>
  </si>
  <si>
    <t>-7.2525951, 112.8023063</t>
  </si>
  <si>
    <t>https://www.google.com/maps/place/Atlantis+Land/data=!4m7!3m6!1s0x2dd7f9c325b22d9d:0x8699df8a60e7c5a2!8m2!3d-7.2525951!4d112.8023063!16s%2Fg%2F11gfd6q90s!19sChIJnS2yJcP51y0RosXnYIrfmYY?authuser=0&amp;hl=zh-TW&amp;rclk=1</t>
  </si>
  <si>
    <t>Warung Nona Surabaya</t>
  </si>
  <si>
    <t>Warung Nona Surabaya merupakan tempat kuliner yang menyajikan beragam hidangan khas Indonesia dengan cita rasa rumahan dalam suasana yang nyaman dan modern. Berbagai pilihan menu mulai dari olahan ayam, daging, seafood, hingga sayuran disajikan dengan bumbu khas Nusantara yang kaya rasa. Dengan porsi yang mengenyangkan, pelayanan yang ramah, dan suasana yang cocok untuk berkumpul, Warung Nona menjadi pilihan favorit untuk makan bersama keluarga, teman, maupun rekan kerja.</t>
  </si>
  <si>
    <t>Kuliner, Warung Makan, Masakan Indonesia, Masakan Nusantara, Masakan Rumahan, Aneka Lauk, Seafood, Ayam, Comfort Food, Kuliner Surabaya, Kuliner Lokal, Makan Siang, Makan Malam, Casual Dining, Family Friendly, Gathering, Food Hunting, Favorit Warga, Wisata Kuliner, Surabaya.</t>
  </si>
  <si>
    <t>50000-150000</t>
  </si>
  <si>
    <t>-7.2787062, 112.6959712</t>
  </si>
  <si>
    <t>https://www.google.com/maps/place/Warung+Nona+Surabaya/data=!4m7!3m6!1s0x2dd7fd41bbdb8119:0x7263be405788efff!8m2!3d-7.2787062!4d112.6959712!16s%2Fg%2F11v5v2l15s!19sChIJGYHbu0H91y0R_--IV0C-Y3I?authuser=0&amp;hl=zh-TW&amp;rclk=1</t>
  </si>
  <si>
    <t>Spesial Pangsit Mie Acong</t>
  </si>
  <si>
    <t>Spesial Pangsit Mie Acong merupakan salah satu tempat kuliner di Surabaya yang menyajikan mi ayam dan pangsit dengan cita rasa khas serta tekstur mi yang kenyal. Hidangan disajikan dengan topping ayam berbumbu, pangsit yang gurih, kuah kaldu yang kaya rasa, serta pelengkap lainnya sehingga menghasilkan sajian yang lezat dan mengenyangkan. Dengan kualitas rasa yang konsisten, suasana makan yang nyaman, dan harga yang terjangkau, tempat ini menjadi pilihan favorit bagi pecinta mi ayam di Surabaya.</t>
  </si>
  <si>
    <t>-7.2809473, 112.6967711</t>
  </si>
  <si>
    <t>https://www.google.com/maps/place/Spesial+Pangsit+Mie+Acong/data=!4m7!3m6!1s0x2dd7fc1736d644dd:0x3beb504b40201be5!8m2!3d-7.2809473!4d112.6967711!16s%2Fg%2F11b6_tpmml!19sChIJ3UTWNhf81y0R5RsgQEtQ6zs?authuser=0&amp;hl=zh-TW&amp;rclk=1</t>
  </si>
  <si>
    <t>Warung Mie Ayam &amp; Bakso Mitra</t>
  </si>
  <si>
    <t>Warung Mie Ayam &amp; Bakso Mitra merupakan tempat kuliner di Surabaya yang menawarkan perpaduan mi ayam dan bakso dengan cita rasa gurih dan porsi yang mengenyangkan. Mi yang kenyal dipadukan dengan topping ayam berbumbu, bakso, kuah kaldu yang kaya rasa, serta pelengkap seperti pangsit dan sawi, menjadikan hidangan cocok dinikmati kapan saja. Dengan suasana makan yang sederhana, pelayanan yang ramah, dan harga yang bersahabat, warung ini menjadi favorit bagi pecinta kuliner tradisional.</t>
  </si>
  <si>
    <t>Kuliner, Mie Ayam, Bakso, Pangsit, Mi Kenyal, Kuah Kaldu, Comfort Food, Makanan Indonesia, Kuliner Surabaya, Kuliner Lokal, Makan Siang, Makan Malam, Hidangan Hangat, Food Hunting, Casual Dining, Family Friendly, Harga Terjangkau, Favorit Warga, Wisata Kuliner, Surabaya.</t>
  </si>
  <si>
    <t>-7.3086339, 112.7553513</t>
  </si>
  <si>
    <t>https://www.google.com/maps/place/Warung+Mie+Ayam+%26+Bakso+Mitra/data=!4m7!3m6!1s0x2dd7fb07188843a1:0xcb7f7057ca90ac99!8m2!3d-7.3086339!4d112.7553513!16s%2Fg%2F11c3v6hs43!19sChIJoUOIGAf71y0RmayQyldwf8s?authuser=0&amp;hl=zh-TW&amp;rclk=1</t>
  </si>
  <si>
    <t>Taman Menggapai Cakrawala (Sculpture)</t>
  </si>
  <si>
    <t>Taman Menggapai Cakrawala merupakan salah satu ruang publik ikonik di Surabaya yang menampilkan instalasi patung (sculpture) artistik sebagai daya tarik utamanya. Mengusung konsep ruang terbuka yang modern, taman ini menjadi tempat favorit masyarakat untuk bersantai, menikmati suasana kota, serta mengabadikan momen dengan latar karya seni yang unik. Dengan penataan lanskap yang rapi dan lokasi yang mudah diakses, taman ini menjadi salah satu destinasi wisata kota yang menarik bagi warga maupun wisatawan.</t>
  </si>
  <si>
    <t>Taman, Sculpture, Patung, Instalasi Seni, Public Art, Taman Kota, Ruang Terbuka Hijau, Wisata Kota, Landmark Surabaya, Spot Foto, Instagramable, Fotografi, Rekreasi, Healing, Santai, Outdoor, Family Friendly, Couple Friendly, Wisata Gratis, Surabaya.</t>
  </si>
  <si>
    <t>-7.277788, 112.8082338</t>
  </si>
  <si>
    <t>https://www.google.com/maps/place/Taman+Menggapai+Cakrawala+%28Sculpture%29/data=!4m7!3m6!1s0x2dd7fa099a8e86bf:0x387e7e034c2df12!8m2!3d-7.277788!4d112.8082338!16s%2Fg%2F11c1rfwr8_!19sChIJv4aOmgn61y0REt_CNODnhwM?authuser=0&amp;hl=zh-TW&amp;rclk=1</t>
  </si>
  <si>
    <t>Rawon Gajah Mada</t>
  </si>
  <si>
    <t>Rawon Gajah Mada merupakan salah satu destinasi kuliner di Surabaya yang menyajikan rawon khas Jawa Timur dengan cita rasa autentik. Kuah hitam yang kaya rempah dari kluwek dipadukan dengan potongan daging sapi yang empuk, serta disajikan bersama nasi, tauge pendek, sambal, telur asin, dan pelengkap lainnya. Dengan rasa yang konsisten, porsi yang mengenyangkan, dan suasana makan yang nyaman, Rawon Gajah Mada menjadi pilihan favorit bagi pecinta kuliner tradisional Surabaya.</t>
  </si>
  <si>
    <t>Kuliner, Rawon, Daging Sapi, Kluwek, Makanan Jawa Timur, Makanan Indonesia, Kuah Gurih, Kuliner Surabaya, Kuliner Lokal, Comfort Food, Hidangan Tradisional, Makan Siang, Makan Malam, Food Hunting, Casual Dining, Family Friendly, Favorit Warga, Wisata Kuliner, Surabaya.</t>
  </si>
  <si>
    <t>-7.3276807, 112.7320592</t>
  </si>
  <si>
    <t>https://www.google.com/maps/place/Rawon+Gajah+Mada+Surabaya/data=!4m7!3m6!1s0x2dd7fb69e39ad605:0x7b49ab2d4b840db1!8m2!3d-7.3276807!4d112.7320592!16s%2Fg%2F11b7q3y3vr!19sChIJBdaa42n71y0RsQ2ESy2rSXs?authuser=0&amp;hl=zh-TW&amp;rclk=1</t>
  </si>
  <si>
    <t>Soto Ayam CJDW Cak Nawir</t>
  </si>
  <si>
    <t>Soto Ayam CJDW Cak Nawir merupakan salah satu tempat kuliner di Surabaya yang menyajikan soto ayam dengan kuah gurih dan kaya rempah khas Jawa Timur. Hidangan disajikan dengan suwiran ayam, soun, kol, telur, serta pelengkap seperti sambal, jeruk nipis, dan kerupuk yang menambah cita rasa. Dengan resep yang konsisten, porsi yang mengenyangkan, dan suasana makan yang nyaman, tempat ini menjadi pilihan favorit untuk menikmati hidangan hangat bersama keluarga maupun teman.</t>
  </si>
  <si>
    <t>Kuliner, Soto Ayam, Soto, Kuah Gurih, Makanan Indonesia, Makanan Jawa Timur, Kuliner Surabaya, Kuliner Lokal, Comfort Food, Hidangan Hangat, Sarapan, Makan Siang, Makan Malam, Food Hunting, Casual Dining, Family Friendly, Favorit Warga, Wisata Kuliner, Surabaya.</t>
  </si>
  <si>
    <t>-7.2918293, 112.7382472</t>
  </si>
  <si>
    <t>https://www.google.com/maps/place/Soto+Ayam+CJDW+Cak+Nawir/data=!4m7!3m6!1s0x2dd7fb95fba271ff:0x7902c186192942be!8m2!3d-7.2918293!4d112.7382472!16s%2Fg%2F1hm50j_vp!19sChIJ_3Gi-5X71y0RvkIpGYbBAnk?authuser=0&amp;hl=zh-TW&amp;rclk=1</t>
  </si>
  <si>
    <t>Chao Phraya Thai Fine Cuisine</t>
  </si>
  <si>
    <t>Chao Phraya Thai Fine Cuisine merupakan restoran premium di Surabaya yang menghadirkan pengalaman bersantap dengan hidangan autentik khas Thailand. Beragam menu seperti tom yum, pad thai, green curry, mango sticky rice, serta aneka seafood dan olahan daging disajikan dengan cita rasa khas yang memadukan rasa asam, pedas, manis, dan gurih. Dengan interior yang elegan, pelayanan profesional, dan suasana yang nyaman, restoran ini menjadi pilihan ideal untuk makan bersama keluarga, pertemuan bisnis, maupun perayaan acara spesial.</t>
  </si>
  <si>
    <t>Restaurant, Thai Restaurant, Thai Food, Fine Dining, Tom Yum, Pad Thai, Green Curry, Mango Sticky Rice, Seafood, Asian Cuisine, International Cuisine, Premium Dining, Elegant, Family Friendly, Couple Friendly, Business Meeting, Celebration, Kuliner Surabaya, Wisata Kuliner, Surabaya.</t>
  </si>
  <si>
    <t>75000-225000</t>
  </si>
  <si>
    <t>-7.2848692, 112.7349052</t>
  </si>
  <si>
    <t>https://www.google.com/maps/place/Chao+Phraya+Thai+Fine+Cuisine/data=!4m7!3m6!1s0x2dd7fb8874747b85:0xc20940d4a20405d2!8m2!3d-7.2848692!4d112.7349052!16s%2Fg%2F11h7kb3t_r!19sChIJhXt0dIj71y0R0gUEotRACcI?authuser=0&amp;hl=zh-TW&amp;rclk=1</t>
  </si>
  <si>
    <t>Sate &amp; Gule Cak Wit</t>
  </si>
  <si>
    <t>Sate &amp; Gule Cak Wit merupakan salah satu destinasi kuliner di Surabaya yang terkenal dengan sajian sate dan gule bercita rasa khas. Daging yang dibakar hingga harum disajikan bersama bumbu kacang atau kecap, sementara gule hadir dengan kuah rempah yang gurih dan kaya rasa. Dengan porsi yang mengenyangkan, kualitas rasa yang konsisten, dan suasana makan yang nyaman, tempat ini menjadi favorit bagi pecinta kuliner tradisional Indonesia.</t>
  </si>
  <si>
    <t>Kuliner, Sate, Gule, Sate Ayam, Sate Kambing, Gule Kambing, Bumbu Kacang, Kuah Rempah, Makanan Indonesia, Kuliner Surabaya, Kuliner Lokal, Comfort Food, Makan Siang, Makan Malam, Food Hunting, Casual Dining, Family Friendly, Hidangan Tradisional, Wisata Kuliner, Surabaya.</t>
  </si>
  <si>
    <t>-7.2690352, 112.7609644</t>
  </si>
  <si>
    <t>https://www.google.com/maps/place/Sate+Gule+Cak+Wit/data=!4m7!3m6!1s0x2dd7fbd4e4544487:0xe5be9d92baec707d!8m2!3d-7.2690352!4d112.7609644!16s%2Fg%2F11cm0mljf8!19sChIJh0RU5NT71y0RfXDsupKdvuU?authuser=0&amp;hl=zh-TW&amp;rclk=1</t>
  </si>
  <si>
    <t>Taman Kalongan</t>
  </si>
  <si>
    <t>Taman Kalongan merupakan salah satu ruang terbuka hijau di Surabaya yang menawarkan suasana asri dan nyaman untuk rekreasi maupun aktivitas luar ruangan. Dilengkapi dengan pepohonan rindang, jalur pejalan kaki, serta area duduk, taman ini menjadi tempat yang cocok untuk berjalan santai, berolahraga ringan, maupun berkumpul bersama keluarga dan teman. Lingkungannya yang teduh dan tertata rapi menjadikan Taman Kalongan sebagai ruang publik yang mendukung aktivitas masyarakat di tengah kota.</t>
  </si>
  <si>
    <t>-7.2412318, 112.7327648</t>
  </si>
  <si>
    <t>https://www.google.com/maps/place/Taman+Kalongan/data=!4m7!3m6!1s0x2dd7f93bf638087d:0x1cae5626ee8bfa57!8m2!3d-7.2412318!4d112.7327648!16s%2Fg%2F11cjj6pnkk!19sChIJfQg49jv51y0RV_qL7iZWrhw?authuser=0&amp;hl=zh-TW&amp;rclk=1</t>
  </si>
  <si>
    <t>Hermier Coffee Inc</t>
  </si>
  <si>
    <t>Hermier Coffee Inc merupakan kafe modern di Surabaya yang menghadirkan pengalaman menikmati specialty coffee dalam suasana yang nyaman dan estetik. Menawarkan berbagai pilihan espresso-based coffee, manual brew, minuman non-kopi, serta makanan ringan dan hidangan utama, kafe ini cocok untuk bekerja, belajar, maupun bersantai bersama teman. Dengan desain interior yang modern dan ambience yang hangat, Hermier Coffee Inc menjadi salah satu destinasi favorit bagi pecinta kopi di Surabaya.</t>
  </si>
  <si>
    <t>Cafe, Coffee Shop, Specialty Coffee, Coffee Bar, Espresso, Manual Brew, Kopi, Non-Coffee, Dessert, Brunch, Kuliner, Nongkrong, Cozy, Modern, Aesthetic, Instagramable, Work Friendly, Study Friendly, WiFi, Hangout, Lifestyle, Kuliner Surabaya, Surabaya.</t>
  </si>
  <si>
    <t>-7.2667879, 112.7492584</t>
  </si>
  <si>
    <t>https://www.google.com/maps/place/Hermier+Coffee+Inc/data=!4m7!3m6!1s0x2dd7f993b119248b:0x6b00a477068e6626!8m2!3d-7.2667879!4d112.7492584!16s%2Fg%2F11j8n3v1dt!19sChIJiyQZsZP51y0RJmaOBnekAGs?authuser=0&amp;hl=zh-TW&amp;rclk=1</t>
  </si>
  <si>
    <t>Bakso Solo Kedungdoro</t>
  </si>
  <si>
    <t>Bakso Solo Kedungdoro merupakan salah satu tempat kuliner bakso legendaris di Surabaya yang menyajikan bakso khas Solo dengan cita rasa autentik. Hidangan disajikan dengan kuah kaldu sapi yang gurih, bakso bertekstur kenyal, mi, bihun, tahu, serta pelengkap lainnya yang menghasilkan sajian hangat dan mengenyangkan. Dengan resep yang telah dikenal selama bertahun-tahun, kualitas rasa yang konsisten, dan suasana makan yang nyaman, Bakso Solo Kedungdoro menjadi favorit bagi pecinta bakso di Surabaya.</t>
  </si>
  <si>
    <t>Kuliner, Bakso, Bakso Solo, Kuah Kaldu, Mi, Bihun, Tahu, Comfort Food, Makanan Indonesia, Kuliner Legendaris, Kuliner Surabaya, Kuliner Lokal, Makan Siang, Makan Malam, Hidangan Hangat, Food Hunting, Casual Dining, Family Friendly, Wisata Kuliner, Surabaya.</t>
  </si>
  <si>
    <t>-7.263238, 112.7314625</t>
  </si>
  <si>
    <t>https://www.google.com/maps/place/Bakso+Solo+Kedungdoro/data=!4m7!3m6!1s0x2dd7f959662a4f5b:0xb5036d1b36e2f968!8m2!3d-7.263238!4d112.7314625!16s%2Fg%2F11cs9yh2w4!19sChIJW08qZln51y0RaPniNhttA7U?authuser=0&amp;hl=zh-TW&amp;rclk=1</t>
  </si>
  <si>
    <t>Penyetan Rajawali Cak Gendut</t>
  </si>
  <si>
    <t>Penyetan Rajawali Cak Gendut merupakan salah satu tempat kuliner di Surabaya yang menyajikan aneka hidangan penyetan khas Jawa Timur dengan cita rasa autentik dan sambal pedas yang menjadi andalannya. Berbagai pilihan lauk seperti ayam, bebek, lele, ikan, tahu, dan tempe disajikan bersama lalapan segar serta nasi hangat, menghasilkan hidangan yang gurih dan mengenyangkan. Dengan suasana makan yang sederhana namun nyaman, tempat ini menjadi favorit bagi pecinta kuliner pedas di Surabaya.</t>
  </si>
  <si>
    <t>Kuliner, Penyetan, Ayam Penyet, Bebek Penyet, Lele Penyet, Ikan Penyet, Sambal Pedas, Lalapan, Makanan Jawa Timur, Makanan Indonesia, Kuliner Surabaya, Kuliner Lokal, Comfort Food, Makan Siang, Makan Malam, Food Hunting, Casual Dining, Family Friendly, Favorit Warga, Wisata Kuliner, Surabaya.</t>
  </si>
  <si>
    <t>-7.2292449, 112.7295312</t>
  </si>
  <si>
    <t>https://www.google.com/maps/place/Penyetan+Rajawali+Cak+Gendut/data=!4m7!3m6!1s0x2dd7f95a5f222ec1:0x1dbd8542ee335539!8m2!3d-7.2292449!4d112.7295312!16s%2Fg%2F11ghdrdfkf!19sChIJwS4iX1r51y0ROVUz7kKFvR0?authuser=0&amp;hl=zh-TW&amp;rclk=1</t>
  </si>
  <si>
    <t>KYND BAKER Cafe</t>
  </si>
  <si>
    <t>KYND BAKER Cafe merupakan kafe dan bakery di Surabaya yang menawarkan suasana modern, nyaman, dan estetik untuk bersantai maupun berkumpul. Beragam pilihan artisan bread, pastry, cake, dessert, specialty coffee, serta minuman non-kopi disajikan dengan kualitas yang terjaga. Dengan desain interior yang elegan dan ambience yang hangat, KYND BAKER Cafe menjadi tempat yang ideal untuk menikmati sarapan, brunch, bekerja, maupun quality time bersama keluarga dan teman.</t>
  </si>
  <si>
    <t>Cafe, Bakery, Artisan Bread, Pastry, Cake, Dessert, Coffee Shop, Specialty Coffee, Kopi, Non-Coffee, Brunch, Breakfast, Kuliner, Cozy, Modern, Aesthetic, Instagramable, Work Friendly, Study Friendly, Hangout, Family Friendly, Lifestyle, Kuliner Surabaya, Surabaya.</t>
  </si>
  <si>
    <t>-7.294534, 112.6520661</t>
  </si>
  <si>
    <t>https://www.google.com/maps/place/KYND+BAKER+Cafe/data=!4m7!3m6!1s0x2dd7fd3c5f7edfdb:0x4aa59c3eca009cf1!8m2!3d-7.294534!4d112.6520661!16s%2Fg%2F11y5jxt3h6!19sChIJ299-Xzz91y0R8ZwAyj6cpUo?authuser=0&amp;hl=zh-TW&amp;rclk=1</t>
  </si>
  <si>
    <t>Thirty Three Brew Tunjungan</t>
  </si>
  <si>
    <t>Cafe dengan konsep modern dan pilihan specialty coffee yang berlokasi di kawasan heritage Tunjungan.</t>
  </si>
  <si>
    <t>Specialty Coffee, Tunjungan, Coffee Shop, Hangout, Work From Cafe, Aesthetic, Instagramable, Hidden Gem</t>
  </si>
  <si>
    <t>-7.257614413766182, 112.73782766931355</t>
  </si>
  <si>
    <t>-7,257614413766182</t>
  </si>
  <si>
    <t>112,73782766931355</t>
  </si>
  <si>
    <t>https://www.google.com/maps/place/Thirty+Three+Brew+-+Tunjungan/@-7.2579337,112.7379135,17z/data=!3m1!4b1!4m6!3m5!1s0x2dd7f979a8020753:0x8f37919aa0214f46!8m2!3d-7.2579337!4d112.7379135!16s%2Fg%2F11jv9k_qnb?entry=ttu&amp;g_ep=EgoyMDI2MDYyOS4wIKXMDSoASAFQAw%3D%3D</t>
  </si>
  <si>
    <t>Soto Ayam Lamongan Cak Kan</t>
  </si>
  <si>
    <t>Soto Ayam Lamongan Cak Kan merupakan salah satu tempat kuliner di Surabaya yang menyajikan soto ayam khas Lamongan dengan kuah gurih dan taburan koya yang menjadi ciri khasnya. Disajikan bersama suwiran ayam, kol, soun, telur, dan pelengkap seperti sambal serta jeruk nipis, hidangan ini menghadirkan cita rasa yang hangat dan menggugah selera. Dengan resep yang konsisten dan porsi yang mengenyangkan, tempat ini menjadi pilihan favorit untuk menikmati kuliner khas Jawa Timur.</t>
  </si>
  <si>
    <t>Kuliner, Soto Ayam, Soto Lamongan, Soto, Koya, Kuah Gurih, Makanan Indonesia, Makanan Jawa Timur, Kuliner Surabaya, Kuliner Lokal, Comfort Food, Sarapan, Makan Siang, Makan Malam, Hidangan Hangat, Food Hunting, Casual Dining, Family Friendly, Wisata Kuliner, Surabaya.</t>
  </si>
  <si>
    <t>-7.3075871, 112.7610768</t>
  </si>
  <si>
    <t>https://www.google.com/maps/place/Soto+Ayam+Lamongan+Cak+Kan/data=!4m7!3m6!1s0x2dd7fb006b165401:0xadf9260f0b60fada!8m2!3d-7.3075871!4d112.7610768!16s%2Fg%2F1hm5v0flv!19sChIJAVQWawD71y0R2vpgCw8m-a0?authuser=0&amp;hl=zh-TW&amp;rclk=1</t>
  </si>
  <si>
    <t>Soto Daging Cak Mat</t>
  </si>
  <si>
    <t>Soto Daging Cak Mat merupakan salah satu destinasi kuliner di Surabaya yang terkenal dengan sajian soto daging bercita rasa gurih dan kaya rempah. Potongan daging sapi yang empuk dipadukan dengan kuah bening yang hangat serta pelengkap seperti soun, kentang, telur, dan sambal menghasilkan hidangan yang lezat dan mengenyangkan. Dengan cita rasa yang autentik dan suasana makan yang nyaman, tempat ini menjadi favorit bagi pecinta soto khas Jawa Timur.</t>
  </si>
  <si>
    <t>Kuliner, Soto Daging, Soto, Daging Sapi, Kuah Gurih, Makanan Indonesia, Makanan Jawa Timur, Kuliner Surabaya, Kuliner Lokal, Comfort Food, Hidangan Hangat, Sarapan, Makan Siang, Makan Malam, Food Hunting, Casual Dining, Family Friendly, Favorit Warga, Wisata Kuliner, Surabaya.</t>
  </si>
  <si>
    <t>-7.2954525, 112.7181153</t>
  </si>
  <si>
    <t>https://www.google.com/maps/place/Soto+Daging+Cak+Mat/data=!4m7!3m6!1s0x2dd7fb9e1d26253d:0x9006e1f4bc4497dc!8m2!3d-7.2954525!4d112.7181153!16s%2Fg%2F11h6v0w3ph!19sChIJPSUmHZ771y0R3JdEvPThBpA?authuser=0&amp;hl=zh-TW&amp;rclk=1</t>
  </si>
  <si>
    <t>Penyetan Hot Teh Ary</t>
  </si>
  <si>
    <t>Penyetan Hot Teh Ary merupakan tempat kuliner di Surabaya yang menyajikan berbagai hidangan penyetan khas Jawa Timur dengan sambal pedas yang menjadi daya tarik utamanya. Pilihan lauk seperti ayam, bebek, lele, ikan, tahu, dan tempe disajikan bersama lalapan segar serta nasi hangat, menghasilkan perpaduan rasa gurih dan pedas yang menggugah selera. Dengan porsi yang mengenyangkan, harga yang terjangkau, dan suasana makan yang nyaman, tempat ini menjadi pilihan favorit untuk menikmati kuliner bersama keluarga maupun teman.</t>
  </si>
  <si>
    <t>Kuliner, Penyetan, Ayam Penyet, Bebek Penyet, Lele Penyet, Ikan Penyet, Sambal Pedas, Lalapan, Makanan Jawa Timur, Makanan Indonesia, Kuliner Surabaya, Kuliner Lokal, Comfort Food, Makan Siang, Makan Malam, Food Hunting, Casual Dining, Family Friendly, Harga Terjangkau, Wisata Kuliner, Surabaya.</t>
  </si>
  <si>
    <t>-7.2984896, 112.754791</t>
  </si>
  <si>
    <t>https://www.google.com/maps/place/Penyetan+Hot+Teh+Ary/data=!4m7!3m6!1s0x2dd7fbae5a94df1b:0xab7619b8e056d832!8m2!3d-7.2984896!4d112.754791!16s%2Fg%2F11f3t4474w!19sChIJG9-UWq771y0RMthW4LgZdqs?authuser=0&amp;hl=zh-TW&amp;rclk=1</t>
  </si>
  <si>
    <t>Penyetan Bu Yuli Mulyorejo</t>
  </si>
  <si>
    <t>Penyetan Bu Yuli Mulyorejo merupakan salah satu tempat kuliner di Surabaya yang menyajikan aneka hidangan penyetan khas Jawa Timur dengan cita rasa autentik dan sambal yang pedas menggugah selera. Beragam pilihan lauk seperti ayam, bebek, lele, ikan, tahu, tempe, dan aneka gorengan disajikan bersama lalapan segar serta nasi hangat. Dengan porsi yang mengenyangkan, harga yang terjangkau, dan suasana makan yang sederhana namun nyaman, tempat ini menjadi favorit bagi warga sekitar maupun pecinta kuliner pedas.</t>
  </si>
  <si>
    <t>-7.2685234, 112.7757983</t>
  </si>
  <si>
    <t>https://www.google.com/maps/place/Penyetan+Bu+Yuli+Mulyorejo/data=!4m7!3m6!1s0x2dd7fb06917d2329:0x8ea74e2e46af0af5!8m2!3d-7.2685234!4d112.7757983!16s%2Fg%2F11mn03xr5p!19sChIJKSN9kQb71y0R9QqvRi5Op44?authuser=0&amp;hl=zh-TW&amp;rclk=1</t>
  </si>
  <si>
    <t>Demandailing Cafe</t>
  </si>
  <si>
    <t>Demandailing Cafe merupakan kafe di Surabaya yang dikenal dengan sajian specialty coffee berkualitas serta suasana yang nyaman dan modern. Menawarkan berbagai pilihan kopi nusantara, espresso-based coffee, manual brew, minuman non-kopi, serta aneka makanan dan dessert, kafe ini menjadi tempat yang ideal untuk bekerja, belajar, mengadakan pertemuan, maupun bersantai bersama teman. Dengan desain interior yang estetik dan ambience yang hangat, Demandailing Cafe menjadi salah satu destinasi favorit bagi pecinta kopi di Surabaya.</t>
  </si>
  <si>
    <t>Cafe, Coffee Shop, Specialty Coffee, Coffee Bar, Espresso, Manual Brew, Kopi Nusantara, Non-Coffee, Dessert, Brunch, Kuliner, Cozy, Modern, Aesthetic, Instagramable, Work Friendly, Study Friendly, WiFi, Hangout, Lifestyle, Kuliner Surabaya, Surabaya.</t>
  </si>
  <si>
    <t>-7.3225321, 112.7423232</t>
  </si>
  <si>
    <t>https://www.google.com/maps/place/Demandailing+Cafe/data=!4m7!3m6!1s0x2dd7fb147ec16a17:0x627323705bdbc865!8m2!3d-7.3225321!4d112.7423232!16s%2Fg%2F11bt_h9mr_!19sChIJF2rBfhT71y0RZcjbW3Ajc2I?authuser=0&amp;hl=zh-TW&amp;rclk=1</t>
  </si>
  <si>
    <t>Sate warok Ponorogo GAYUNGSARI</t>
  </si>
  <si>
    <t>Sate Warok Ponorogo Gayungsari merupakan salah satu tempat kuliner di Surabaya yang menyajikan sate ayam khas Ponorogo dengan cita rasa autentik. Potongan daging ayam yang diiris memanjang dibumbui dengan rempah khas, kemudian dibakar hingga harum dan disajikan bersama bumbu kacang yang gurih serta lontong. Dengan resep tradisional, kualitas rasa yang konsisten, dan porsi yang mengenyangkan, tempat ini menjadi pilihan favorit bagi pecinta sate khas Jawa Timur.</t>
  </si>
  <si>
    <t>Kuliner, Sate Ayam, Sate Ponorogo, Bumbu Kacang, Lontong, Makanan Indonesia, Makanan Jawa Timur, Kuliner Surabaya, Kuliner Lokal, Comfort Food, Hidangan Tradisional, Makan Siang, Makan Malam, Food Hunting, Casual Dining, Family Friendly, Favorit Warga, Wisata Kuliner, Gayungsari, Surabaya.</t>
  </si>
  <si>
    <t>-7.3377436, 112.7203893</t>
  </si>
  <si>
    <t>https://www.google.com/maps/place/Sate+warok+Ponorogo+GAYUNGSARI/data=!4m7!3m6!1s0x2dd7fb13530b0841:0x4f0232394c9a2bdf!8m2!3d-7.3377436!4d112.7203893!16s%2Fg%2F11kb13k216!19sChIJQQgLUxP71y0R3yuaTDkyAk8?authuser=0&amp;hl=zh-TW&amp;rclk=1</t>
  </si>
  <si>
    <t>Wapo Resto</t>
  </si>
  <si>
    <t>Wapo Resto merupakan restoran di Surabaya yang menyajikan beragam hidangan khas Indonesia dan Asia dalam suasana yang nyaman dan modern. Dengan pilihan menu yang beragam, mulai dari olahan ayam, daging, seafood, hingga sayuran, restoran ini cocok untuk makan bersama keluarga, teman, maupun rekan kerja. Pelayanan yang ramah, suasana yang hangat, dan kualitas hidangan yang konsisten menjadikan Wapo Resto sebagai pilihan tepat untuk berbagai kesempatan.</t>
  </si>
  <si>
    <t>Restaurant, Kuliner, Masakan Indonesia, Asian Food, Seafood, Ayam, Daging, Casual Dining, Family Friendly, Gathering, Lunch, Dinner, Comfort Food, Modern, Kuliner Surabaya, Food Hunting, Celebration, Wisata Kuliner, Lifestyle, Surabaya.</t>
  </si>
  <si>
    <t>-7.2705024, 112.7602896</t>
  </si>
  <si>
    <t>https://www.google.com/maps/place/Wapo+Resto+-+Airlangga/data=!4m7!3m6!1s0x2dd7fbd486736e29:0x703f50fba3cdfe7e!8m2!3d-7.2705024!4d112.7602896!16s%2Fg%2F11gzwlgp9!19sChIJKW5zhtT71y0Rfv7No_tQP3A?authuser=0&amp;hl=zh-TW&amp;rclk=1</t>
  </si>
  <si>
    <t>Reldish | Casual Café</t>
  </si>
  <si>
    <t>Reldish | Casual Café merupakan kafe modern di Surabaya yang menawarkan konsep casual dining dengan suasana nyaman dan estetik. Kafe ini menyajikan berbagai pilihan kopi, minuman non-kopi, dessert, serta hidangan utama yang cocok dinikmati untuk sarapan, brunch, makan siang, maupun makan malam. Dengan interior yang modern, ambience yang hangat, dan fasilitas yang mendukung, Reldish menjadi tempat yang ideal untuk bekerja, belajar, berkumpul, maupun bersantai bersama keluarga dan teman.</t>
  </si>
  <si>
    <t>Cafe, Casual Cafe, Casual Dining, Coffee Shop, Specialty Coffee, Kopi, Non-Coffee, Dessert, Brunch, Breakfast, Lunch, Dinner, Kuliner, Cozy, Modern, Aesthetic, Instagramable, Work Friendly, Study Friendly, WiFi, Hangout, Family Friendly, Kuliner Surabaya, Surabaya.</t>
  </si>
  <si>
    <t>-7.3235333, 112.7430632</t>
  </si>
  <si>
    <t>https://www.google.com/maps/place/Reldish+%7C+Casual+Caf%C3%A9/data=!4m7!3m6!1s0x2dd7fb2d7ade4d9b:0x4ae47678458a857c!8m2!3d-7.3235333!4d112.7430632!16s%2Fg%2F11sqc697g0!19sChIJm03eei371y0RfIWKRXh25Eo?authuser=0&amp;hl=zh-TW&amp;rclk=1</t>
  </si>
  <si>
    <t>Pecel Kriuk Dan Rawon : Bu. Lilis</t>
  </si>
  <si>
    <t>Pecel Kriuk dan Rawon Bu Lilis merupakan salah satu tempat kuliner di Surabaya yang menyajikan perpaduan menu khas Jawa Timur dengan cita rasa autentik. Menu andalannya berupa pecel dengan rempeyek renyah dan bumbu kacang yang gurih, serta rawon dengan kuah hitam kaya rempah dan potongan daging sapi yang empuk. Dengan porsi yang mengenyangkan, cita rasa rumahan yang konsisten, dan suasana makan yang nyaman, tempat ini menjadi pilihan favorit untuk menikmati kuliner tradisional Surabaya.</t>
  </si>
  <si>
    <t>Kuliner, Pecel, Pecel Kriuk, Rawon, Daging Sapi, Kluwek, Makanan Jawa Timur, Makanan Indonesia, Kuliner Surabaya, Kuliner Lokal, Masakan Rumahan, Comfort Food, Sarapan, Makan Siang, Makan Malam, Food Hunting, Casual Dining, Family Friendly, Wisata Kuliner, Surabaya.</t>
  </si>
  <si>
    <t>-7.2649481, 112.6876369</t>
  </si>
  <si>
    <t>https://www.google.com/maps/place/Pecel+Kriuk+Dan+Rawon+:+Bu.+Lilis/data=!4m7!3m6!1s0x2dd7fe9930811a8b:0x762f9c391da3d8cc!8m2!3d-7.2649481!4d112.6876369!16s%2Fg%2F11bzzddw2z!19sChIJixqBMJn-1y0RzNijHTmcL3Y?authuser=0&amp;hl=zh-TW&amp;rclk=1</t>
  </si>
  <si>
    <t>Es Teller Tanjung Anom</t>
  </si>
  <si>
    <t>Es Teller Tanjung Anom merupakan salah satu destinasi kuliner legendaris di Surabaya yang terkenal dengan sajian es teller yang segar dan kaya isian. Perpaduan alpukat, kelapa muda, nangka, dan aneka buah segar yang disiram kuah manis menciptakan cita rasa yang menyegarkan, terutama saat cuaca panas. Selain es teller, tempat ini juga menawarkan berbagai pilihan makanan dan minuman yang cocok dinikmati bersama keluarga maupun teman.</t>
  </si>
  <si>
    <t>Kuliner, Es Teller, Dessert, Minuman Segar, Es Buah, Alpukat, Kelapa Muda, Nangka, Kuliner Surabaya, Kuliner Lokal, Hidangan Penutup, Refreshing, Family Friendly, Casual Dining, Food Hunting, Legendaris, Jajanan, Wisata Kuliner, Surabaya.</t>
  </si>
  <si>
    <t>-7.2648603, 112.7429983</t>
  </si>
  <si>
    <t>https://www.google.com/maps/place/Es+Teller+Tanjung+Anom/data=!4m7!3m6!1s0x2dd7f961a65c75df:0x477f504dab4a4f4f!8m2!3d-7.2648603!4d112.7429983!16s%2Fg%2F11b6d2vh01!19sChIJ33VcpmH51y0RT09Kq01Qf0c?authuser=0&amp;hl=zh-TW&amp;rclk=1</t>
  </si>
  <si>
    <t>Bakso - Mie Ayam Bang Nano</t>
  </si>
  <si>
    <t>Bakso - Mie Ayam Bang Nano merupakan tempat kuliner di Surabaya yang menyajikan bakso dan mi ayam dengan cita rasa khas serta kuah kaldu yang gurih. Mi yang kenyal dipadukan dengan topping ayam berbumbu, bakso, pangsit, dan pelengkap lainnya menghasilkan hidangan hangat yang lezat dan mengenyangkan. Dengan harga yang terjangkau, pelayanan yang ramah, dan kualitas rasa yang konsisten, tempat ini menjadi favorit bagi pecinta bakso dan mi ayam.</t>
  </si>
  <si>
    <t>Kuliner, Bakso, Mie Ayam, Pangsit, Mi Kenyal, Kuah Kaldu, Comfort Food, Makanan Indonesia, Kuliner Surabaya, Kuliner Lokal, Hidangan Hangat, Makan Siang, Makan Malam, Food Hunting, Casual Dining, Family Friendly, Harga Terjangkau, Favorit Warga, Wisata Kuliner, Surabaya.</t>
  </si>
  <si>
    <t>-7.2818207, 112.719737</t>
  </si>
  <si>
    <t>https://www.google.com/maps/place/Bakso+-+Mie+Ayam+Bang+Nano/data=!4m7!3m6!1s0x2dd7fbf6ea979d45:0x52aaae9a45da3e93!8m2!3d-7.2818207!4d112.719737!16s%2Fg%2F11b6ggsf1q!19sChIJRZ2X6vb71y0Rkz7aRZquqlI?authuser=0&amp;hl=zh-TW&amp;rclk=1</t>
  </si>
  <si>
    <t>TAMAN BACAAN</t>
  </si>
  <si>
    <t>TAMAN BACAAN merupakan ruang publik edukatif di Surabaya yang menghadirkan suasana nyaman untuk membaca, belajar, dan bersantai. Dilengkapi dengan area hijau, tempat duduk, serta fasilitas yang mendukung kegiatan literasi, taman ini menjadi tempat yang ideal bagi anak-anak, pelajar, maupun masyarakat umum untuk menghabiskan waktu secara produktif. Selain sebagai ruang terbuka hijau, Taman Bacaan juga mendukung budaya membaca dan menjadi sarana edukasi di tengah lingkungan perkotaan.</t>
  </si>
  <si>
    <t>Taman, Taman Bacaan, Literasi, Edukasi, Ruang Terbuka Hijau, Taman Kota, Perpustakaan Terbuka, Belajar, Membaca, Rekreasi, Santai, Family Friendly, Anak-anak, Pelajar, Green Space, Wisata Edukasi, Wisata Gratis, Ruang Publik, Surabaya.</t>
  </si>
  <si>
    <t>-7.239859, 112.7157059</t>
  </si>
  <si>
    <t>https://www.google.com/maps/place/TAMAN+BACAAN/data=!4m7!3m6!1s0x2dd7f932cef66613:0x8b888e5704d69b88!8m2!3d-7.239859!4d112.7157059!16s%2Fg%2F11c7607dkl!19sChIJE2b2zjL51y0RiJvWBFeOiIs?authuser=0&amp;hl=zh-TW&amp;rclk=1</t>
  </si>
  <si>
    <t>Pangsit Mie Ayam "Istana"</t>
  </si>
  <si>
    <t>Pangsit Mie Ayam "Istana" merupakan salah satu tempat kuliner di Surabaya yang menyajikan mi ayam dan pangsit dengan cita rasa khas serta tekstur mi yang kenyal. Disajikan dengan topping ayam berbumbu, kuah kaldu yang gurih, pangsit renyah maupun rebus, serta pelengkap lainnya, hidangan ini cocok dinikmati sebagai menu makan siang maupun makan malam. Dengan kualitas rasa yang konsisten dan suasana makan yang nyaman, tempat ini menjadi pilihan favorit bagi pecinta mi ayam di Surabaya.</t>
  </si>
  <si>
    <t>Kuliner, Mie Ayam, Pangsit, Pangsit Mie, Bakso, Mi Kenyal, Kuah Kaldu, Comfort Food, Makanan Indonesia, Kuliner Surabaya, Kuliner Lokal, Hidangan Hangat, Makan Siang, Makan Malam, Food Hunting, Casual Dining, Family Friendly, Harga Terjangkau, Wisata Kuliner, Surabaya.</t>
  </si>
  <si>
    <t>-7.3154042, 112.7307312</t>
  </si>
  <si>
    <t>https://www.google.com/maps/place/Pangsit+Mie+Ayam+%22Istana%22/data=!4m7!3m6!1s0x2dd7fb71a8309083:0x9188a4ffdb148847!8m2!3d-7.3154042!4d112.7307312!16s%2Fg%2F11bwh9x_bj!19sChIJg5AwqHH71y0RR4gU2_-kiJE?authuser=0&amp;hl=zh-TW&amp;rclk=1</t>
  </si>
  <si>
    <t>Sari Laut Kapasan cabang Wiyung</t>
  </si>
  <si>
    <t>Sari Laut Kapasan Cabang Wiyung merupakan restoran seafood di Surabaya yang menyajikan beragam hidangan laut segar dengan cita rasa khas Indonesia. Menu seperti kepiting, udang, cumi, kerang, ikan, dan aneka olahan lainnya tersedia dengan pilihan bumbu seperti saus padang, saus tiram, lada hitam, hingga mentega. Dengan porsi yang cocok dinikmati bersama, suasana makan yang nyaman, dan kualitas hidangan yang terjaga, restoran ini menjadi pilihan favorit untuk makan bersama keluarga maupun teman.</t>
  </si>
  <si>
    <t>Seafood, Restaurant, Makanan Laut, Kepiting, Udang, Cumi, Kerang, Ikan Bakar, Saus Padang, Saus Tiram, Lada Hitam, Butter Sauce, Casual Dining, Family Friendly, Gathering, Makan Siang, Makan Malam, Kuliner Surabaya, Wisata Kuliner, Surabaya.</t>
  </si>
  <si>
    <t>25000-125000</t>
  </si>
  <si>
    <t>-7.3123595, 112.6899705</t>
  </si>
  <si>
    <t>https://www.google.com/maps/place/Sari+Laut+Kapasan+cabang+Wiyung/data=!4m7!3m6!1s0x2dd7fd698a573567:0xc32288feca9e424d!8m2!3d-7.3123595!4d112.6899705!16s%2Fg%2F11h51hzz26!19sChIJZzVXimn91y0RTUKeyv6IIsM?authuser=0&amp;hl=zh-TW&amp;rclk=1</t>
  </si>
  <si>
    <t>Taman Suroboyo</t>
  </si>
  <si>
    <t>Taman Suroboyo merupakan salah satu destinasi wisata ikonik di Surabaya yang terletak di kawasan pesisir Pantai Kenjeran. Daya tarik utamanya adalah patung Suro dan Boyo berukuran besar yang menjadi simbol Kota Surabaya, berpadu dengan panorama laut, area pedestrian, dan ruang terbuka hijau yang nyaman. Pengunjung dapat menikmati suasana pantai, berjalan santai, berolahraga, menyaksikan matahari terbenam, maupun mengabadikan momen di berbagai spot foto yang menarik. Dengan fasilitas yang lengkap dan pemandangan yang indah, Taman Suroboyo menjadi destinasi favorit bagi warga maupun wisatawan.</t>
  </si>
  <si>
    <t>Taman, Taman Kota, Taman Suroboyo, Pantai Kenjeran, Wisata Pantai, Landmark Surabaya, Patung Suro Boyo, Ikonik, Pesisir, Laut, Sunset, City View, Rekreasi, Healing, Santai, Spot Foto, Instagramable, Fotografi, Family Friendly, Couple Friendly, Wisata Gratis, Wisata Kota, Surabaya.</t>
  </si>
  <si>
    <t>-7.2253727, 112.7880641</t>
  </si>
  <si>
    <t>https://www.google.com/maps/place/Suroboyo+Park/data=!4m7!3m6!1s0x2dd7f9cabc1df2db:0x5af54dd18a72b9ca!8m2!3d-7.2253727!4d112.7880641!16s%2Fg%2F11c6w_4ylb!19sChIJ2_IdvMr51y0RyrlyitFN9Vo?authuser=0&amp;hl=zh-TW&amp;rclk=1</t>
  </si>
  <si>
    <t>Penyetan Mbak Sulimah Pandegiling</t>
  </si>
  <si>
    <t>Penyetan Mbak Sulimah Pandegiling merupakan salah satu tempat kuliner di Surabaya yang menyajikan aneka hidangan penyetan khas Jawa Timur dengan cita rasa autentik dan sambal pedas yang menjadi andalannya. Beragam pilihan lauk seperti ayam, bebek, lele, ikan, tahu, tempe, dan aneka gorengan disajikan bersama lalapan segar serta nasi hangat, menciptakan perpaduan rasa gurih dan pedas yang menggugah selera. Dengan suasana makan yang sederhana, harga yang terjangkau, dan porsi yang mengenyangkan, tempat ini menjadi favorit bagi pecinta kuliner lokal.</t>
  </si>
  <si>
    <t>-7.2759829, 112.7360568</t>
  </si>
  <si>
    <t>https://www.google.com/maps/place/Penyetan+Mbak+Sulimah+Pandegiling/data=!4m7!3m6!1s0x2dd7fbe7e4fe8e15:0xc96ca6aba9886a92!8m2!3d-7.2759829!4d112.7360568!16s%2Fg%2F11cn94n982!19sChIJFY7-5Of71y0RkmqIqaumbMk?authuser=0&amp;hl=zh-TW&amp;rclk=1</t>
  </si>
  <si>
    <t>Bakso Daging Sapi Pak Sabar</t>
  </si>
  <si>
    <t>Bakso Daging Sapi Pak Sabar merupakan salah satu destinasi kuliner di Surabaya yang terkenal dengan sajian bakso berbahan daging sapi berkualitas dan kuah kaldu yang gurih. Disajikan bersama mi, bihun, tahu, pangsit, dan pelengkap lainnya, setiap porsi menawarkan cita rasa yang lezat dan mengenyangkan. Dengan kualitas rasa yang konsisten, suasana makan yang nyaman, dan harga yang bersahabat, tempat ini menjadi pilihan favorit bagi pecinta bakso di Surabaya.</t>
  </si>
  <si>
    <t>Kuliner, Bakso, Bakso Daging Sapi, Kuah Kaldu, Mi, Bihun, Tahu, Pangsit, Comfort Food, Makanan Indonesia, Kuliner Surabaya, Kuliner Lokal, Hidangan Hangat, Makan Siang, Makan Malam, Food Hunting, Casual Dining, Family Friendly, Wisata Kuliner, Surabaya.</t>
  </si>
  <si>
    <t>-7.27131, 112.760384</t>
  </si>
  <si>
    <t>https://www.google.com/maps/place/Bakso+Pak+Sabar/data=!4m7!3m6!1s0x2dd7fbb34efd37e9:0x63325eefca8d3d22!8m2!3d-7.2918667!4d112.7623854!16s%2Fg%2F1hm2z5xfv!19sChIJ6Tf9TrP71y0RIj2Nyu9eMmM?authuser=0&amp;hl=zh-TW&amp;rclk=1</t>
  </si>
  <si>
    <t>Depot Mie dan Lemper Special 168</t>
  </si>
  <si>
    <t>Depot Mie dan Lemper Special 168 merupakan tempat kuliner di Surabaya yang menawarkan beragam olahan mi serta lemper dengan cita rasa khas. Mi disajikan dengan tekstur yang kenyal dan berbagai pilihan topping, sementara lemper dibuat dengan isian yang gurih sehingga cocok dinikmati sebagai camilan maupun hidangan utama. Dengan suasana makan yang nyaman, kualitas rasa yang konsisten, dan pilihan menu yang beragam, depot ini menjadi salah satu tujuan favorit bagi pecinta kuliner tradisional dan mi di Surabaya.</t>
  </si>
  <si>
    <t>Kuliner, Depot, Mie, Mie Ayam, Lemper, Jajanan Tradisional, Comfort Food, Makanan Indonesia, Kuliner Surabaya, Kuliner Lokal, Sarapan, Makan Siang, Makan Malam, Snack, Food Hunting, Casual Dining, Family Friendly, Harga Terjangkau, Wisata Kuliner, Surabaya.</t>
  </si>
  <si>
    <t>-7.2602441, 112.7445893</t>
  </si>
  <si>
    <t>https://www.google.com/maps/place/Depot+mie+dan+lemper+special+168/data=!4m7!3m6!1s0x2dd7f96417e1d7df:0xbf3cc3f2dfbff286!8m2!3d-7.2602441!4d112.7445893!16s%2Fg%2F1hc77cqmg!19sChIJ39fhF2T51y0RhvK_3_LDPL8?authuser=0&amp;hl=zh-TW&amp;rclk=1</t>
  </si>
  <si>
    <t>Sambang Cafe &amp; Eatery</t>
  </si>
  <si>
    <t>Sambang Cafe &amp; Eatery merupakan kafe dan restoran modern di Surabaya yang menawarkan suasana nyaman dengan konsep hangout yang estetik. Menyajikan berbagai pilihan specialty coffee, minuman non-kopi, dessert, serta aneka hidangan Nusantara dan internasional, tempat ini cocok untuk bekerja, belajar, berkumpul, maupun menikmati waktu bersama keluarga dan teman. Dengan desain interior yang menarik serta ambience yang hangat, Sambang Cafe &amp; Eatery menjadi salah satu destinasi kuliner favorit di Surabaya.</t>
  </si>
  <si>
    <t>Cafe, Eatery, Coffee Shop, Specialty Coffee, Kopi, Non-Coffee, Dessert, Brunch, Casual Dining, Kuliner, Nongkrong, Cozy, Modern, Aesthetic, Instagramable, Work Friendly, Study Friendly, WiFi, Hangout, Family Friendly, Lifestyle, Kuliner Surabaya, Wisata Kuliner, Surabaya.</t>
  </si>
  <si>
    <t>-7.2613916, 112.7479164</t>
  </si>
  <si>
    <t>https://www.google.com/maps/place/Sambang+Cafe+%26+Eatery/data=!4m7!3m6!1s0x2dd7f966f3ad93b1:0x36958792108907e9!8m2!3d-7.2613916!4d112.7479164!16s%2Fg%2F11tfk9h143!19sChIJsZOt82b51y0R6QeJEJKHlTY?authuser=0&amp;hl=zh-TW&amp;rclk=1</t>
  </si>
  <si>
    <t>Bakmi Jogja &amp; Pawon Gending Sari</t>
  </si>
  <si>
    <t>Bakmi Jogja &amp; Pawon Gending Sari merupakan tempat kuliner di Surabaya yang menghadirkan cita rasa khas Yogyakarta melalui berbagai olahan bakmi tradisional yang dimasak dengan bumbu autentik. Pengunjung dapat menikmati bakmi godog, bakmi goreng, nasi goreng Jawa, serta aneka hidangan rumahan lainnya yang disajikan hangat dengan cita rasa manis gurih khas Jogja. Dengan suasana yang nyaman dan nuansa khas masakan rumahan, tempat ini menjadi pilihan favorit bagi pecinta kuliner tradisional Jawa.</t>
  </si>
  <si>
    <t>-7.3277262, 112.7810987</t>
  </si>
  <si>
    <t>https://www.google.com/maps/place/Bakmi+Jogja+Gending+Sari+Surabaya/data=!4m7!3m6!1s0x2dd7fb658a852973:0xbebeff1fef56e084!8m2!3d-7.3277262!4d112.7810987!16s%2Fg%2F11qn2wq5_0!19sChIJcymFimX71y0RhOBW7x__vr4?authuser=0&amp;hl=zh-TW&amp;rclk=1</t>
  </si>
  <si>
    <t>Dapur Rawon</t>
  </si>
  <si>
    <t>Dapur Rawon merupakan salah satu destinasi kuliner di Surabaya yang menyajikan rawon khas Jawa Timur dengan cita rasa autentik dan kuah hitam yang kaya rempah. Potongan daging sapi yang empuk dipadukan dengan kuah kluwek yang gurih, kemudian disajikan bersama nasi, tauge pendek, sambal, telur asin, dan pelengkap lainnya. Dengan kualitas rasa yang konsisten, suasana makan yang nyaman, dan porsi yang mengenyangkan, Dapur Rawon menjadi pilihan tepat bagi pecinta kuliner tradisional.</t>
  </si>
  <si>
    <t>Kuliner, Rawon, Daging Sapi, Kluwek, Makanan Jawa Timur, Makanan Indonesia, Kuah Gurih, Kuliner Surabaya, Kuliner Lokal, Comfort Food, Hidangan Tradisional, Makan Siang, Makan Malam, Food Hunting, Casual Dining, Family Friendly, Wisata Kuliner, Favorit Warga, Surabaya.</t>
  </si>
  <si>
    <t>-7.3223417, 112.7857089</t>
  </si>
  <si>
    <t>https://www.google.com/maps/place/Dapur+Rawon+by+Rawon+Setan/data=!4m7!3m6!1s0x2dd7fb7586846c55:0xe2ebea093a3ca53b!8m2!3d-7.3223417!4d112.7857089!16s%2Fg%2F11j0r9l78y!19sChIJVWyEhnX71y0RO6U8Ognq6-I?authuser=0&amp;hl=zh-TW&amp;rclk=1</t>
  </si>
  <si>
    <t>Penyetan 'SS'</t>
  </si>
  <si>
    <t>Penyetan 'SS' merupakan restoran penyetan yang terkenal dengan beragam pilihan sambal dan hidangan khas Indonesia. Menu yang tersedia meliputi ayam, bebek, lele, ikan, tahu, tempe, hingga aneka sayuran yang disajikan bersama nasi hangat dan lalapan segar. Dengan pilihan tingkat kepedasan yang beragam, cita rasa yang konsisten, serta suasana makan yang nyaman, Penyetan 'SS' menjadi salah satu destinasi favorit bagi pecinta kuliner pedas di Surabaya.</t>
  </si>
  <si>
    <t>Kuliner, Penyetan, Sambal Spesial, Ayam Penyet, Bebek Penyet, Lele Penyet, Ikan Penyet, Sambal Pedas, Lalapan, Makanan Indonesia, Makanan Jawa Timur, Kuliner Surabaya, Comfort Food, Casual Dining, Makan Siang, Makan Malam, Family Friendly, Food Hunting, Wisata Kuliner, Surabaya.</t>
  </si>
  <si>
    <t>-7.2844039, 112.7547596</t>
  </si>
  <si>
    <t>https://www.google.com/maps/place/Penyetan+%27SS%27/data=!4m7!3m6!1s0x2dd7fbc907404433:0xfa4e79f15294cfba!8m2!3d-7.2844039!4d112.7547596!16s%2Fg%2F11bxfv_hqb!19sChIJM0RAB8n71y0Rus-UUvF5Tvo?authuser=0&amp;hl=zh-TW&amp;rclk=1</t>
  </si>
  <si>
    <t>Rawon Gusti</t>
  </si>
  <si>
    <t>Rawon Gusti merupakan tempat kuliner di Surabaya yang menyajikan rawon khas Jawa Timur dengan cita rasa autentik dan kuah hitam yang kaya akan rempah. Potongan daging sapi yang empuk dipadukan dengan kuah kluwek yang gurih, kemudian disajikan bersama nasi, tauge pendek, sambal, kerupuk, dan telur asin sebagai pelengkap. Dengan suasana makan yang nyaman, kualitas rasa yang konsisten, dan porsi yang mengenyangkan, Rawon Gusti menjadi salah satu pilihan favorit bagi penikmat rawon di Surabaya.</t>
  </si>
  <si>
    <t>Kuliner, Rawon, Daging Sapi, Kluwek, Makanan Jawa Timur, Makanan Indonesia, Kuliner Surabaya, Kuliner Lokal, Comfort Food, Kuah Gurih, Hidangan Tradisional, Makan Siang, Makan Malam, Food Hunting, Casual Dining, Family Friendly, Favorit Warga, Wisata Kuliner, Surabaya.</t>
  </si>
  <si>
    <t>Sabtu - Rabu, Jumat</t>
  </si>
  <si>
    <t>Kamis</t>
  </si>
  <si>
    <t>-7.2855334, 112.6525378</t>
  </si>
  <si>
    <t>https://www.google.com/maps/place/Rawon+Gusti/data=!4m7!3m6!1s0x2dd7fdb74b1e3795:0xc14420d0ab6f656b!8m2!3d-7.2855334!4d112.6525378!16s%2Fg%2F11xn9xm0ls!19sChIJlTceS7f91y0Ra2Vvq9AgRME?authuser=0&amp;hl=zh-TW&amp;rclk=1</t>
  </si>
  <si>
    <t>Depot Bebek H. Wachid Hasyim</t>
  </si>
  <si>
    <t>Depot Bebek H. Wachid Hasyim merupakan salah satu tempat kuliner di Surabaya yang terkenal dengan sajian bebek goreng berbumbu khas, daging yang empuk, dan kulit yang renyah. Hidangan disajikan bersama sambal pedas, lalapan segar, dan nasi hangat sehingga menghasilkan perpaduan rasa gurih yang menggugah selera. Dengan resep yang telah dipercaya oleh banyak pelanggan, pelayanan yang ramah, dan suasana makan yang nyaman, depot ini menjadi pilihan favorit bagi pecinta olahan bebek di Surabaya.</t>
  </si>
  <si>
    <t>Kuliner, Bebek Goreng, Bebek, Sambal Pedas, Lalapan, Makanan Jawa Timur, Makanan Indonesia, Kuliner Surabaya, Kuliner Lokal, Comfort Food, Makan Siang, Makan Malam, Casual Dining, Family Friendly, Food Hunting, Favorit Warga, Hidangan Nusantara, Wisata Kuliner, Surabaya.</t>
  </si>
  <si>
    <t>-7.3273005, 112.7332611</t>
  </si>
  <si>
    <t>https://www.google.com/maps/place/Depot+Bebek+H.+Wachid+Hasyim/data=!4m7!3m6!1s0x2dd7fb6a031a447f:0x812c67c328523581!8m2!3d-7.3273005!4d112.7332611!16s%2Fg%2F1hm30m340!19sChIJf0QaA2r71y0RgTVSKMNnLIE?authuser=0&amp;hl=zh-TW&amp;rclk=1</t>
  </si>
  <si>
    <t>Karbs Social Bakery &amp; Cafe</t>
  </si>
  <si>
    <t>Bakery dan cafe modern yang menawarkan aneka roti artisan, pastry, kopi, serta menu brunch. Memiliki desain interior estetik dan nyaman untuk bersantai.</t>
  </si>
  <si>
    <t>Bakery, Cafe, Artisan Bread, Pastry, Brunch, Coffee Shop, Instagramable, Surabaya</t>
  </si>
  <si>
    <t>-7.285781355560393, 112.73309167475753</t>
  </si>
  <si>
    <t>https://www.google.com/maps/place/Karbs+Social+-+Bakery+%26+Cafe/@-7.286058,112.7331023,17z/data=!3m1!4b1!4m6!3m5!1s0x2dd7fbb4bc47dc5d:0x31b4a0c0c7f0573!8m2!3d-7.286058!4d112.7331023!16s%2Fg%2F11y0mm0b31?entry=ttu&amp;g_ep=EgoyMDI2MDYyOS4wIKXMDSoASAFQAw%3D%3D</t>
  </si>
  <si>
    <t>Bakso Super Pak De Bogowonto</t>
  </si>
  <si>
    <t>Bakso Super Pak De Bogowonto merupakan salah satu kuliner bakso legendaris di Surabaya yang terkenal dengan bakso berukuran besar, tekstur kenyal, dan kuah kaldu sapi yang gurih. Selain bakso, tempat ini juga menyajikan berbagai pelengkap seperti mi, bihun, tahu, dan pangsit sehingga menghasilkan hidangan yang lezat dan mengenyangkan. Dengan cita rasa yang konsisten, harga yang terjangkau, dan suasana makan yang nyaman, Bakso Super Pak De Bogowonto menjadi favorit bagi pecinta bakso di Surabaya.</t>
  </si>
  <si>
    <t>Kuliner, Bakso, Bakso Super, Bakso Daging Sapi, Kuah Kaldu, Mi, Bihun, Tahu, Pangsit, Comfort Food, Kuliner Legendaris, Makanan Indonesia, Kuliner Surabaya, Kuliner Lokal, Makan Siang, Makan Malam, Food Hunting, Casual Dining, Family Friendly, Wisata Kuliner, Surabaya.</t>
  </si>
  <si>
    <t>-7.2891872, 112.7332307</t>
  </si>
  <si>
    <t>https://www.google.com/maps/place/Bakso+Super+Pak+De+Bogowonto/data=!4m7!3m6!1s0x2dd7fd8fe35334df:0xbc41b8aa8aed2ecb!8m2!3d-7.2891872!4d112.7332307!16s%2Fg%2F11fvx6_ch6!19sChIJ3zRT44_91y0Ryy7tiqq4Qbw?authuser=0&amp;hl=zh-TW&amp;rclk=1</t>
  </si>
  <si>
    <t>Kota lama surabaya</t>
  </si>
  <si>
    <t>Kota Lama Surabaya merupakan kawasan wisata heritage yang menyimpan berbagai bangunan bersejarah peninggalan masa kolonial dengan arsitektur yang khas dan penuh nilai budaya. Kawasan ini menawarkan pengalaman menyusuri jejak sejarah Surabaya melalui deretan gedung tua, jalanan klasik, serta berbagai spot menarik yang cocok untuk berjalan santai dan berfoto. Suasana yang unik dan bernuansa tempo dulu menjadikan Kota Lama Surabaya sebagai destinasi favorit bagi wisatawan, pecinta sejarah, maupun penggemar fotografi.</t>
  </si>
  <si>
    <t>Heritage, Sejarah, Wisata Budaya, Arsitektur Kolonial, Instagramable, Aesthetic, Fotografi, City Walk, Outdoor, Edukasi, Landmark, Wisata Kota, Historical Tour, Street Photography, Bangunan Bersejarah, Budaya, Urban Tourism, Family Friendly, Couple Friendly, Hidden Gem, Jelajah Kota, Spot Foto, Pusat Kota, Ikonik Surabaya.</t>
  </si>
  <si>
    <t>-7.2362868, 112.7188898</t>
  </si>
  <si>
    <t>-7,2362868</t>
  </si>
  <si>
    <t>112,7188898</t>
  </si>
  <si>
    <t>https://www.google.com/maps/place/Kota+Lama+Surabaya/@-7.2363085,112.7373439,17z/data=!3m1!4b1!4m6!3m5!1s0x2dd7f9002a6c31e1:0x136d216464ad11be!8m2!3d-7.2363085!4d112.7373439!16s%2Fg%2F11vy73nmr4?entry=ttu&amp;g_ep=EgoyMDI2MDYyOS4wIKXMDSoASAFQAw%3D%3D</t>
  </si>
  <si>
    <t>KAE KOPI SURABAYA</t>
  </si>
  <si>
    <t>KAE KOPI Surabaya merupakan coffee shop modern yang menawarkan pengalaman menikmati specialty coffee dalam suasana nyaman dan minimalis. Menyajikan berbagai pilihan espresso-based coffee, manual brew, minuman non-kopi, serta aneka camilan dan dessert, kafe ini menjadi tempat yang cocok untuk bekerja, belajar, maupun bersantai bersama teman. Dengan desain interior yang estetik, ambience yang tenang, dan pelayanan yang ramah, KAE KOPI menjadi salah satu destinasi favorit bagi pecinta kopi di Surabaya.</t>
  </si>
  <si>
    <t>Cafe, Coffee Shop, Specialty Coffee, Coffee Bar, Espresso, Manual Brew, Kopi, Non-Coffee, Dessert, Brunch, Kuliner, Cozy, Modern, Minimalist, Aesthetic, Instagramable, Work Friendly, Study Friendly, WiFi, Hangout, Lifestyle, Kuliner Surabaya, Surabaya.</t>
  </si>
  <si>
    <t>-7.2757603, 112.7111635</t>
  </si>
  <si>
    <t>https://www.google.com/maps/place/KAE+KOPI+SURABAYA/data=!4m7!3m6!1s0x2dd7fddbddd7eeb5:0x540b90ba1eac1a4f!8m2!3d-7.2757603!4d112.7111635!16s%2Fg%2F11sfdbp6g5!19sChIJte7X3dv91y0RTxqsHrqQC1Q?authuser=0&amp;hl=zh-TW&amp;rclk=1</t>
  </si>
  <si>
    <t>Nasi Ayam &amp; Nasi Bebek Cak Da'i</t>
  </si>
  <si>
    <t>Nasi Ayam &amp; Nasi Bebek Cak Da'i merupakan salah satu tempat kuliner di Surabaya yang menyajikan hidangan ayam dan bebek dengan bumbu khas yang kaya rasa. Daging ayam maupun bebek diolah hingga empuk dan disajikan bersama nasi hangat, sambal pedas, serta lalapan segar, menciptakan perpaduan cita rasa gurih yang menggugah selera. Dengan porsi yang mengenyangkan, harga yang terjangkau, dan suasana makan yang nyaman, tempat ini menjadi pilihan favorit untuk menikmati kuliner khas Jawa Timur.</t>
  </si>
  <si>
    <t>Kuliner, Nasi Ayam, Nasi Bebek, Ayam Goreng, Bebek Goreng, Sambal Pedas, Lalapan, Makanan Jawa Timur, Makanan Indonesia, Kuliner Surabaya, Kuliner Lokal, Comfort Food, Makan Siang, Makan Malam, Food Hunting, Casual Dining, Family Friendly, Harga Terjangkau, Wisata Kuliner, Surabaya.</t>
  </si>
  <si>
    <t>-7.3359679, 112.7285799</t>
  </si>
  <si>
    <t>https://www.google.com/maps/place/Nasi+Ayam+%26+Nasi+Bebek+Cak+Da%27i/data=!4m7!3m6!1s0x2dd7fb4522012993:0x4bf2d7511f76c1e5!8m2!3d-7.3359679!4d112.7285799!16s%2Fg%2F11b6t33x7z!19sChIJkykBIkX71y0R5cF2H1HX8ks?authuser=0&amp;hl=zh-TW&amp;rclk=1</t>
  </si>
  <si>
    <t>Pangsit Mie Ayam Jakarta</t>
  </si>
  <si>
    <t>Pangsit Mie Ayam Jakarta merupakan salah satu tempat kuliner di Surabaya yang menyajikan mi ayam bergaya Jakarta dengan cita rasa gurih dan tekstur mi yang kenyal. Hidangan disajikan dengan topping ayam berbumbu, pangsit, kuah kaldu yang lezat, serta pelengkap seperti bakso dan sawi sehingga menghasilkan sajian yang nikmat dan mengenyangkan. Dengan rasa yang konsisten, harga yang terjangkau, dan suasana makan yang nyaman, tempat ini menjadi pilihan favorit bagi pecinta mi ayam di Surabaya.</t>
  </si>
  <si>
    <t>-7.2336977, 112.7621203</t>
  </si>
  <si>
    <t>https://www.google.com/maps/place/Pangsit+Mie+Ayam+Jakarta+%22DI+JUAL+CEPAT%22/data=!4m7!3m6!1s0x2dd7f96bcd3a238b:0x37323fbff46b597d!8m2!3d-7.2336977!4d112.7621203!16s%2Fg%2F11gj72k5m9!19sChIJiyM6zWv51y0RfVlr9L8_Mjc?authuser=0&amp;hl=zh-TW&amp;rclk=1</t>
  </si>
  <si>
    <t>Soto Madura H. Abidin</t>
  </si>
  <si>
    <t>Soto Madura H. Abidin merupakan salah satu tempat kuliner di Surabaya yang menyajikan soto khas Madura dengan kuah gurih yang kaya akan rempah. Hidangan berisi potongan daging sapi atau ayam, soun, telur, kentang, dan pelengkap lainnya yang menghasilkan cita rasa hangat dan lezat. Dengan resep khas yang dipertahankan, porsi yang mengenyangkan, serta suasana makan yang nyaman, tempat ini menjadi pilihan favorit bagi pecinta soto tradisional.</t>
  </si>
  <si>
    <t>Kuliner, Soto Madura, Soto Daging, Soto Ayam, Kuah Rempah, Daging Sapi, Makanan Madura, Makanan Indonesia, Kuliner Surabaya, Kuliner Lokal, Comfort Food, Hidangan Hangat, Sarapan, Makan Siang, Makan Malam, Food Hunting, Casual Dining, Family Friendly, Wisata Kuliner, Surabaya.</t>
  </si>
  <si>
    <t>-7.2807312, 112.7089185</t>
  </si>
  <si>
    <t>https://www.google.com/maps/place/Soto+Daging+H.+Abidin/data=!4m7!3m6!1s0x2dd7fde5dfc6cb7f:0x1e5374bc1f6fa1e5!8m2!3d-7.2807312!4d112.7089185!16s%2Fg%2F11h27ltg2j!19sChIJf8vG3-X91y0R5aFvH7x0Ux4?authuser=0&amp;hl=zh-TW&amp;rclk=1</t>
  </si>
  <si>
    <t>Wisata Sontoh Laut</t>
  </si>
  <si>
    <t>Wisata Sontoh Laut merupakan destinasi wisata pesisir yang menawarkan pengalaman menyusuri hutan mangrove dan menikmati keindahan alam bahari di ujung barat Kota Surabaya. Pengunjung dapat menikmati pemandangan laut, berjalan di jembatan kayu di tengah hutan bakau, serta menyaksikan keanekaragaman hayati pesisir. Tempat ini menjadi pilihan menarik bagi wisatawan yang ingin merasakan wisata alam dan ekowisata yang terjangkau di Surabaya.</t>
  </si>
  <si>
    <t>Wisata Bahari, Pesisir, Mangrove, Ekowisata, Wisata Alam, Outdoor, Nature, Jembatan Kayu, Hutan Bakau, Pemandangan Laut, Bird Watching, Fotografi Alam, Instagramable, Spot Foto, Family Friendly, Healing, Santai, Konservasi, Edukasi Lingkungan, Eco Tourism, Surabaya Barat.</t>
  </si>
  <si>
    <t>-7.227572745020992, 112.68431555767067</t>
  </si>
  <si>
    <t>https://www.google.com/maps/place/Wisata+Sontoh+Laut/@-7.2278548,112.6842941,17z/data=!3m1!4b1!4m6!3m5!1s0x2dd7ff70e9232dcb:0x5b9d07786d2218e1!8m2!3d-7.2278548!4d112.6842941!16s%2Fg%2F11qg4kbkzb?entry=ttu&amp;g_ep=EgoyMDI2MDYyOS4wIKXMDSoASAFQAw%3D%3D</t>
  </si>
  <si>
    <t>Bon Ami Restaurant - Dr. Soetomo</t>
  </si>
  <si>
    <t>Restoran keluarga legendaris yang menyajikan masakan Indonesia, Chinese food, bakery, dan aneka dessert. Dikenal dengan suasana nyaman dan menu yang beragam.</t>
  </si>
  <si>
    <t>Restoran Keluarga, Bakery, Chinese Food, Masakan Indonesia, Dessert, Legendaris, Surabaya</t>
  </si>
  <si>
    <t>75000-175000</t>
  </si>
  <si>
    <t>-7.282971803146515, 112.73519452663122</t>
  </si>
  <si>
    <t>https://www.google.com/maps/place/Bon+Ami+Restaurant+-+Dr.+Soetomo/@-7.2833237,112.7353172,17z/data=!3m1!4b1!4m6!3m5!1s0x2dd7fbebc62d52a5:0x7b44731e55ef119b!8m2!3d-7.2833237!4d112.7353172!16s%2Fg%2F1td8ft81?entry=ttu&amp;g_ep=EgoyMDI2MDYyOS4wIKXMDSoASAFQAw%3D%3D</t>
  </si>
  <si>
    <t>Komunitas coffee and space</t>
  </si>
  <si>
    <t>Komunitas Coffee and Space merupakan kafe modern di Surabaya yang mengusung konsep ruang berkumpul bagi komunitas, pekerja, maupun pelajar. Menawarkan berbagai pilihan specialty coffee, minuman non-kopi, dessert, serta makanan ringan, kafe ini menghadirkan suasana yang nyaman untuk bekerja, belajar, berdiskusi, maupun bersantai. Dengan desain interior yang modern dan estetik serta fasilitas yang mendukung, tempat ini menjadi salah satu destinasi favorit untuk produktivitas dan hangout di Surabaya.</t>
  </si>
  <si>
    <t>Cafe, Coffee Shop, Specialty Coffee, Coffee Bar, Kopi, Non-Coffee, Dessert, Brunch, Coworking, Community Space, Work Friendly, Study Friendly, WiFi, Meeting, Hangout, Cozy, Modern, Aesthetic, Instagramable, Kuliner Surabaya, Lifestyle, Surabaya.</t>
  </si>
  <si>
    <t>-7.2934256, 112.7582858</t>
  </si>
  <si>
    <t>https://www.google.com/maps/place/Komunitas+coffee+and+space/data=!4m7!3m6!1s0x2dd7fb54f833f5f5:0x7811a52ca5a6dd9b!8m2!3d-7.2934256!4d112.7582858!16s%2Fg%2F11h194y52n!19sChIJ9fUz-FT71y0Rm92mpSylEXg?authuser=0&amp;hl=zh-TW&amp;rclk=1</t>
  </si>
  <si>
    <t>Me'nate Steak &amp; Seafood Surabaya</t>
  </si>
  <si>
    <t>Me'nate Steak &amp; Seafood Surabaya merupakan restoran premium yang menyajikan berbagai pilihan steak berkualitas dan hidangan seafood dengan cita rasa internasional. Pengunjung dapat menikmati aneka potongan daging sapi, ayam, kambing, serta seafood yang diolah dengan berbagai pilihan saus dan tingkat kematangan sesuai selera. Dengan interior yang elegan, pelayanan profesional, dan suasana yang nyaman, Me'nate Steak &amp; Seafood menjadi pilihan tepat untuk makan bersama keluarga, pertemuan bisnis, maupun perayaan acara spesial.</t>
  </si>
  <si>
    <t>Restaurant, Steak House, Seafood, Premium Dining, Beef Steak, Wagyu, Lamb, Chicken Steak, Grilled Seafood, Western Food, International Cuisine, Fine Dining, Casual Dining, Family Friendly, Business Meeting, Celebration, Elegant, Kuliner Surabaya, Wisata Kuliner, Surabaya.</t>
  </si>
  <si>
    <t>-7.280376, 112.767531</t>
  </si>
  <si>
    <t>https://www.google.com/maps/place/Me%27nate+Steak+%26+Seafood+Surabaya/data=!4m7!3m6!1s0x2dd7fb291a47f3e5:0x9fe4b7ecfb1e797!8m2!3d-7.280376!4d112.767531!16s%2Fg%2F11ltfszd82!19sChIJ5fNHGin71y0Rl-exz35L_gk?authuser=0&amp;hl=zh-TW&amp;rclk=1</t>
  </si>
  <si>
    <t>Park of US Bomber B-26B AURI M265 - Sungai Kalimas</t>
  </si>
  <si>
    <t>Park of US Bomber B-26B AURI M265 merupakan taman tematik di tepian Sungai Kalimas yang menampilkan pesawat pembom B-26B Invader milik TNI AU sebagai monumen sejarah. Berada di kawasan wisata Kalimas, taman ini menjadi destinasi menarik untuk mempelajari sejarah penerbangan Indonesia sekaligus menikmati suasana ruang terbuka hijau di tepi sungai. Pengunjung juga dapat bersantai, berfoto, atau menikmati wisata perahu Kalimas yang berada di kawasan sekitarnya, menjadikan tempat ini sebagai perpaduan wisata sejarah, edukasi, dan rekreasi.</t>
  </si>
  <si>
    <t>Taman, Monumen Pesawat, B-26B Invader, TNI AU, Wisata Sejarah, Wisata Edukasi, Sungai Kalimas, Wisata Kalimas, Landmark Surabaya, Ruang Terbuka Hijau, Spot Foto, Fotografi, Rekreasi, Family Friendly, Wisata Kota, Heritage, Outdoor, Ikonik, Surabaya.</t>
  </si>
  <si>
    <t>-7.2624065, 112.7442389</t>
  </si>
  <si>
    <t>https://www.google.com/maps/place/Park+of+US+Bomber+B-26B+AURI+M265+-+Sungai+Kalimas/data=!4m7!3m6!1s0x2dd7fb9b5fb6a39f:0x8352911ce671365f!8m2!3d-7.2624065!4d112.7442389!16s%2Fg%2F11f66cjp1t!19sChIJn6O2X5v71y0RXzZx5hyRUoM?authuser=0&amp;hl=zh-TW&amp;rclk=1</t>
  </si>
  <si>
    <t>Steak Lab SteakHouse</t>
  </si>
  <si>
    <t>Steak Lab SteakHouse merupakan restoran steak di Surabaya yang menyajikan berbagai pilihan daging berkualitas dengan tingkat kematangan yang dapat disesuaikan dengan selera. Selain steak sapi, restoran ini juga menawarkan menu ayam, pasta, burger, dan berbagai hidangan pendamping yang cocok dinikmati bersama keluarga maupun teman. Dengan suasana modern dan nyaman, Steak Lab SteakHouse menjadi pilihan favorit untuk makan siang, makan malam, maupun berbagai momen spesial.</t>
  </si>
  <si>
    <t>Steak House, Restaurant, Steak, Beef Steak, Chicken Steak, Western Food, Pasta, Burger, Casual Dining, Family Friendly, Couple Friendly, Lunch, Dinner, Modern, Comfort Food, Food Hunting, Gathering, Kuliner Surabaya, Wisata Kuliner, Surabaya.</t>
  </si>
  <si>
    <t>-7.2995063, 112.6636811</t>
  </si>
  <si>
    <t>https://www.google.com/maps/place/Steak+Lab+SteakHouse/data=!4m7!3m6!1s0x2dd7fb6d552a2bc7:0xa54f870fe5bcbbc7!8m2!3d-7.2995063!4d112.6636811!16s%2Fg%2F11k6xv0l8x!19sChIJxysqVW371y0Rx7u85Q-HT6U?authuser=0&amp;hl=zh-TW&amp;rclk=1</t>
  </si>
  <si>
    <t>Ciccia Ristorante - Italian Restaurant and Steak House</t>
  </si>
  <si>
    <t>Ciccia Ristorante merupakan restoran Italia premium di Surabaya yang menghadirkan pengalaman bersantap autentik dengan beragam hidangan khas Italia. Menu seperti pizza, pasta, risotto, steak, hingga aneka dessert disajikan menggunakan bahan berkualitas dalam suasana yang elegan dan hangat. Dengan interior bergaya klasik modern, pelayanan profesional, dan pilihan menu yang beragam, restoran ini menjadi destinasi ideal untuk makan malam romantis, pertemuan bisnis, maupun perayaan bersama keluarga.</t>
  </si>
  <si>
    <t>Italian Restaurant, Steak House, Pizza, Pasta, Risotto, Steak, Western Food, Italian Cuisine, Fine Dining, Casual Dining, Elegant, Premium, Romantic Dinner, Couple Friendly, Family Friendly, Business Meeting, Celebration, Kuliner Surabaya, Wisata Kuliner, Surabaya.</t>
  </si>
  <si>
    <t>-7.2813385, 112.7354883</t>
  </si>
  <si>
    <t>https://www.google.com/maps/place/Ciccia+Ristorante+-+Italian+Restaurant+and+Steak+House/data=!4m7!3m6!1s0x2dd7fbf97663caad:0x902060f91f9c9ce!8m2!3d-7.2813385!4d112.7354883!16s%2Fg%2F11qz7zfdw3!19sChIJrcpjdvn71y0Rzsn5kQ8GAgk?authuser=0&amp;hl=zh-TW&amp;rclk=1</t>
  </si>
  <si>
    <t>Penyetan Indah</t>
  </si>
  <si>
    <t>Penyetan Indah merupakan salah satu tempat kuliner di Surabaya yang menyajikan aneka hidangan penyetan khas Jawa Timur dengan cita rasa autentik dan sambal pedas sebagai menu andalannya. Berbagai pilihan lauk seperti ayam, lele, ikan, tahu, tempe, dan bebek disajikan bersama lalapan segar serta nasi hangat, menghasilkan hidangan yang lezat dan mengenyangkan. Dengan suasana makan yang sederhana, harga yang terjangkau, dan rasa yang konsisten, tempat ini menjadi pilihan favorit bagi pecinta kuliner lokal.</t>
  </si>
  <si>
    <t>Kuliner, Penyetan, Ayam Penyet, Bebek Penyet, Lele Penyet, Ikan Penyet, Sambal Pedas, Lalapan, Makanan Jawa Timur, Makanan Indonesia, Kuliner Surabaya, Kuliner Lokal, Comfort Food, Makan Siang, Makan Malam, Food Hunting, Casual Dining, Family Friendly, Wisata Kuliner, Surabaya.</t>
  </si>
  <si>
    <t>-7.2706579, 112.7608529</t>
  </si>
  <si>
    <t>https://www.google.com/maps/place/Penyetan+Indah/data=!4m7!3m6!1s0x2dd7fbd48e18ec4d:0x118d5f1d079de4ce!8m2!3d-7.2706579!4d112.7608529!16s%2Fg%2F11gfdyx2pf!19sChIJTewYjtT71y0RzuSdBx1fjRE?authuser=0&amp;hl=zh-TW&amp;rclk=1</t>
  </si>
  <si>
    <t>Monopole Coffee Lab Darmo</t>
  </si>
  <si>
    <t>Monopole Coffee Lab Darmo adalah kafe sekaligus laboratorium kopi yang mengedepankan pendekatan saintifik dalam mengolah dan menyajikan kopi. Terletak di kawasan Darmo yang tenang, kafe ini menawarkan menu specialty coffee yang dikerjakan dengan presisi oleh barista terlatih. Konsep coffee lab-nya yang unik menjadi daya tarik tersendiri bagi pecinta kopi yang ingin memahami proses di balik secangkir kopi terbaik.</t>
  </si>
  <si>
    <t>Coffee Lab, Specialty Coffee, Third Wave Coffee, Kafe, Coffee Shop, Barista, Pour Over, Espresso, Cold Brew, Kopi Eksperimental, Aesthetic, Instagramable, Cozy, Nongkrong, Work From Cafe, WFC, Indoor, Coffee Enthusiast, Darmo, Surabaya Barat</t>
  </si>
  <si>
    <t>-7.282566398648191, 112.69493758679066</t>
  </si>
  <si>
    <t>https://www.google.com/maps/place/Monopole+Coffee+Lab/@-7.2898167,112.6874943,15z/data=!4m10!1m2!2m1!1sMonopole+Coffee+Lab+Darmo!3m6!1s0x2dd7fc16f115e1c1:0x23ffc9b695db7529!8m2!3d-7.2828488!4d112.6949386!15sChlNb25vcG9sZSBDb2ZmZWUgTGFiIERhcm1vWhsiGW1vbm9wb2xlIGNvZmZlZSBsYWIgZGFybW-SAQRjYWZl4AEA!16s%2Fg%2F11b6dg0cvf?entry=ttu&amp;g_ep=EgoyMDI2MDYyOS4wIKXMDSoASAFQAw%3D%3D</t>
  </si>
  <si>
    <t>Soto Madura Wawan</t>
  </si>
  <si>
    <t>Soto Madura Wawan merupakan salah satu destinasi kuliner di Surabaya yang menyajikan soto khas Madura dengan cita rasa autentik dan kuah rempah yang gurih. Hidangan disajikan dengan pilihan daging sapi atau ayam, dilengkapi soun, kentang, telur, serta sambal dan jeruk nipis yang menambah kesegaran rasa. Dengan porsi yang mengenyangkan, resep yang konsisten, dan suasana makan yang nyaman, Soto Madura Wawan menjadi pilihan favorit bagi penikmat kuliner khas Madura di Surabaya.</t>
  </si>
  <si>
    <t>-7.292037, 112.7247467</t>
  </si>
  <si>
    <t>https://www.google.com/maps/place/Soto+Madura+Wawan/data=!4m7!3m6!1s0x2dd7fb8dcfa9c133:0xa9b69914489621c3!8m2!3d-7.292037!4d112.7247467!16s%2Fg%2F1hm4t1fvt!19sChIJM8Gpz4371y0RwyGWSBSZtqk?authuser=0&amp;hl=zh-TW&amp;rclk=1</t>
  </si>
  <si>
    <t>Expat. Roasters Graha Famili Surabaya</t>
  </si>
  <si>
    <t>Expat. Roasters Graha Famili Surabaya merupakan specialty coffee shop yang menghadirkan pengalaman menikmati kopi berkualitas tinggi dengan biji kopi pilihan dan teknik penyeduhan profesional. Kafe ini menawarkan berbagai pilihan espresso-based coffee, manual brew, minuman non-kopi, pastry, serta hidangan ringan dalam suasana modern dan elegan. Dengan interior yang estetik, ambience yang nyaman, serta fasilitas yang mendukung aktivitas bekerja maupun bersantai, Expat. Roasters menjadi salah satu destinasi favorit pecinta kopi di Surabaya.</t>
  </si>
  <si>
    <t>Cafe, Coffee Shop, Specialty Coffee, Coffee Roastery, Espresso, Manual Brew, Kopi, Non-Coffee, Pastry, Dessert, Brunch, Kuliner, Cozy, Modern, Minimalist, Aesthetic, Instagramable, Work Friendly, Study Friendly, WiFi, Hangout, Lifestyle, Kuliner Surabaya, Surabaya.</t>
  </si>
  <si>
    <t>-7.2995694, 112.6974452</t>
  </si>
  <si>
    <t>https://www.google.com/maps/place/Expat.+Roasters+Graha+Famili+Surabaya/data=!4m7!3m6!1s0x2dd7fd0af610f449:0x5f879618081d0d74!8m2!3d-7.2995694!4d112.6974452!16s%2Fg%2F11v06dh82j!19sChIJSfQQ9gr91y0RdA0dCBiWh18?authuser=0&amp;hl=zh-TW&amp;rclk=1</t>
  </si>
  <si>
    <t>Artomoro Seafood Pak Kumis</t>
  </si>
  <si>
    <t>Artomoro Seafood Pak Kumis merupakan restoran seafood di Surabaya yang menyajikan aneka hidangan laut segar dengan cita rasa khas Nusantara. Berbagai menu seperti kepiting, udang, cumi, kerang, dan ikan diolah dengan pilihan bumbu seperti saus padang, lada hitam, mentega, maupun saus tiram yang kaya rasa. Dengan porsi yang cocok dinikmati bersama keluarga atau teman serta suasana makan yang nyaman, restoran ini menjadi salah satu pilihan favorit bagi pecinta seafood di Surabaya.</t>
  </si>
  <si>
    <t>Seafood, Restaurant, Makanan Laut, Kepiting, Udang, Cumi, Kerang, Ikan Bakar, Saus Padang, Lada Hitam, Butter Sauce, Saus Tiram, Casual Dining, Family Friendly, Gathering, Makan Siang, Makan Malam, Food Hunting, Kuliner Surabaya, Wisata Kuliner, Surabaya.</t>
  </si>
  <si>
    <t>-7.2853492, 112.6951792</t>
  </si>
  <si>
    <t>https://www.google.com/maps/place/Artomoro+Sea+Food/data=!4m7!3m6!1s0x2dd7fc143a41ed5f:0x67157a1c4c5a2dab!8m2!3d-7.2853492!4d112.6951792!16s%2Fg%2F11b782ps7x!19sChIJX-1BOhT81y0Rqy1aTBx6FWc?authuser=0&amp;hl=zh-TW&amp;rclk=1</t>
  </si>
  <si>
    <t>Warung Penyetan &amp; pecel Ponorogo ss2</t>
  </si>
  <si>
    <t>Warung Penyetan &amp; Pecel Ponorogo SS2 merupakan tempat kuliner di Surabaya yang menyajikan aneka hidangan penyetan dan pecel khas Jawa Timur dengan cita rasa autentik. Beragam pilihan lauk seperti ayam, lele, bebek, ikan, tahu, dan tempe disajikan bersama sambal pedas, lalapan segar, maupun bumbu pecel yang gurih. Dengan porsi yang mengenyangkan, harga yang terjangkau, dan suasana makan yang nyaman, warung ini menjadi pilihan favorit bagi pecinta masakan tradisional.</t>
  </si>
  <si>
    <t>Kuliner, Penyetan, Pecel, Ayam Penyet, Bebek Penyet, Lele Penyet, Sambal Pedas, Bumbu Pecel, Lalapan, Makanan Jawa Timur, Makanan Indonesia, Kuliner Surabaya, Kuliner Lokal, Comfort Food, Makan Siang, Makan Malam, Casual Dining, Family Friendly, Food Hunting, Wisata Kuliner, Surabaya.</t>
  </si>
  <si>
    <t>-7.305256, 112.7563467</t>
  </si>
  <si>
    <t>https://www.google.com/maps/place/Warung+Penyetan+%26+pecel+Ponorogo+ss2/data=!4m7!3m6!1s0x2dd7fba999a5b2ab:0xbd62b49574ae884c!8m2!3d-7.305256!4d112.7563467!16s%2Fg%2F11cls665p0!19sChIJq7Klman71y0RTIiudJW0Yr0?authuser=0&amp;hl=zh-TW&amp;rclk=1</t>
  </si>
  <si>
    <t>Taman Prestasi Surabaya</t>
  </si>
  <si>
    <t>Taman Prestasi Surabaya merupakan salah satu taman kota ikonik yang berada di tepi Sungai Kalimas dan menjadi ruang terbuka hijau favorit bagi masyarakat. Taman ini menawarkan suasana rindang dengan pepohonan, area bermain anak, jalur pedestrian, serta dermaga wisata perahu Kalimas yang menjadi daya tarik utama. Pengunjung dapat bersantai, berolahraga ringan, menikmati pemandangan sungai, hingga mengabadikan momen di berbagai sudut taman yang asri. Dengan fasilitas yang lengkap dan lokasi strategis di pusat kota, Taman Prestasi menjadi destinasi rekreasi keluarga yang populer di Surabaya.</t>
  </si>
  <si>
    <t>Taman, Taman Kota, Taman Prestasi, Sungai Kalimas, Wisata Kalimas, Ruang Terbuka Hijau, RTH, Rekreasi, Healing, Santai, Jogging, Outdoor, Area Bermain Anak, Family Friendly, Spot Foto, Instagramable, Wisata Gratis, Landmark Surabaya, Pusat Kota, Surabaya.</t>
  </si>
  <si>
    <t>-7.2614722, 112.7428284</t>
  </si>
  <si>
    <t>https://www.google.com/maps/place/Taman+Prestasi+Surabaya/data=!4m7!3m6!1s0x2dd7f966cbf14633:0xa3125b26dcc2d9ea!8m2!3d-7.2614722!4d112.7428284!16s%2Fg%2F11bxfw7cgj!19sChIJM0bxy2b51y0R6tnC3CZbEqM?authuser=0&amp;hl=zh-TW&amp;rclk=1</t>
  </si>
  <si>
    <t>Edu Wisata Lontar Sewu (Hendrosari)</t>
  </si>
  <si>
    <t>Edu Wisata Lontar Sewu merupakan destinasi wisata edukasi dan rekreasi yang berada di Desa Hendrosari, Kabupaten Gresik, tidak jauh dari Surabaya. Dikelilingi ratusan pohon lontar yang menjadi ciri khas kawasan ini, tempat wisata ini menawarkan berbagai aktivitas menarik seperti wahana permainan, spot foto, area kuliner, hingga edukasi mengenai pemanfaatan pohon lontar dan produk lokal. Dengan suasana yang asri dan fasilitas yang ramah keluarga, Edu Wisata Lontar Sewu menjadi pilihan tepat untuk rekreasi sekaligus belajar tentang potensi alam dan budaya setempat.</t>
  </si>
  <si>
    <t>Wisata Edukasi, Wisata Alam, Edu Wisata, Lontar Sewu, Hendrosari, Gresik, Pohon Lontar, Rekreasi, Family Friendly, Spot Foto, Instagramable, Outdoor, Playground, Wisata Keluarga, Kuliner, Budaya Lokal, Edukasi, Healing, Nature, Jawa Timur.</t>
  </si>
  <si>
    <t>-7.2386399, 112.5835162</t>
  </si>
  <si>
    <t>https://www.google.com/maps/place/Edu+Wisata+Lontar+Sewu+%28Hendrosari%29/data=!4m7!3m6!1s0x2e78015da9598863:0x1458d5cd0242acfe!8m2!3d-7.2386399!4d112.5835162!16s%2Fg%2F11gxmtbw39!19sChIJY4hZqV0BeC4R_qxCAs3VWBQ?authuser=0&amp;hl=zh-TW&amp;rclk=1</t>
  </si>
  <si>
    <t>wantutu.</t>
  </si>
  <si>
    <t>wantutu. adalah kafe berkonsep kasual dan cozy yang berlokasi di kawasan Surabaya, menawarkan sajian minuman dan makanan ringan dengan harga terjangkau. Dengan suasana yang hangat dan desain interior yang aesthetic, wantutu menjadi pilihan populer untuk nongkrong santai, mengerjakan tugas, maupun berkumpul bersama teman-teman. Menu andalannya mencakup berbagai pilihan kopi dan non-kopi yang diolah dengan cermat.</t>
  </si>
  <si>
    <t>Kafe, Coffee Shop, Nongkrong, Hangout, Aesthetic, Instagramable, Cozy, Santai, Work From Cafe, WFC, Minuman Kopi, Non-Kopi, Makanan Ringan, Affordable, Indoor, Lifestyle, Couple Friendly, Friend Gathering, Surabaya Pusat.</t>
  </si>
  <si>
    <t>-7.266366692054985, 112.7510106266198</t>
  </si>
  <si>
    <t>https://www.google.com/maps/place/wantutu.+Pemuda/@-7.2743182,112.7417736,15z/data=!4m10!1m2!2m1!1swantutu.!3m6!1s0x2dd7fb5f07f8e511:0x98a29ed0ecf00015!8m2!3d-7.266522!4d112.7510129!15sCgh3YW50dXR1LloJIgd3YW50dXR1kgELY29mZmVlX3Nob3DgAQA!16s%2Fg%2F11kspznqt8?entry=ttu&amp;g_ep=EgoyMDI2MDYyOS4wIKXMDSoASAFQAw%3D%3D</t>
  </si>
  <si>
    <t>Soto Ayam Semarang Pak No</t>
  </si>
  <si>
    <t>Soto Ayam Semarang Pak No merupakan salah satu tempat kuliner di Surabaya yang menghadirkan cita rasa khas Soto Ayam Semarang dengan kuah bening yang gurih dan kaya rempah. Disajikan dengan suwiran ayam, bihun, tauge, telur, serta pelengkap seperti sambal, jeruk nipis, dan kerupuk, hidangan ini menawarkan rasa yang hangat dan menyegarkan. Dengan resep autentik dan suasana makan yang nyaman, tempat ini menjadi pilihan favorit bagi pecinta kuliner khas Semarang.</t>
  </si>
  <si>
    <t>Kuliner, Soto Ayam, Soto Semarang, Kuah Bening, Makanan Indonesia, Kuliner Jawa Tengah, Kuliner Surabaya, Kuliner Lokal, Comfort Food, Hidangan Hangat, Sarapan, Makan Siang, Makan Malam, Casual Dining, Family Friendly, Food Hunting, Wisata Kuliner, Surabaya.</t>
  </si>
  <si>
    <t>-7.2471077, 112.7745904</t>
  </si>
  <si>
    <t>https://www.google.com/maps/place/Soto+Ayam+Semarang+Pak+No/data=!4m7!3m6!1s0x2dd7f998285945fd:0xf031ef45c468e659!8m2!3d-7.2471077!4d112.7745904!16s%2Fg%2F11b6b9db24!19sChIJ_UVZKJj51y0RWeZoxEXvMfA?authuser=0&amp;hl=zh-TW&amp;rclk=1</t>
  </si>
  <si>
    <t>Andzero</t>
  </si>
  <si>
    <t>Kafe modern berlantai dua di Surabaya Timur yang dirancang dengan konsep minimalis modern dan banyak natural light. Dilengkapi dengan meeting room di lantai atas yang dapat disewa untuk gathering atau seminar. Buka pagi hari, cocok untuk breakfast, WFC, dan hangout.</t>
  </si>
  <si>
    <t>Cafe, Coffee, Minimalis, Modern, Aesthetic, WFC, Meeting Room, Natural Light, Instagramable, Cozy, Surabaya Timur</t>
  </si>
  <si>
    <t>-7.304387876912153, 112.76847034693384</t>
  </si>
  <si>
    <t>-7,304387876912153</t>
  </si>
  <si>
    <t>112,76847034693384</t>
  </si>
  <si>
    <t>https://www.google.com/maps/place/Andzero/@-7.3045468,112.768486,17z/data=!3m1!4b1!4m6!3m5!1s0x2dd7fb465757cab9:0x5db78d1d288272e5!8m2!3d-7.3045468!4d112.768486!16s%2Fg%2F11v007w6jf?entry=ttu&amp;g_ep=EgoyMDI2MDYyOS4wIKXMDSoASAFQAw%3D%3D</t>
  </si>
  <si>
    <t>Bakso Pak Seger Pirngadi</t>
  </si>
  <si>
    <t>Bakso Pak Seger Pirngadi merupakan salah satu tempat kuliner bakso di Surabaya yang dikenal dengan sajian bakso daging sapi bertekstur kenyal dan kuah kaldu yang gurih. Setiap porsi disajikan bersama mi, bihun, tahu, serta pelengkap lainnya sehingga menghasilkan hidangan hangat yang lezat dan mengenyangkan. Dengan cita rasa yang konsisten, harga yang terjangkau, dan suasana makan yang nyaman, Bakso Pak Seger Pirngadi menjadi pilihan favorit bagi pecinta bakso di Surabaya.</t>
  </si>
  <si>
    <t>Kuliner, Bakso, Bakso Daging Sapi, Kuah Kaldu, Mi, Bihun, Tahu, Comfort Food, Makanan Indonesia, Kuliner Surabaya, Kuliner Lokal, Hidangan Hangat, Makan Siang, Makan Malam, Food Hunting, Casual Dining, Family Friendly, Harga Terjangkau, Wisata Kuliner, Surabaya.</t>
  </si>
  <si>
    <t>-7.2527209, 112.7343977</t>
  </si>
  <si>
    <t>https://www.google.com/maps/place/Bakso+Pak+Seger+Pirngadi/data=!4m7!3m6!1s0x2dd7f943e65007c7:0x22c94e8dd3c29f05!8m2!3d-7.2527209!4d112.7343977!16s%2Fg%2F11bw4vlns5!19sChIJxwdQ5kP51y0RBZ_C041OySI?authuser=0&amp;hl=zh-TW&amp;rclk=1</t>
  </si>
  <si>
    <t>Gubug Makan Mang Engking Gubeng Surabaya</t>
  </si>
  <si>
    <t>Gubug Makan Mang Engking Gubeng Surabaya merupakan restoran keluarga bernuansa khas Sunda yang menawarkan pengalaman bersantap di saung-saung yang dikelilingi kolam ikan dan taman hijau. Restoran ini menyajikan beragam hidangan khas Nusantara, terutama aneka olahan seafood, ikan, udang, kepiting, ayam, dan sayuran dengan cita rasa autentik. Suasana yang asri, area yang luas, serta fasilitas ramah keluarga menjadikan restoran ini cocok untuk makan bersama keluarga, gathering, maupun acara spesial.</t>
  </si>
  <si>
    <t>Restaurant, Restoran Sunda, Seafood, Masakan Indonesia, Ikan Bakar, Udang, Kepiting, Ayam Bakar, Saung, Kolam Ikan, Family Restaurant, Family Friendly, Gathering, Casual Dining, Outdoor Dining, Kuliner Surabaya, Wisata Kuliner, Makan Siang, Makan Malam, Surabaya.</t>
  </si>
  <si>
    <t>-7.2671284, 112.7526298</t>
  </si>
  <si>
    <t>https://www.google.com/maps/place/Gubug+Makan+Mang+Engking+Gubeng+Surabaya/data=!4m7!3m6!1s0x2dd7fb27e4e5d3f5:0x1f44be80d59668d1!8m2!3d-7.2671284!4d112.7526298!16s%2Fg%2F11tmdwt8wm!19sChIJ9dPl5Cf71y0R0WiW1YC-RB8?authuser=0&amp;hl=zh-TW&amp;rclk=1</t>
  </si>
  <si>
    <t>Rawon Mak Djahid</t>
  </si>
  <si>
    <t>Rawon Mak Djahid merupakan salah satu tempat kuliner di Surabaya yang menyajikan rawon khas Jawa Timur dengan cita rasa autentik. Kuah hitam yang kaya rempah dari kluwek dipadukan dengan potongan daging sapi yang empuk, lalu disajikan bersama nasi, tauge pendek, sambal, kerupuk, dan pelengkap lainnya. Dengan rasa yang konsisten, suasana makan yang nyaman, dan porsi yang mengenyangkan, Rawon Mak Djahid menjadi pilihan favorit bagi pecinta kuliner tradisional Surabaya.</t>
  </si>
  <si>
    <t>-7.3340383, 112.7003</t>
  </si>
  <si>
    <t>https://www.google.com/maps/place/Rawon+Mak+Djahid/data=!4m7!3m6!1s0x2dd7fba227de54c9:0x53a555da059db744!8m2!3d-7.3340383!4d112.7003!16s%2Fg%2F11jvb0jcps!19sChIJyVTeJ6L71y0RRLedBdpVpVM?authuser=0&amp;hl=zh-TW&amp;rclk=1</t>
  </si>
  <si>
    <t>Ayam Bakar Primarasa</t>
  </si>
  <si>
    <t>Ayam Bakar Primarasa merupakan restoran legendaris di Surabaya yang terkenal dengan sajian ayam bakar berbumbu khas serta beragam hidangan Nusantara. Selain ayam bakar, restoran ini juga menawarkan aneka olahan ayam, seafood, sayuran, sup, dan berbagai camilan serta oleh-oleh khas Primarasa. Dengan kualitas hidangan yang terjaga, pelayanan yang ramah, dan suasana makan yang nyaman, restoran ini menjadi pilihan favorit untuk makan bersama keluarga maupun rekan kerja.</t>
  </si>
  <si>
    <t>Restaurant, Ayam Bakar, Ayam Goreng, Masakan Indonesia, Kuliner Nusantara, Seafood, Casual Dining, Family Restaurant, Family Friendly, Gathering, Makan Siang, Makan Malam, Comfort Food, Kuliner Surabaya, Oleh-Oleh, Food Hunting, Wisata Kuliner, Surabaya.</t>
  </si>
  <si>
    <t>-7.3301425, 112.730468</t>
  </si>
  <si>
    <t>https://www.google.com/maps/place/Ayam+Bakar+Primarasa/data=!4m7!3m6!1s0x2dd7fb424d89ca41:0x59c31a204e07b94c!8m2!3d-7.3301425!4d112.730468!16s%2Fg%2F1hm3hdflx!19sChIJQcqJTUL71y0RTLkHTiAaw1k?authuser=0&amp;hl=zh-TW&amp;rclk=1</t>
  </si>
  <si>
    <t>Ada Apa Dengan Kopi (AADK)</t>
  </si>
  <si>
    <t>Ada Apa Dengan Kopi (AADK) merupakan coffee shop di Surabaya yang menawarkan suasana nyaman dengan konsep modern dan estetik. Kafe ini menyajikan berbagai pilihan specialty coffee, espresso-based coffee, manual brew, minuman non-kopi, dessert, serta makanan ringan yang cocok dinikmati saat bekerja, belajar, maupun bersantai. Dengan ambience yang hangat dan fasilitas yang mendukung, AADK menjadi salah satu tempat favorit bagi pecinta kopi dan komunitas kreatif di Surabaya.</t>
  </si>
  <si>
    <t>Cafe, Coffee Shop, Specialty Coffee, Coffee Bar, Espresso, Manual Brew, Kopi, Non-Coffee, Dessert, Brunch, Kuliner, Cozy, Modern, Aesthetic, Instagramable, Work Friendly, Study Friendly, WiFi, Hangout, Lifestyle, Kuliner Surabaya, Surabaya.</t>
  </si>
  <si>
    <t>-7.2655585, 112.738032</t>
  </si>
  <si>
    <t>https://www.google.com/maps/place/ADA+APA+DENGAN+KOPI+-+AADK+TEGALSARI/data=!4m7!3m6!1s0x2dd7f91f6324b4e5:0x4f37e1b390f62dc7!8m2!3d-7.2655585!4d112.738032!16s%2Fg%2F11jcmf2730!19sChIJ5bQkYx_51y0Rxy32kLPhN08?authuser=0&amp;hl=zh-TW&amp;rclk=1</t>
  </si>
  <si>
    <t>Sentra Ikan Bulak (Pusat Hasil Olah Ikan)</t>
  </si>
  <si>
    <t>Sentra Ikan Bulak merupakan pusat kuliner dan oleh-oleh hasil olahan ikan yang berada di kawasan pesisir Kenjeran, Surabaya. Tempat ini menghadirkan berbagai produk olahan hasil laut seperti kerupuk ikan, abon ikan, ikan asap, ikan kering, petis, hingga aneka makanan khas pesisir yang diproduksi oleh pelaku UMKM lokal. Selain berbelanja oleh-oleh, pengunjung juga dapat menikmati suasana kawasan pesisir dan mendukung pemberdayaan ekonomi masyarakat nelayan. Sentra Ikan Bulak menjadi salah satu destinasi wisata kuliner yang khas di Surabaya.</t>
  </si>
  <si>
    <t>Sentra Kuliner, Pusat Oleh-Oleh, Hasil Olahan Ikan, Seafood, Kerupuk Ikan, Abon Ikan, Ikan Asap, Ikan Kering, Petis, UMKM, Wisata Kuliner, Wisata Belanja, Kuliner Surabaya, Kenjeran, Produk Lokal, Oleh-Oleh Khas, Pesisir, Family Friendly, Surabaya.</t>
  </si>
  <si>
    <t>-7.225576, 112.7870017</t>
  </si>
  <si>
    <t>https://www.google.com/maps/place/Seafood+Center/data=!4m7!3m6!1s0x2dd7f9ca98d02b41:0x4e86c47c1972b9bb!8m2!3d-7.225576!4d112.7870017!16s%2Fg%2F11b6_vlw8q!19sChIJQSvQmMr51y0Ru7lyGXzEhk4?authuser=0&amp;hl=zh-TW&amp;rclk=1</t>
  </si>
  <si>
    <t>Bakso Jalil</t>
  </si>
  <si>
    <t>Bakso Jalil merupakan salah satu kuliner bakso legendaris di Surabaya yang telah dikenal sejak lama dengan sajian bakso berukuran kecil khas atau sering disebut bakso krikil. Disajikan dalam kuah kaldu sapi yang gurih dengan mi, bihun, dan pelengkap lainnya, bakso ini menawarkan cita rasa autentik yang konsisten dan menjadi favorit berbagai kalangan. Berlokasi di pusat kota, Bakso Jalil menjadi salah satu destinasi wajib bagi pecinta kuliner bakso di Surabaya.</t>
  </si>
  <si>
    <t>Kuliner, Bakso, Bakso Krikil, Bakso Daging Sapi, Kuah Kaldu, Mi, Bihun, Comfort Food, Kuliner Legendaris, Makanan Indonesia, Kuliner Surabaya, Kuliner Lokal, Makan Siang, Makan Malam, Food Hunting, Casual Dining, Family Friendly, Favorit Warga, Wisata Kuliner, Surabaya.</t>
  </si>
  <si>
    <t>-7.2649135, 112.742631</t>
  </si>
  <si>
    <t>https://www.google.com/maps/place/Bakso+Jalil/data=!4m7!3m6!1s0x2dd7f961afed27ad:0xb64fa185662749ee!8m2!3d-7.2649135!4d112.742631!16s%2Fg%2F11cn7td0nk!19sChIJrSftr2H51y0R7kknZoWhT7Y?authuser=0&amp;hl=zh-TW&amp;rclk=1</t>
  </si>
  <si>
    <t>Warung Penyetan Pulo</t>
  </si>
  <si>
    <t>Warung Penyetan Pulo merupakan tempat kuliner di Surabaya yang menyajikan aneka hidangan penyetan khas Jawa Timur dengan sambal pedas sebagai menu andalannya. Berbagai pilihan lauk seperti ayam, lele, ikan, tahu, tempe, dan bebek disajikan bersama nasi hangat serta lalapan segar, menghasilkan perpaduan rasa gurih dan pedas yang menggugah selera. Dengan suasana makan yang sederhana, harga yang terjangkau, dan cita rasa yang konsisten, warung ini menjadi pilihan favorit bagi pecinta kuliner lokal.</t>
  </si>
  <si>
    <t>-7.3007676, 112.7365916</t>
  </si>
  <si>
    <t>https://www.google.com/maps/place/Warung+Penyetan+Pulo/data=!4m7!3m6!1s0x2dd7fb98c20a4549:0xab657ae72c10432e!8m2!3d-7.3007676!4d112.7365916!16s%2Fg%2F11ggb7x4nh!19sChIJSUUKwpj71y0RLkMQLOd6Zas?authuser=0&amp;hl=zh-TW&amp;rclk=1</t>
  </si>
  <si>
    <t>Carpentier Kitchen</t>
  </si>
  <si>
    <t>Kafe bergaya vintage kolonial yang telah berdiri sejak 2012, terkenal dengan menu burger berlapis lima menggunakan sayuran hidroponik dan daging sapi asap, pasta, dan pancake. Menyatu dengan toko konsep ORE yang menjual berbagai produk lokal dan brand ternama. Suasana homey dan cozy.</t>
  </si>
  <si>
    <t>Cafe, Vintage, Kolonial, Burger, Pasta, Pancake, Western Food, Coffee, Shopping, OreStore, Aesthetic, Hangout, Surabaya Pusat</t>
  </si>
  <si>
    <t>-7.28462567648861, 112.7362757921344</t>
  </si>
  <si>
    <t>-7,28462567648861</t>
  </si>
  <si>
    <t>112,7362757921344</t>
  </si>
  <si>
    <t>https://www.google.com/maps/place/Carpentier+Kitchen/@-7.2850075,112.7362677,17z/data=!3m1!4b1!4m6!3m5!1s0x2dd7fbea561d0f9d:0x351791d80fe14db3!8m2!3d-7.2850075!4d112.7362677!16s%2Fg%2F11bw5wkt42?entry=ttu&amp;g_ep=EgoyMDI2MDYyOS4wIKXMDSoASAFQAw%3D%3D</t>
  </si>
  <si>
    <t>Bakso Pak Bakir</t>
  </si>
  <si>
    <t>Bakso Pak Bakir merupakan salah satu tempat kuliner bakso di Surabaya yang menyajikan bakso daging sapi dengan tekstur kenyal dan kuah kaldu yang gurih. Setiap porsi dilengkapi dengan mi, bihun, tahu, serta pelengkap lainnya sehingga menghasilkan hidangan hangat yang lezat dan mengenyangkan. Dengan cita rasa yang konsisten, harga yang ramah di kantong, dan suasana makan yang nyaman, Bakso Pak Bakir menjadi salah satu pilihan favorit bagi pecinta bakso di Surabaya.</t>
  </si>
  <si>
    <t>-7.2597166, 112.759057</t>
  </si>
  <si>
    <t>https://www.google.com/maps/place/Bakso+Pak+Bakir/data=!4m7!3m6!1s0x2dd7f9793c2456d9:0x5d814beeccef2f28!8m2!3d-7.2597166!4d112.759057!16s%2Fg%2F11f2wq5qn0!19sChIJ2VYkPHn51y0RKC_vzO5LgV0?authuser=0&amp;hl=zh-TW&amp;rclk=1</t>
  </si>
  <si>
    <t>Kepiting Cak Gundul 1992</t>
  </si>
  <si>
    <t>Kepiting Cak Gundul 1992 merupakan restoran seafood legendaris di Surabaya yang terkenal dengan aneka olahan kepiting bercita rasa khas. Berbagai pilihan menu seperti kepiting saus asam manis, saus padang, lada hitam, mentega, serta hidangan laut lainnya seperti udang, cumi, kerang, dan ikan disajikan menggunakan bahan yang segar. Dengan cita rasa yang konsisten, porsi yang cocok dinikmati bersama, dan suasana makan yang nyaman, restoran ini menjadi salah satu ikon kuliner seafood di Surabaya yang banyak direkomendasikan.</t>
  </si>
  <si>
    <t>Seafood, Restaurant, Kepiting, Kepiting Saus Padang, Kepiting Lada Hitam, Kepiting Mentega, Udang, Cumi, Kerang, Ikan, Makanan Laut, Casual Dining, Family Friendly, Gathering, Makan Siang, Makan Malam, Kuliner Legendaris, Kuliner Surabaya, Wisata Kuliner, Surabaya.</t>
  </si>
  <si>
    <t>10000-350000</t>
  </si>
  <si>
    <t>-7.2783067, 112.7078103</t>
  </si>
  <si>
    <t>https://www.google.com/maps/place/Kepiting+Cak+Gundul+1992/data=!4m7!3m6!1s0x2dd7fc05f3af1693:0xbcfb91ff145d29b2!8m2!3d-7.2783067!4d112.7078103!16s%2Fg%2F1hm58bbdk!19sChIJkxav8wX81y0RsildFP-R-7w?authuser=0&amp;hl=zh-TW&amp;rclk=1</t>
  </si>
  <si>
    <t>Padin Ikan Goreng - Bakar 24 Jam</t>
  </si>
  <si>
    <t>Padin Ikan Goreng - Bakar 24 Jam merupakan tempat kuliner di Surabaya yang menyajikan aneka hidangan ikan goreng dan ikan bakar dengan cita rasa khas Nusantara. Berbagai pilihan ikan segar diolah menggunakan bumbu rempah yang meresap dan disajikan bersama sambal, lalapan, serta nasi hangat. Beroperasi selama 24 jam, tempat ini menjadi pilihan favorit untuk menikmati hidangan laut kapan saja, baik untuk makan siang, makan malam, maupun santap larut malam bersama keluarga dan teman.</t>
  </si>
  <si>
    <t>Kuliner, Ikan Bakar, Ikan Goreng, Seafood, Makanan Laut, Sambal, Lalapan, Makanan Indonesia, Kuliner Surabaya, Kuliner Lokal, Comfort Food, Casual Dining, Family Friendly, Makan Siang, Makan Malam, Buka 24 Jam, Late Night Food, Food Hunting, Wisata Kuliner, Surabaya.</t>
  </si>
  <si>
    <t>-7.2557049, 112.7323074</t>
  </si>
  <si>
    <t>https://www.google.com/maps/place/Padin+Ikan+Goreng+-+Bakar+24+Jam/data=!4m7!3m6!1s0x2dd7f9449aa643cb:0x2fc4cd0dfa545b41!8m2!3d-7.2557049!4d112.7323074!16s%2Fg%2F11b6ctqtnv!19sChIJy0OmmkT51y0RQVtU-g3NxC8?authuser=0&amp;hl=zh-TW&amp;rclk=1</t>
  </si>
  <si>
    <t>Eco Wisata Mangrove Gunung Anyar</t>
  </si>
  <si>
    <t>Eco Wisata Mangrove Gunung Anyar merupakan destinasi wisata alam di Surabaya yang menawarkan pengalaman menjelajahi kawasan hutan mangrove dengan suasana yang asri dan menenangkan. Pengunjung dapat menyusuri jalur kayu (boardwalk), menikmati pemandangan ekosistem mangrove, mengamati berbagai jenis burung dan satwa, serta mengabadikan momen di berbagai spot foto alami. Selain sebagai tempat rekreasi, kawasan ini juga berperan penting dalam konservasi lingkungan pesisir dan menjadi sarana edukasi mengenai ekosistem mangrove.</t>
  </si>
  <si>
    <t>Wisata Alam, Ekowisata, Hutan Mangrove, Mangrove, Gunung Anyar, Konservasi, Wisata Edukasi, Nature, Outdoor, Boardwalk, Bird Watching, Spot Foto, Instagramable, Healing, Rekreasi, Family Friendly, Wisata Kota, Ruang Terbuka Hijau, Surabaya, Jawa Timur.</t>
  </si>
  <si>
    <t>-7.3307707, 112.8171343</t>
  </si>
  <si>
    <t>https://www.google.com/maps/place/Eco+Wisata+Mangrove+Gunung+Anyar/data=!4m7!3m6!1s0x2dd7f009d2865ff9:0x129ac3af639d83e5!8m2!3d-7.3307707!4d112.8171343!16s%2Fg%2F11c3vwkryn!19sChIJ-V-G0gnw1y0R5YOdY6_DmhI?authuser=0&amp;hl=zh-TW&amp;rclk=1</t>
  </si>
  <si>
    <t>Taman Bermain Bintang Diponggo</t>
  </si>
  <si>
    <t>Taman Bermain Bintang Diponggo merupakan ruang terbuka hijau di Surabaya yang menyediakan area bermain dan rekreasi bagi anak-anak serta keluarga. Dilengkapi dengan berbagai fasilitas permainan, area duduk, dan pepohonan yang rindang, taman ini menjadi tempat yang nyaman untuk bersantai, bermain, maupun berolahraga ringan. Suasana yang bersih dan ramah keluarga menjadikan taman ini sebagai salah satu pilihan ruang publik untuk menghabiskan waktu bersama.</t>
  </si>
  <si>
    <t>Taman, Taman Bermain, Playground, Taman Kota, Ruang Terbuka Hijau, Rekreasi, Anak-anak, Family Friendly, Outdoor, Santai, Healing, Jogging, Area Bermain, Wisata Gratis, Spot Foto, Ruang Publik, Wisata Kota, Surabaya.</t>
  </si>
  <si>
    <t>-7.2876348, 112.7199438</t>
  </si>
  <si>
    <t>https://www.google.com/maps/place/Taman+Bermain+Bintang+Diponggo/data=!4m7!3m6!1s0x2dd7fbf4b7611525:0xd9fd995a66848a3b!8m2!3d-7.2876348!4d112.7199438!16s%2Fg%2F11gb3ztn0z!19sChIJJRVht_T71y0RO4qEZlqZ_dk?authuser=0&amp;hl=zh-TW&amp;rclk=1</t>
  </si>
  <si>
    <t>Sego Sambel Mak Yeye</t>
  </si>
  <si>
    <t>Sego Sambel Mak Yeye merupakan salah satu kuliner legendaris di Surabaya yang terkenal dengan nasi sambal pedas dan lauk sederhana bercita rasa khas. Menu andalannya berupa nasi hangat yang disajikan bersama ikan pari goreng, telur, tempe, atau lauk lainnya, dilengkapi sambal khas yang pedas dan menggugah selera. Beroperasi pada malam hingga dini hari, tempat ini menjadi destinasi favorit bagi pecinta kuliner malam di Surabaya.</t>
  </si>
  <si>
    <t>Kuliner, Sego Sambel, Sambal Pedas, Ikan Pari, Nasi Sambal, Kuliner Legendaris, Makanan Indonesia, Makanan Jawa Timur, Kuliner Surabaya, Kuliner Lokal, Comfort Food, Makan Malam, Kuliner Malam, Late Night Food, Food Hunting, Casual Dining, Family Friendly, Favorit Warga, Wisata Kuliner, Surabaya.</t>
  </si>
  <si>
    <t>-7.3013703, 112.7380496</t>
  </si>
  <si>
    <t>https://www.google.com/maps/place/Sego+Sambel+Mak+Yeye/data=!4m7!3m6!1s0x2dd7fb98a0bb520d:0x1aabc304682113bc!8m2!3d-7.3013703!4d112.7380496!16s%2Fg%2F11bytv2579!19sChIJDVK7oJj71y0RvBMhaATDqxo?authuser=0&amp;hl=zh-TW&amp;rclk=1</t>
  </si>
  <si>
    <t>Nasi Pecel Bambu Runcing Bu Wuri</t>
  </si>
  <si>
    <t>Warung pecel legendaris yang berdiri sejak 1997 di dekat Monumen Bambu Runcing Surabaya. Terkenal dengan bumbu kacang khas dan 30+ pilihan lauk pauk yang lengkap. Nasi pecel polos hanya Rp10.000, bisa ditambah lauk mulai Rp2.000-an. Selalu ramai dan bisa habis sebelum jam tutup.</t>
  </si>
  <si>
    <t>Kuliner Legendaris, Nasi Pecel, Warung, Jawa Timur, Murah Meriah, Sarapan, Autentik, Halal, Bambu Runcing, Surabaya Pusat</t>
  </si>
  <si>
    <t>-7.267905062099126, 112.74506360674586</t>
  </si>
  <si>
    <t>-7,267905062099126</t>
  </si>
  <si>
    <t>112,74506360674586</t>
  </si>
  <si>
    <t>https://www.google.com/maps/place/Nasi+Pecel+Bambu+Runcing+Bu+Wuri/@-7.2681392,112.7450797,17z/data=!3m1!4b1!4m6!3m5!1s0x2dd7fbd8b57a8593:0xe21fd0ffaaae6d27!8m2!3d-7.2681392!4d112.7450797!16s%2Fg%2F11c5bkc4n8?entry=ttu&amp;g_ep=EgoyMDI2MDYyOS4wIKXMDSoASAFQAw%3D%3D</t>
  </si>
  <si>
    <t>Soto Daging Cak Toha</t>
  </si>
  <si>
    <t>Soto Daging Cak Toha merupakan salah satu tempat kuliner di Surabaya yang menyajikan soto daging sapi dengan kuah bening gurih yang kaya akan rempah. Potongan daging sapi yang empuk disajikan bersama soun, kentang, daun seledri, bawang goreng, serta pelengkap seperti sambal, jeruk nipis, dan kerupuk sehingga menghasilkan cita rasa yang hangat dan lezat. Dengan resep yang konsisten, porsi yang mengenyangkan, dan suasana makan yang nyaman, tempat ini menjadi favorit bagi pecinta soto khas Jawa Timur.</t>
  </si>
  <si>
    <t>Kuliner, Soto Daging, Soto, Daging Sapi, Kuah Gurih, Makanan Indonesia, Makanan Jawa Timur, Kuliner Surabaya, Kuliner Lokal, Comfort Food, Hidangan Hangat, Sarapan, Makan Siang, Makan Malam, Food Hunting, Casual Dining, Family Friendly, Wisata Kuliner, Surabaya.</t>
  </si>
  <si>
    <t>-7.2847504, 112.7601806</t>
  </si>
  <si>
    <t>https://www.google.com/maps/place/Soto+Daging+Cak+Toha/data=!4m7!3m6!1s0x2dd7fbcaf4f2a8d3:0xa770cb2e964e3ae9!8m2!3d-7.2847504!4d112.7601806!16s%2Fg%2F11c5sr03c7!19sChIJ06jy9Mr71y0R6TpOli7LcKc?authuser=0&amp;hl=zh-TW&amp;rclk=1</t>
  </si>
  <si>
    <t>AREK Coffee &amp; Eatery</t>
  </si>
  <si>
    <t>Cafe dan eatery yang berada di kawasan Ketandan Tunjungan dengan konsep heritage modern serta suasana khas Kota Lama Surabaya.</t>
  </si>
  <si>
    <t>Heritage Cafe, Tunjungan, Hidden Gem, Coffee Shop, Aesthetic, Instagramable, Kuliner, Hangout, Kota Lama</t>
  </si>
  <si>
    <t>-7.2577318, 112.7370745</t>
  </si>
  <si>
    <t>-7,2577318</t>
  </si>
  <si>
    <t>112,7370745</t>
  </si>
  <si>
    <t>https://www.google.com/maps/place/AREK+Coffee+%26+Eatery/@-7.2577318,112.7370745,17z/data=!3m1!4b1!4m6!3m5!1s0x2dd7f9feb5cc4c33:0xc9a47c349a4d2373!8m2!3d-7.2577318!4d112.7370745!16s%2Fg%2F11vc0ctmqh?entry=ttu&amp;g_ep=EgoyMDI2MDYyOS4wIKXMDSoASAFQAw%3D%3D</t>
  </si>
  <si>
    <t>Bebek Goreng Kampung Seng 45 - BKS.45</t>
  </si>
  <si>
    <t>Bebek Goreng Kampung Seng 45 atau BKS.45 merupakan salah satu tempat kuliner di Surabaya yang menyajikan bebek goreng dengan bumbu khas dan cita rasa autentik. Daging bebek yang empuk dengan kulit renyah disajikan bersama sambal pedas, lalapan segar, dan nasi hangat sehingga menghasilkan hidangan yang gurih dan menggugah selera. Dengan kualitas rasa yang konsisten dan suasana makan yang nyaman, tempat ini menjadi pilihan favorit bagi pecinta olahan bebek.</t>
  </si>
  <si>
    <t>Kuliner, Bebek Goreng, Bebek, Sambal Pedas, Lalapan, Makanan Jawa Timur, Makanan Indonesia, Kuliner Surabaya, Kuliner Lokal, Comfort Food, Makan Siang, Makan Malam, Casual Dining, Family Friendly, Food Hunting, Favorit Warga, Wisata Kuliner, Surabaya.</t>
  </si>
  <si>
    <t>-7.23764, 112.7487517</t>
  </si>
  <si>
    <t>https://www.google.com/maps/place/Bebek+Goreng+Kampung+Seng+45+-+BKS.45/data=!4m7!3m6!1s0x2dd7f9105d4d3d59:0x2f769b888a9c33d2!8m2!3d-7.23764!4d112.7487517!16s%2Fg%2F11csrrr1f4!19sChIJWT1NXRD51y0R0jOcioibdi8?authuser=0&amp;hl=zh-TW&amp;rclk=1</t>
  </si>
  <si>
    <t>Soto Ayam Surabaya Cak Kurnia</t>
  </si>
  <si>
    <t>Soto Ayam Surabaya Cak Kurnia merupakan tempat kuliner di Surabaya yang menyajikan soto ayam khas Surabaya dengan kuah gurih yang kaya rempah. Hidangan disajikan dengan suwiran ayam, soun, kol, telur, serta pelengkap seperti sambal, jeruk nipis, dan kerupuk yang menambah cita rasa. Dengan porsi yang mengenyangkan, resep yang konsisten, dan suasana makan yang nyaman, tempat ini menjadi pilihan favorit untuk menikmati hidangan hangat khas Jawa Timur.</t>
  </si>
  <si>
    <t>Kuliner, Soto Ayam, Soto Surabaya, Kuah Gurih, Makanan Indonesia, Makanan Jawa Timur, Kuliner Surabaya, Kuliner Lokal, Comfort Food, Hidangan Hangat, Sarapan, Makan Siang, Makan Malam, Food Hunting, Casual Dining, Family Friendly, Wisata Kuliner, Surabaya.</t>
  </si>
  <si>
    <t>-7.2661066, 112.7631424</t>
  </si>
  <si>
    <t>https://www.google.com/maps/place/Soto+Ayam+Surabaya+Cak+Kurnia/data=!4m7!3m6!1s0x2dd7fa2aab90e23f:0xa247bf90a3321515!8m2!3d-7.2661066!4d112.7631424!16s%2Fg%2F11b8zzg6df!19sChIJP-KQqyr61y0RFRUyo5C_R6I?authuser=0&amp;hl=zh-TW&amp;rclk=1</t>
  </si>
  <si>
    <t>Sate Asin Garuda</t>
  </si>
  <si>
    <t>Sate Asin Garuda merupakan salah satu kuliner legendaris di Surabaya yang terkenal dengan sate asin khasnya. Berbeda dari sate pada umumnya yang menggunakan bumbu kacang, sate ini mengandalkan bumbu gurih yang meresap ke dalam daging sehingga menghasilkan cita rasa yang khas. Disajikan bersama lontong, sambal, dan pelengkap lainnya, hidangan ini menjadi favorit bagi pecinta kuliner tradisional yang ingin menikmati cita rasa autentik khas Surabaya.</t>
  </si>
  <si>
    <t>Kuliner, Sate Asin, Sate Ayam, Lontong, Kuliner Legendaris, Makanan Indonesia, Kuliner Surabaya, Kuliner Lokal, Hidangan Tradisional, Comfort Food, Makan Siang, Makan Malam, Food Hunting, Casual Dining, Family Friendly, Favorit Warga, Street Food, Wisata Kuliner, Surabaya.</t>
  </si>
  <si>
    <t>-7.2808456, 112.7465747</t>
  </si>
  <si>
    <t>https://www.google.com/maps/place/Sate+Asin+Garuda/data=!4m7!3m6!1s0x2dd7fb9614cd41d7:0x2d133eb571e7b9b3!8m2!3d-7.2808456!4d112.7465747!16s%2Fg%2F11rxzkch18!19sChIJ10HNFJb71y0Rs7nncbU-Ey0?authuser=0&amp;hl=zh-TW&amp;rclk=1</t>
  </si>
  <si>
    <t>Taman Teluk Bayur</t>
  </si>
  <si>
    <t>Taman Teluk Bayur merupakan salah satu ruang terbuka hijau di Surabaya yang menjadi tempat rekreasi dan aktivitas masyarakat sekitar. Taman ini dilengkapi dengan pepohonan yang rindang, jalur pejalan kaki, area duduk, serta ruang terbuka yang nyaman untuk bersantai, berolahraga ringan, maupun berkumpul bersama keluarga. Dengan lingkungan yang bersih dan asri, Taman Teluk Bayur menjadi pilihan yang tepat untuk menikmati suasana hijau di tengah kawasan perkotaan.</t>
  </si>
  <si>
    <t>Taman, Taman Kota, Ruang Terbuka Hijau, RTH, Rekreasi, Healing, Santai, Jogging, Jalan Santai, Outdoor, Green Space, Pepohonan Rindang, Family Friendly, Couple Friendly, Area Bermain, Spot Foto, Wisata Gratis, Wisata Kota, Surabaya.</t>
  </si>
  <si>
    <t>-7.2149459, 112.7284977</t>
  </si>
  <si>
    <t>https://www.google.com/maps/place/Taman+Teluk+Bayur/data=!4m7!3m6!1s0x2dd7f8c575109619:0xe99dacc95d42ea81!8m2!3d-7.2149459!4d112.7284977!16s%2Fg%2F11g6bq5034!19sChIJGZYQdcX41y0RgepCXcmsnek?authuser=0&amp;hl=zh-TW&amp;rclk=1</t>
  </si>
  <si>
    <t>Bakso Solo Pak Min</t>
  </si>
  <si>
    <t>Bakso Solo Pak Min merupakan salah satu tempat kuliner di Surabaya yang menyajikan bakso khas Solo dengan cita rasa autentik. Bakso bertekstur kenyal disajikan dalam kuah kaldu sapi yang gurih, lengkap dengan mi, bihun, tahu, dan pelengkap lainnya sehingga menghasilkan hidangan hangat yang lezat dan mengenyangkan. Dengan kualitas rasa yang konsisten, harga yang terjangkau, dan suasana makan yang nyaman, Bakso Solo Pak Min menjadi favorit bagi pecinta bakso di Surabaya.</t>
  </si>
  <si>
    <t>Kuliner, Bakso, Bakso Solo, Bakso Daging Sapi, Kuah Kaldu, Mi, Bihun, Tahu, Comfort Food, Makanan Indonesia, Kuliner Surabaya, Kuliner Lokal, Hidangan Hangat, Makan Siang, Makan Malam, Food Hunting, Casual Dining, Family Friendly, Wisata Kuliner, Surabaya.</t>
  </si>
  <si>
    <t>-7.2600363, 112.6640576</t>
  </si>
  <si>
    <t>https://www.google.com/maps/place/Bakso+Solo+Pak+Min/data=!4m7!3m6!1s0x2dd7fe6323927233:0xeb14dff2a438d103!8m2!3d-7.2600363!4d112.6640576!16s%2Fg%2F11b76tx9_0!19sChIJM3KSI2P-1y0RA9E4pPLfFOs?authuser=0&amp;hl=zh-TW&amp;rclk=1</t>
  </si>
  <si>
    <t>PENYETAN BANG ALI KUPANG INDAH</t>
  </si>
  <si>
    <t>Penyetan Bang Ali Kupang Indah merupakan tempat kuliner di Surabaya yang menyajikan aneka hidangan penyetan khas Jawa Timur dengan sambal pedas sebagai menu andalannya. Berbagai pilihan lauk seperti ayam, bebek, lele, ikan, tahu, tempe, dan aneka gorengan disajikan bersama nasi hangat dan lalapan segar, menghasilkan perpaduan rasa gurih dan pedas yang menggugah selera. Dengan porsi yang mengenyangkan dan suasana makan yang nyaman, tempat ini menjadi pilihan favorit bagi pecinta kuliner lokal.</t>
  </si>
  <si>
    <t>-7.2772673, 112.7080909</t>
  </si>
  <si>
    <t>https://www.google.com/maps/place/PENYETAN+BANG+ALI+KUPANG+INDAH/data=!4m7!3m6!1s0x2dd7fc05786d8f55:0x8f36f6dc613a7e3d!8m2!3d-7.2772673!4d112.7080909!16s%2Fg%2F11clsp12bp!19sChIJVY9teAX81y0RPX46Ydz2No8?authuser=0&amp;hl=zh-TW&amp;rclk=1</t>
  </si>
  <si>
    <t>sate ayam h. bairi</t>
  </si>
  <si>
    <t>Sate Ayam H. Bairi merupakan salah satu destinasi kuliner di Surabaya yang terkenal dengan sate ayam berbumbu khas yang kaya cita rasa. Potongan daging ayam yang empuk dibakar hingga harum kemudian disajikan bersama bumbu kacang yang gurih, lontong, dan pelengkap lainnya. Dengan resep yang telah dipertahankan selama bertahun-tahun, kualitas rasa yang konsisten, dan suasana makan yang nyaman, tempat ini menjadi favorit bagi pecinta sate di Surabaya.</t>
  </si>
  <si>
    <t>Kuliner, Sate Ayam, Bumbu Kacang, Lontong, Makanan Indonesia, Kuliner Surabaya, Kuliner Lokal, Hidangan Tradisional, Comfort Food, Makan Siang, Makan Malam, Food Hunting, Casual Dining, Family Friendly, Street Food, Favorit Warga, Wisata Kuliner, Surabaya.</t>
  </si>
  <si>
    <t>-7.2812663, 112.7386752</t>
  </si>
  <si>
    <t>https://www.google.com/maps/place/sate+ayam+h.+bairi/data=!4m7!3m6!1s0x2dd7fb002c4a72a5:0x62529636adb834c8!8m2!3d-7.2812663!4d112.7386752!16s%2Fg%2F11lv81gjng!19sChIJpXJKLAD71y0RyDS4rTaWUmI?authuser=0&amp;hl=zh-TW&amp;rclk=1</t>
  </si>
  <si>
    <t>Soto Madura "Imam Bonjol"</t>
  </si>
  <si>
    <t>Soto Madura "Imam Bonjol" merupakan salah satu tempat kuliner di Surabaya yang menyajikan soto khas Madura dengan kuah gurih yang kaya rempah. Hidangan disajikan dengan pilihan daging sapi atau ayam, soun, kentang, telur, serta pelengkap seperti sambal dan jeruk nipis yang menambah kelezatan rasa. Dengan cita rasa autentik, porsi yang mengenyangkan, dan suasana makan yang nyaman, tempat ini menjadi pilihan favorit bagi penikmat soto khas Madura.</t>
  </si>
  <si>
    <t>-7.2768535, 112.7354619</t>
  </si>
  <si>
    <t>https://www.google.com/maps/place/Soto+Madura+%22Imam+Bonjol%22/data=!4m7!3m6!1s0x2dd7fbe91158086d:0x14a5c3bb03082dc8!8m2!3d-7.2768535!4d112.7354619!16s%2Fg%2F11bc7r78cj!19sChIJbQhYEen71y0RyC0IA7vDpRQ?authuser=0&amp;hl=zh-TW&amp;rclk=1</t>
  </si>
  <si>
    <t>Pulau Sentosa Seafood Market Surabaya</t>
  </si>
  <si>
    <t>Pulau Sentosa Seafood Market Surabaya merupakan restoran seafood yang menyajikan berbagai hidangan laut segar dengan konsep memilih bahan langsung sebelum diolah sesuai selera. Beragam pilihan kepiting, udang, lobster, ikan, cumi, dan kerang tersedia dengan berbagai pilihan bumbu seperti saus padang, lada hitam, mentega, dan saus tiram. Dengan area makan yang luas, suasana nyaman, dan hidangan berkualitas, restoran ini menjadi pilihan tepat untuk makan bersama keluarga, teman, maupun acara spesial.</t>
  </si>
  <si>
    <t>Seafood, Restaurant, Seafood Market, Kepiting, Udang, Lobster, Cumi, Kerang, Ikan, Saus Padang, Lada Hitam, Butter Sauce, Saus Tiram, Casual Dining, Family Friendly, Gathering, Makan Siang, Makan Malam, Kuliner Surabaya, Wisata Kuliner, Surabaya.</t>
  </si>
  <si>
    <t>50000-250000</t>
  </si>
  <si>
    <t>-7.2846868, 112.7385554</t>
  </si>
  <si>
    <t>https://www.google.com/maps/place/Pulau+Sentosa+Seafood+Market/data=!4m7!3m6!1s0x2dd7fb5d8c443b2f:0x9e8ed927b27455c8!8m2!3d-7.2846868!4d112.7385554!16s%2Fg%2F11tcgrdwjf!19sChIJLztEjF371y0RyFV0sifZjp4?authuser=0&amp;hl=zh-TW&amp;rclk=1</t>
  </si>
  <si>
    <t>Soto Ayam Hartono</t>
  </si>
  <si>
    <t>Soto Ayam Hartono merupakan salah satu tempat kuliner di Surabaya yang menyajikan soto ayam khas dengan kuah bening gurih yang kaya akan rempah. Hidangan disajikan dengan suwiran ayam, soun, kol, telur, dan taburan bawang goreng, serta dilengkapi sambal, jeruk nipis, dan kerupuk sebagai pelengkap. Dengan cita rasa yang autentik, porsi yang mengenyangkan, dan suasana makan yang nyaman, Soto Ayam Hartono menjadi pilihan favorit untuk menikmati hidangan hangat khas Indonesia.</t>
  </si>
  <si>
    <t>-7.2525296, 112.7440718</t>
  </si>
  <si>
    <t>https://www.google.com/maps/place/Soto+Ayam+Hartono/data=!4m7!3m6!1s0x2dd7f9692427352d:0x589fa49564f92880!8m2!3d-7.2525296!4d112.7440718!16s%2Fg%2F11b6c650dd!19sChIJLTUnJGn51y0RgCj5ZJWkn1g?authuser=0&amp;hl=zh-TW&amp;rclk=1</t>
  </si>
  <si>
    <t>Common Grounds - Graha Famili</t>
  </si>
  <si>
    <t>Common Grounds - Graha Famili merupakan salah satu coffee shop modern di Surabaya yang menghadirkan pengalaman menikmati specialty coffee dalam suasana elegan dan nyaman. Selain beragam pilihan espresso-based coffee dan manual brew, kafe ini juga menyajikan brunch, pastry, dessert, serta hidangan Western dan Asian yang cocok dinikmati sepanjang hari. Dengan desain interior yang modern, ambience yang hangat, serta fasilitas yang mendukung aktivitas bekerja maupun bersantai, Common Grounds menjadi destinasi favorit bagi pecinta kopi di Surabaya.</t>
  </si>
  <si>
    <t>Cafe, Coffee Shop, Specialty Coffee, Espresso, Manual Brew, Brunch, Pastry, Dessert, Western Food, Asian Food, Coffee Bar, Cozy, Modern, Aesthetic, Instagramable, Work Friendly, Study Friendly, WiFi, Hangout, Lifestyle, Kuliner Surabaya, Surabaya.</t>
  </si>
  <si>
    <t>-7.2914316, 112.6856682</t>
  </si>
  <si>
    <t>https://www.google.com/maps/place/Common+Grounds+-+Graha+Famili/data=!4m7!3m6!1s0x2dd7fdbaf4f73723:0xb98bf12db65bc119!8m2!3d-7.2914316!4d112.6856682!16s%2Fg%2F11q30p4qgc!19sChIJIzf39Lr91y0RGcFbti3xi7k?authuser=0&amp;hl=zh-TW&amp;rclk=1</t>
  </si>
  <si>
    <t>Taman Cahaya</t>
  </si>
  <si>
    <t>Taman Cahaya adalah taman kota yang terletak di Surabaya Barat, menawarkan ruang hijau yang asri dengan berbagai fasilitas publik lengkap. Taman ini menjadi pilihan favorit warga sekitar untuk berolahraga, bermain, dan bersantai bersama keluarga. Di malam hari, taman ini tampil lebih menawan dengan pencahayaan yang indah, menciptakan suasana yang romantis dan nyaman untuk dikunjungi semua kalangan.</t>
  </si>
  <si>
    <t>Taman Kota, Outdoor, Ruang Terbuka Hijau, Family Friendly, Kids Friendly, Jogging, Walking Track, Rekreasi, Healing, Santai, Night View, Lampu Hias, Aesthetic, Instagramable, Spot Foto, Community Space, City Park, Wisata Gratis, Area Bermain Anak, Urban Tourism, Surabaya Barat.</t>
  </si>
  <si>
    <t>-7.240776499435273, 112.6250084</t>
  </si>
  <si>
    <t>https://www.google.com/maps/place/Taman+Cahaya/@-7.2409734,112.6250084,17z/data=!3m1!4b1!4m6!3m5!1s0x2dd7fe28cc63c03f:0xe28aedf5db925d48!8m2!3d-7.2409734!4d112.6250084!16s%2Fg%2F11b6s_wfdf?entry=ttu&amp;g_ep=EgoyMDI2MDYyOS4wIKXMDSoASAFQAw%3D%3D</t>
  </si>
  <si>
    <t>JAVAROMA at Sentral Tunjungan</t>
  </si>
  <si>
    <t>JAVAROMA at Sentral Tunjungan adalah kafe premium yang berlokasi strategis di dalam pusat perbelanjaan Sentral Tunjungan, kawasan ikonik di jantung Kota Surabaya. Mengusung cita rasa kopi khas Java dengan sentuhan modern, JAVAROMA menghadirkan pengalaman ngopi premium yang elegan. Lokasi yang prestisius dan menu yang eksklusif menjadikannya pilihan tepat untuk pertemuan bisnis maupun momen spesial.</t>
  </si>
  <si>
    <t>Kafe, Coffee Shop, Premium, Specialty Coffee, Java Coffee, Nongkrong, Hangout, Aesthetic, Instagramable, Elegan, Indoor, Mall, Sentral Tunjungan, Couple Friendly, Business Meeting, Lifestyle, Tunjungan, Pusat Kota, Surabaya.</t>
  </si>
  <si>
    <t>-7.260689672741176, 112.74083752209022</t>
  </si>
  <si>
    <t>https://www.google.com/maps/place/JAVAROMA+at+Sentral+Tunjungan+Surabaya/@-7.2609451,112.7408107,17z/data=!3m1!4b1!4m6!3m5!1s0x2dd7f9cca5b6c2ad:0xce6324806a337674!8m2!3d-7.2609451!4d112.7408107!16s%2Fg%2F11x0wth42d?entry=ttu&amp;g_ep=EgoyMDI2MDYyOS4wIKXMDSoASAFQAw%3D%3D</t>
  </si>
  <si>
    <t>Depo Bebek</t>
  </si>
  <si>
    <t>Depo Bebek merupakan tempat kuliner di Surabaya yang menyajikan berbagai olahan bebek dengan cita rasa khas Jawa Timur. Menu andalan berupa bebek goreng yang empuk dengan kulit renyah disajikan bersama nasi hangat, sambal pedas, dan lalapan segar. Dengan bumbu yang meresap, porsi yang mengenyangkan, serta suasana makan yang nyaman, Depo Bebek menjadi salah satu pilihan favorit bagi pecinta kuliner bebek di Surabaya.</t>
  </si>
  <si>
    <t>-7.2668155, 112.6563306</t>
  </si>
  <si>
    <t>https://www.google.com/maps/place/Depo+Bebek/data=!4m7!3m6!1s0x2dd7fe7a2071ac0f:0xa651eee75ba6957c!8m2!3d-7.2668155!4d112.6563306!16s%2Fg%2F11btvgbk2k!19sChIJD6xxIHr-1y0RfJWmW-fuUaY?authuser=0&amp;hl=zh-TW&amp;rclk=1</t>
  </si>
  <si>
    <t>THE KOFFEE Surabaya</t>
  </si>
  <si>
    <t>THE KOFFEE Surabaya merupakan coffee shop modern yang menawarkan pengalaman menikmati specialty coffee dalam suasana nyaman dan estetik. Kafe ini menyajikan berbagai pilihan espresso-based coffee, manual brew, minuman non-kopi, dessert, serta makanan ringan yang cocok untuk menemani aktivitas bekerja, belajar, maupun bersantai. Dengan desain interior yang minimalis, ambience yang hangat, dan fasilitas yang mendukung produktivitas, THE KOFFEE Surabaya menjadi salah satu destinasi favorit bagi pecinta kopi di Surabaya.</t>
  </si>
  <si>
    <t>Cafe, Coffee Shop, Specialty Coffee, Espresso, Manual Brew, Kopi, Non-Coffee, Dessert, Coffee Bar, Brunch, Cozy, Modern, Minimalist, Aesthetic, Instagramable, Work Friendly, Study Friendly, WiFi, Hangout, Lifestyle, Kuliner Surabaya, Surabaya.</t>
  </si>
  <si>
    <t>-7.2569375, 112.7365341</t>
  </si>
  <si>
    <t>https://www.google.com/maps/place/THE+KOFFEE+Surabaya/data=!4m7!3m6!1s0x2dd7f9015a4b2f35:0x10237f083be2688d!8m2!3d-7.2569375!4d112.7365341!16s%2Fg%2F11n0rvjcpk!19sChIJNS9LWgH51y0RjWjiOwh_IxA?authuser=0&amp;hl=zh-TW&amp;rclk=1</t>
  </si>
  <si>
    <t>Sentra Wisata Kuliner Klampis Ngasem</t>
  </si>
  <si>
    <t>Sentra Wisata Kuliner Klampis Ngasem merupakan pusat kuliner di Surabaya yang menghadirkan beragam pilihan makanan dan minuman dari pelaku UMKM lokal. Pengunjung dapat menikmati aneka hidangan khas Jawa Timur, masakan Nusantara, jajanan tradisional, hingga minuman segar dalam satu kawasan yang nyaman. Dengan pilihan menu yang beragam, harga yang terjangkau, serta suasana yang cocok untuk makan bersama keluarga maupun teman, sentra kuliner ini menjadi salah satu destinasi wisata kuliner favorit di Surabaya.</t>
  </si>
  <si>
    <t>Sentra Wisata Kuliner, Kuliner, Pusat Kuliner, UMKM, Makanan Indonesia, Makanan Jawa Timur, Jajanan Tradisional, Street Food, Food Court, Kuliner Surabaya, Wisata Kuliner, Food Hunting, Makan Siang, Makan Malam, Family Friendly, Hangout, Kuliner Lokal, Harga Terjangkau, Surabaya.</t>
  </si>
  <si>
    <t>-7.2870201, 112.7805159</t>
  </si>
  <si>
    <t>https://www.google.com/maps/place/SWK+Klampis+Ngasem/data=!4m7!3m6!1s0x2dd7fa472d362b93:0x5fe0b4429f152ee9!8m2!3d-7.2870201!4d112.7805159!16s%2Fg%2F11f1jxmpn9!19sChIJkys2LUf61y0R6S4Vn0K04F8?authuser=0&amp;hl=zh-TW&amp;rclk=1</t>
  </si>
  <si>
    <t>Bakso Super Do'a Ibu</t>
  </si>
  <si>
    <t>Bakso Super Do'a Ibu merupakan salah satu tempat kuliner di Surabaya yang menyajikan bakso daging sapi dengan ukuran besar, tekstur kenyal, dan kuah kaldu yang gurih. Setiap porsi dilengkapi dengan mi, bihun, tahu, serta pelengkap lainnya sehingga menghasilkan hidangan hangat yang lezat dan mengenyangkan. Dengan cita rasa yang konsisten, harga yang bersahabat, dan suasana makan yang nyaman, tempat ini menjadi pilihan favorit bagi pecinta bakso di Surabaya.</t>
  </si>
  <si>
    <t>Kuliner, Bakso, Bakso Super, Bakso Daging Sapi, Kuah Kaldu, Mi, Bihun, Tahu, Comfort Food, Makanan Indonesia, Kuliner Surabaya, Kuliner Lokal, Hidangan Hangat, Makan Siang, Makan Malam, Food Hunting, Casual Dining, Family Friendly, Wisata Kuliner, Surabaya.</t>
  </si>
  <si>
    <t>-7.3009369, 112.7358409</t>
  </si>
  <si>
    <t>https://www.google.com/maps/place/Bakso+Super+Do%27a+Ibu/data=!4m7!3m6!1s0x2dd7fb991e826fcf:0x7a51528ea48e3672!8m2!3d-7.3009369!4d112.7358409!16s%2Fg%2F11cmc9pf8p!19sChIJz2-CHpn71y0RcjaOpI5SUXo?authuser=0&amp;hl=zh-TW&amp;rclk=1</t>
  </si>
  <si>
    <t>Hurricane's Grill Surabaya</t>
  </si>
  <si>
    <t>Hurricane's Grill Surabaya merupakan restoran bergaya Australia yang menyajikan berbagai hidangan Western premium, seperti steak, beef ribs, burger, seafood, dan aneka menu panggang lainnya. Menggunakan bahan berkualitas dengan pilihan saus khas, restoran ini menawarkan pengalaman bersantap yang lezat dalam suasana modern dan nyaman. Cocok untuk makan bersama keluarga, teman, maupun merayakan momen spesial, Hurricane's Grill menjadi salah satu destinasi kuliner internasional favorit di Surabaya.</t>
  </si>
  <si>
    <t>Restaurant, Steak House, Australian Cuisine, Beef Ribs, Steak, Burger, Seafood, Western Food, Grilled Food, Premium Dining, Casual Dining, Family Friendly, Couple Friendly, Celebration, Business Meeting, Lunch, Dinner, Kuliner Surabaya, Wisata Kuliner, Surabaya.</t>
  </si>
  <si>
    <t>-7.2850537, 112.7376747</t>
  </si>
  <si>
    <t>https://www.google.com/maps/place/Hurricane%27s+Grill+Surabaya/data=!4m7!3m6!1s0x2dd7fb5158aac773:0x5d86638bd24508ee!8m2!3d-7.2850537!4d112.7376747!16s%2Fg%2F11l5bmwd5s!19sChIJc8eqWFH71y0R7ghF0otjhl0?authuser=0&amp;hl=zh-TW&amp;rclk=1</t>
  </si>
  <si>
    <t>Soto Ayam Cak Di</t>
  </si>
  <si>
    <t>Soto Ayam Cak Di merupakan tempat kuliner di Surabaya yang menyajikan soto ayam khas Jawa Timur dengan kuah gurih yang kaya rempah. Hidangan disajikan dengan suwiran ayam, soun, kol, telur, dan taburan bawang goreng, serta dilengkapi sambal, jeruk nipis, dan kerupuk sebagai pelengkap. Dengan cita rasa autentik, porsi yang mengenyangkan, dan suasana makan yang sederhana namun nyaman, Soto Ayam Cak Di menjadi pilihan favorit bagi pecinta kuliner tradisional.</t>
  </si>
  <si>
    <t>Kuliner, Soto Ayam, Soto, Kuah Gurih, Makanan Indonesia, Makanan Jawa Timur, Kuliner Surabaya, Kuliner Lokal, Comfort Food, Hidangan Hangat, Sarapan, Makan Siang, Makan Malam, Food Hunting, Casual Dining, Family Friendly, Wisata Kuliner, Surabaya.</t>
  </si>
  <si>
    <t>-7.2831142, 112.7375446</t>
  </si>
  <si>
    <t>https://www.google.com/maps/place/Soto+Ayam+Cak+Di/data=!4m7!3m6!1s0x2dd7fbe989c15a31:0x6f373f52b4b9da0e!8m2!3d-7.2831142!4d112.7375446!16s%2Fg%2F1pzr7x_3t!19sChIJMVrBien71y0RDtq5tFI_N28?authuser=0&amp;hl=zh-TW&amp;rclk=1</t>
  </si>
  <si>
    <t>Sate Pak Mat Jami'i</t>
  </si>
  <si>
    <t>Sate Pak Mat Jami'i merupakan salah satu tempat kuliner di Surabaya yang terkenal dengan sajian sate ayam berbumbu khas yang kaya cita rasa. Potongan daging ayam dibakar hingga matang sempurna, kemudian disajikan bersama bumbu kacang yang gurih, lontong, dan pelengkap lainnya. Dengan resep yang telah dipertahankan selama bertahun-tahun, rasa yang konsisten, dan suasana makan yang nyaman, tempat ini menjadi favorit bagi pecinta sate di Surabaya.</t>
  </si>
  <si>
    <t>-7.2750425, 112.7622081</t>
  </si>
  <si>
    <t>https://www.google.com/maps/place/Sate+Pak+Mat+Jami%27i/data=!4m7!3m6!1s0x2dd7fb2584cf7ad5:0x667b5fd9a408567e!8m2!3d-7.2750425!4d112.7622081!16s%2Fg%2F11f624k8v8!19sChIJ1XrPhCX71y0RflYIpNlfe2Y?authuser=0&amp;hl=zh-TW&amp;rclk=1</t>
  </si>
  <si>
    <t>D'Jawa Cafe &amp; Resto</t>
  </si>
  <si>
    <t>D'Jawa Cafe &amp; Resto merupakan kafe dan restoran di Surabaya yang menggabungkan konsep modern dengan cita rasa khas Nusantara. Menawarkan berbagai pilihan masakan Indonesia, hidangan fusion, specialty coffee, minuman segar, serta dessert, tempat ini cocok untuk makan bersama keluarga, berkumpul dengan teman, maupun bekerja. Dengan suasana yang nyaman, interior yang estetik, dan pelayanan yang ramah, D'Jawa Cafe &amp; Resto menjadi salah satu destinasi kuliner favorit di Surabaya.</t>
  </si>
  <si>
    <t>Cafe, Restaurant, Coffee Shop, Indonesian Food, Nusantara Cuisine, Fusion Food, Specialty Coffee, Dessert, Casual Dining, Family Friendly, Hangout, Cozy, Modern, Aesthetic, Instagramable, Work Friendly, Study Friendly, WiFi, Kuliner Surabaya, Wisata Kuliner, Surabaya.</t>
  </si>
  <si>
    <t>-7.2733607, 112.7491388</t>
  </si>
  <si>
    <t>https://www.google.com/maps/place/D%27Jawa+Cafe+%26+Resto/data=!4m7!3m6!1s0x2dd7fbda43e1a45d:0xd268e2b815c31ba7!8m2!3d-7.2733607!4d112.7491388!16s%2Fg%2F11f1h44n3y!19sChIJXaThQ9r71y0RpxvDFbjiaNI?authuser=0&amp;hl=zh-TW&amp;rclk=1</t>
  </si>
  <si>
    <t>Omah Seafood - Merr</t>
  </si>
  <si>
    <t>Omah Seafood - Merr merupakan restoran seafood di Surabaya yang menyajikan beragam hidangan laut segar dengan cita rasa khas Nusantara. Menu yang ditawarkan meliputi kepiting, udang, cumi, kerang, dan ikan yang diolah dengan berbagai pilihan bumbu seperti saus padang, lada hitam, mentega, hingga saus tiram. Dengan suasana makan yang nyaman, area yang luas, dan menu yang cocok dinikmati bersama keluarga maupun teman, Omah Seafood menjadi salah satu destinasi favorit bagi pecinta hidangan laut di Surabaya.</t>
  </si>
  <si>
    <t>-7.3254837, 112.7812799</t>
  </si>
  <si>
    <t>https://www.google.com/maps/place/Omah+Seafood+-+Merr/data=!4m7!3m6!1s0x2dd7fb936c91f569:0x73abbec9911e4f37!8m2!3d-7.3254837!4d112.7812799!16s%2Fg%2F11rtf15gb0!19sChIJafWRbJP71y0RN08ekcm-q3M?authuser=0&amp;hl=zh-TW&amp;rclk=1</t>
  </si>
  <si>
    <t>Gatherinc</t>
  </si>
  <si>
    <t>Gatherinc merupakan kafe modern di Surabaya yang mengusung konsep nyaman dan estetik sebagai tempat berkumpul, bekerja, maupun bersantai. Kafe ini menyajikan berbagai pilihan specialty coffee, minuman non-kopi, dessert, pastry, serta hidangan ringan dan menu utama yang cocok dinikmati sepanjang hari. Dengan interior bergaya minimalis modern, suasana yang hangat, dan fasilitas seperti WiFi, Gatherinc menjadi salah satu destinasi favorit bagi pelajar, pekerja, maupun komunitas di Surabaya.</t>
  </si>
  <si>
    <t>Cafe, Coffee Shop, Specialty Coffee, Coffee Bar, Espresso, Manual Brew, Kopi, Non-Coffee, Dessert, Pastry, Brunch, Cozy, Modern, Minimalist, Aesthetic, Instagramable, Work Friendly, Study Friendly, WiFi, Hangout, Lifestyle, Kuliner Surabaya, Surabaya.</t>
  </si>
  <si>
    <t>-7.2781638, 112.6454116</t>
  </si>
  <si>
    <t>https://www.google.com/maps/place/Gatherinc+Bistro+and+Bakery/data=!4m7!3m6!1s0x2dd7fdde2294f1d7:0xffd1d27532e74b26!8m2!3d-7.2781638!4d112.6454116!16s%2Fg%2F11c52d6cl4!19sChIJ1_GUIt791y0RJkvnMnXS0f8?authuser=0&amp;hl=zh-TW&amp;rclk=1</t>
  </si>
  <si>
    <t>Jukuta Seafood</t>
  </si>
  <si>
    <t>Jukuta Seafood merupakan restoran seafood di Surabaya yang menawarkan berbagai pilihan hidangan laut segar dengan cita rasa khas Indonesia. Beragam menu seperti kepiting, udang, cumi, kerang, dan ikan diolah menggunakan pilihan bumbu favorit seperti saus padang, saus tiram, lada hitam, maupun mentega. Dengan bahan yang segar, porsi yang cocok untuk dinikmati bersama, dan suasana makan yang nyaman, Jukuta Seafood menjadi pilihan tepat bagi pecinta seafood di Surabaya.</t>
  </si>
  <si>
    <t>Seafood, Restaurant, Makanan Laut, Kepiting, Udang, Cumi, Kerang, Ikan, Saus Padang, Lada Hitam, Mentega, Saus Tiram, Casual Dining, Family Friendly, Gathering, Makan Siang, Makan Malam, Kuliner Surabaya, Wisata Kuliner, Surabaya.</t>
  </si>
  <si>
    <t>75000-200000</t>
  </si>
  <si>
    <t>-7.299577, 112.706895</t>
  </si>
  <si>
    <t>https://www.google.com/maps/place/Jukuta+Seafood/data=!4m7!3m6!1s0x2dd7fc7a7ab981bf:0xeb60ce8289eba8fb!8m2!3d-7.299577!4d112.706895!16s%2Fg%2F1tnmc1d_!19sChIJv4G5enr81y0R-6jriYLOYOs?authuser=0&amp;hl=zh-TW&amp;rclk=1</t>
  </si>
  <si>
    <t>Sate dan Gulai Kambing Pucan</t>
  </si>
  <si>
    <t>Sate dan Gulai Kambing Pucan merupakan salah satu kuliner legendaris di Surabaya yang terkenal dengan sajian sate kambing dan gulai kambing bercita rasa autentik. Daging kambing yang empuk dibakar dengan sempurna dan disajikan bersama bumbu kecap atau bumbu kacang, sementara gulainya memiliki kuah rempah yang kaya rasa. Dengan resep yang telah dipertahankan selama bertahun-tahun, tempat ini menjadi favorit bagi pecinta olahan kambing di Surabaya.</t>
  </si>
  <si>
    <t>Kuliner, Sate Kambing, Gulai Kambing, Kambing, Bumbu Kecap, Bumbu Kacang, Kuah Rempah, Makanan Indonesia, Kuliner Legendaris, Kuliner Surabaya, Kuliner Lokal, Comfort Food, Makan Siang, Makan Malam, Food Hunting, Casual Dining, Family Friendly, Wisata Kuliner, Surabaya.</t>
  </si>
  <si>
    <t>-7.2837264, 112.7559216</t>
  </si>
  <si>
    <t>https://www.google.com/maps/place/Sate+dan+Gulai+Kambing+Pucan/data=!4m7!3m6!1s0x2dd7fbc976595f7d:0xaf755bce95df4e6f!8m2!3d-7.2837264!4d112.7559216!16s%2Fg%2F11cjj0q3w7!19sChIJfV9Zdsn71y0Rb07flc5bda8?authuser=0&amp;hl=zh-TW&amp;rclk=1</t>
  </si>
  <si>
    <t>Soto Daging Cak Mat Ploso Baru</t>
  </si>
  <si>
    <t>Soto Daging Cak Mat Ploso Baru merupakan tempat kuliner di Surabaya yang menyajikan soto daging sapi dengan kuah gurih yang kaya rempah. Potongan daging sapi yang empuk dipadukan dengan soun, kentang, seledri, bawang goreng, dan pelengkap seperti sambal, jeruk nipis, serta kerupuk sehingga menghasilkan hidangan hangat yang lezat dan mengenyangkan. Dengan cita rasa yang konsisten dan suasana makan yang nyaman, tempat ini menjadi salah satu favorit bagi penikmat soto daging di Surabaya.</t>
  </si>
  <si>
    <t>-7.2585129, 112.7731858</t>
  </si>
  <si>
    <t>https://www.google.com/maps/place/Soto+Daging+Cak+Mat+Ploso+Baru/data=!4m7!3m6!1s0x2dd7f985bd779347:0x39eb939363f50f43!8m2!3d-7.2585129!4d112.7731858!16s%2Fg%2F1hm4kf9b6!19sChIJR5N3vYX51y0RQw_1Y5OT6zk?authuser=0&amp;hl=zh-TW&amp;rclk=1</t>
  </si>
  <si>
    <t>Taman Tanjung Sadari</t>
  </si>
  <si>
    <t>Taman Tanjung Sadari merupakan ruang terbuka hijau di Surabaya yang menjadi tempat rekreasi dan aktivitas masyarakat sekitar. Taman ini menawarkan suasana yang asri dengan pepohonan rindang, jalur pejalan kaki, area duduk, dan ruang terbuka yang nyaman untuk bersantai, berolahraga ringan, maupun berkumpul bersama keluarga. Dengan lingkungan yang bersih dan nyaman, taman ini menjadi salah satu pilihan destinasi rekreasi gratis di Surabaya.</t>
  </si>
  <si>
    <t>Taman, Taman Kota, Ruang Terbuka Hijau, RTH, Rekreasi, Healing, Santai, Jogging, Jalan Santai, Outdoor, Green Space, Pepohonan Rindang, Family Friendly, Area Bermain, Spot Foto, Wisata Gratis, Wisata Kota, Surabaya.</t>
  </si>
  <si>
    <t>-7.2285243, 112.7221888</t>
  </si>
  <si>
    <t>https://www.google.com/maps/place/Taman+Tanjung+Sadari/data=!4m7!3m6!1s0x2dd7f929eee02333:0xa22b3b2ba476adc2!8m2!3d-7.2285243!4d112.7221888!16s%2Fg%2F11c6rtr54v!19sChIJMyPg7in51y0Rwq12pCs7K6I?authuser=0&amp;hl=zh-TW&amp;rclk=1</t>
  </si>
  <si>
    <t>Bakso &amp; Mie Ayam Solo Pak Jo</t>
  </si>
  <si>
    <t>Bakso &amp; Mie Ayam Solo Pak Jo merupakan tempat kuliner di Surabaya yang menyajikan bakso dan mie ayam khas Solo dengan cita rasa autentik. Bakso daging sapi yang kenyal dipadukan dengan kuah kaldu gurih, sedangkan mie ayam disajikan dengan topping ayam berbumbu yang lezat serta pelengkap seperti pangsit, bakso, dan sawi. Dengan porsi yang mengenyangkan, harga yang terjangkau, dan suasana makan yang nyaman, tempat ini menjadi pilihan favorit bagi pecinta bakso dan mie ayam di Surabaya.</t>
  </si>
  <si>
    <t>Kuliner, Bakso, Mie Ayam, Bakso Solo, Mie Ayam Solo, Bakso Daging Sapi, Kuah Kaldu, Pangsit, Comfort Food, Makanan Indonesia, Kuliner Surabaya, Kuliner Lokal, Makan Siang, Makan Malam, Food Hunting, Casual Dining, Family Friendly, Harga Terjangkau, Wisata Kuliner, Surabaya.</t>
  </si>
  <si>
    <t>-7.31227, 112.7122539</t>
  </si>
  <si>
    <t>https://www.google.com/maps/place/Bakso+%26+Mie+Ayam+Solo+Pak+Jo/data=!4m7!3m6!1s0x2dd7fc8044aa5b25:0x3895ea1a1c3e8fe9!8m2!3d-7.31227!4d112.7122539!16s%2Fg%2F11c47_00wc!19sChIJJVuqRID81y0R6Y8-HBrqlTg?authuser=0&amp;hl=zh-TW&amp;rclk=1</t>
  </si>
  <si>
    <t>Taman Lansia</t>
  </si>
  <si>
    <t>Taman khusus yang ramah bagi warga lanjut usia, dilengkapi fasilitas olahraga ringan, jalur refleksi, dan area duduk yang nyaman di lingkungan yang hijau dan sejuk.</t>
  </si>
  <si>
    <t>Taman Kota, Park, Outdoor, Ruang Terbuka Hijau, Lansia, Family Friendly, Olahraga, Santai, Wisata Gratis, Surabaya Pusat</t>
  </si>
  <si>
    <t>-7.263863142114996, 112.75055148433236</t>
  </si>
  <si>
    <t>-7,263863142114996</t>
  </si>
  <si>
    <t>112,75055148433236</t>
  </si>
  <si>
    <t>https://www.google.com/maps/place/Taman+Lanjut+Usia/@-7.2609451,112.7408107,15z/data=!4m10!1m2!2m1!1sTaman+Lansia!3m6!1s0x2dd7fbd9f676d85f:0x94fc8c5663157ed7!8m2!3d-7.271015!4d112.7500365!15sCgxUYW1hbiBMYW5zaWFaDiIMdGFtYW4gbGFuc2lhkgEEcGFya5oBJENoZERTVWhOTUc5blMwVkpRMEZuU1VScU0xQmZNbmQzUlJBQuABAPoBBAgAEDo!16s%2Fg%2F11bxf4987r?entry=ttu&amp;g_ep=EgoyMDI2MDYyOS4wIKXMDSoASAFQAw%3D%3D</t>
  </si>
  <si>
    <t>Taman Paliatif</t>
  </si>
  <si>
    <t>Taman Paliatif merupakan ruang terbuka hijau di Surabaya yang menghadirkan suasana tenang dan asri sebagai tempat rekreasi, relaksasi, serta aktivitas masyarakat. Dilengkapi dengan jalur pedestrian, area duduk, taman hijau, dan pepohonan rindang, taman ini cocok digunakan untuk berjalan santai, berolahraga ringan, maupun menghabiskan waktu bersama keluarga. Suasana yang nyaman menjadikan Taman Paliatif sebagai salah satu ruang publik favorit di Surabaya.</t>
  </si>
  <si>
    <t>Taman, Taman Kota, Ruang Terbuka Hijau, RTH, Rekreasi, Healing, Santai, Jalan Santai, Jogging, Outdoor, Green Space, Pepohonan Rindang, Family Friendly, Area Duduk, Wisata Gratis, Ruang Publik, Wisata Kota, Surabaya.</t>
  </si>
  <si>
    <t>-7.255478, 112.7535054</t>
  </si>
  <si>
    <t>https://www.google.com/maps/place/Taman+Paliatif/data=!4m7!3m6!1s0x2dd7f9706463fa91:0xee85832b33ee4e5d!8m2!3d-7.255478!4d112.7535054!16s%2Fg%2F11b6f1sghg!19sChIJkfpjZHD51y0RXU7uMyuDhe4?authuser=0&amp;hl=zh-TW&amp;rclk=1</t>
  </si>
  <si>
    <t>Mie Ayam Jakarta Siola</t>
  </si>
  <si>
    <t>Mie Ayam Jakarta Siola merupakan salah satu tempat kuliner di Surabaya yang menyajikan mie ayam khas Jakarta dengan tekstur mi yang kenyal dan topping ayam berbumbu gurih. Hidangan disajikan bersama kuah kaldu, pangsit, bakso, sawi, serta pelengkap lainnya sehingga menghasilkan sajian yang lezat dan mengenyangkan. Dengan cita rasa yang konsisten, harga yang terjangkau, dan lokasi yang strategis, tempat ini menjadi favorit bagi pecinta mie ayam di Surabaya.</t>
  </si>
  <si>
    <t>Kuliner, Mie Ayam, Mie Ayam Jakarta, Pangsit, Bakso, Mi Kenyal, Kuah Kaldu, Comfort Food, Makanan Indonesia, Kuliner Surabaya, Kuliner Lokal, Makan Siang, Makan Malam, Food Hunting, Casual Dining, Family Friendly, Harga Terjangkau, Wisata Kuliner, Surabaya.</t>
  </si>
  <si>
    <t>-7.2569464, 112.7383488</t>
  </si>
  <si>
    <t>https://www.google.com/maps/place/Chicken+Noodle+Jakarta+SIOLA/data=!4m7!3m6!1s0x2dd7f942a4b62aa1:0x1100286e5bade0ac!8m2!3d-7.2569464!4d112.7383488!16s%2Fg%2F11bzpnvyx1!19sChIJoSq2pEL51y0RrOCtW24oABE?authuser=0&amp;hl=zh-TW&amp;rclk=1</t>
  </si>
  <si>
    <t>Lontong Balap Asli Pak Gendut (Tidak Buka Cabang)</t>
  </si>
  <si>
    <t>Lontong Balap Asli Pak Gendut merupakan salah satu kuliner legendaris di Surabaya yang terkenal dengan sajian lontong balap khas Surabaya yang autentik. Hidangan terdiri dari lontong, tauge, lentho, tahu goreng, dan kuah gurih yang disajikan bersama sambal serta pelengkap seperti sate kerang. Dengan resep yang telah dipertahankan selama bertahun-tahun dan cita rasa khas yang konsisten, tempat ini menjadi destinasi wajib bagi pecinta kuliner tradisional Surabaya. Sesuai namanya, tempat ini tidak memiliki cabang.</t>
  </si>
  <si>
    <t>Kuliner, Lontong Balap, Lontong Balap Asli, Pak Gendut, Sate Kerang, Lentho, Tauge, Makanan Khas Surabaya, Kuliner Legendaris, Makanan Jawa Timur, Makanan Indonesia, Kuliner Surabaya, Kuliner Lokal, Comfort Food, Sarapan, Makan Siang, Food Hunting, Wisata Kuliner, Surabaya.</t>
  </si>
  <si>
    <t>-7.2598405, 112.7368492</t>
  </si>
  <si>
    <t>https://www.google.com/maps/place/Lontong+Balap+Asli+Pak+Gendut+%28Tidak+Buka+Cabang%29/data=!4m7!3m6!1s0x2dd7f95d917c4fdf:0x49db77b7799abc54!8m2!3d-7.2598405!4d112.7368492!16s%2Fg%2F11c3yv_b3t!19sChIJ3098kV351y0RVLyaebd320k?authuser=0&amp;hl=zh-TW&amp;rclk=1</t>
  </si>
  <si>
    <t>Grandfather Coffeeshop</t>
  </si>
  <si>
    <t>Grandfather Coffeeshop merupakan coffee shop modern di Surabaya yang menawarkan suasana hangat dan nyaman untuk bekerja, belajar, maupun bersantai. Kafe ini menyajikan berbagai pilihan specialty coffee, espresso-based coffee, manual brew, minuman non-kopi, dessert, serta makanan ringan yang cocok dinikmati sepanjang hari. Dengan desain interior yang estetik dan ambience yang tenang, Grandfather Coffeeshop menjadi salah satu destinasi favorit bagi pecinta kopi di Surabaya.</t>
  </si>
  <si>
    <t>Cafe, Coffee Shop, Specialty Coffee, Coffee Bar, Espresso, Manual Brew, Kopi, Non-Coffee, Dessert, Brunch, Cozy, Modern, Aesthetic, Instagramable, Work Friendly, Study Friendly, WiFi, Hangout, Lifestyle, Kuliner Surabaya, Surabaya.</t>
  </si>
  <si>
    <t>-7.2579476, 112.7573536</t>
  </si>
  <si>
    <t>https://www.google.com/maps/place/Grandfather+Coffeeshop/data=!4m7!3m6!1s0x2dd7f9798f58c959:0x7b3d395d91372f73!8m2!3d-7.2579476!4d112.7573536!16s%2Fg%2F11ckrhlylv!19sChIJWclYj3n51y0Rcy83kV05PXs?authuser=0&amp;hl=zh-TW&amp;rclk=1</t>
  </si>
  <si>
    <t>BOBER cafe &amp; ruang komunitas</t>
  </si>
  <si>
    <t>BOBER Cafe &amp; Ruang Komunitas merupakan kafe di Surabaya yang mengusung konsep ruang berkumpul bagi komunitas, pelajar, dan pekerja kreatif. Menawarkan berbagai pilihan kopi, minuman non-kopi, makanan ringan, hingga hidangan utama, tempat ini menghadirkan suasana yang nyaman untuk berdiskusi, mengadakan acara, bekerja, maupun bersantai bersama teman. Dengan fasilitas yang mendukung dan ambience yang hangat, BOBER Cafe menjadi salah satu pilihan favorit untuk aktivitas komunitas di Surabaya.</t>
  </si>
  <si>
    <t>Cafe, Coffee Shop, Ruang Komunitas, Community Space, Specialty Coffee, Kopi, Non-Coffee, Dessert, Brunch, Work Friendly, Study Friendly, WiFi, Meeting, Hangout, Cozy, Modern, Aesthetic, Instagramable, Lifestyle, Kuliner Surabaya, Surabaya.</t>
  </si>
  <si>
    <t>-7.3236547, 112.741669</t>
  </si>
  <si>
    <t>https://www.google.com/maps/place/BOBER+cafe+%26+ruang+komunitas/data=!4m7!3m6!1s0x2dd7fb148d0d5523:0x58e784062584bac5!8m2!3d-7.3236547!4d112.741669!16s%2Fg%2F11gh3bmk8p!19sChIJI1UNjRT71y0RxbqEJQaE51g?authuser=0&amp;hl=zh-TW&amp;rclk=1</t>
  </si>
  <si>
    <t>Bakwan Prasmanan Trunojoyo</t>
  </si>
  <si>
    <t>Bakwan Prasmanan Trunojoyo merupakan salah satu tempat kuliner legendaris di Surabaya yang terkenal dengan sajian bakwan khas Malang menggunakan konsep prasmanan. Pengunjung dapat memilih sendiri berbagai isian seperti bakso, bakwan, tahu, siomay, pangsit, gorengan, dan mi yang kemudian disajikan dalam kuah kaldu gurih. Dengan pilihan menu yang beragam, cita rasa yang konsisten, dan suasana makan yang nyaman, tempat ini menjadi favorit bagi pecinta bakso dan bakwan di Surabaya.</t>
  </si>
  <si>
    <t>Kuliner, Bakwan, Bakwan Malang, Bakso, Prasmanan, Siomay, Pangsit, Tahu, Mi, Kuah Kaldu, Comfort Food, Kuliner Legendaris, Makanan Indonesia, Kuliner Surabaya, Kuliner Lokal, Makan Siang, Makan Malam, Food Hunting, Wisata Kuliner, Surabaya.</t>
  </si>
  <si>
    <t>-7.2658331, 112.7273346</t>
  </si>
  <si>
    <t>https://www.google.com/maps/place/Bakwan+Prasmanan+Trunojoyo/data=!4m7!3m6!1s0x2dd7f958294d72f3:0xb6f0be23dbf48dc0!8m2!3d-7.2658331!4d112.7273346!16s%2Fg%2F11g8g1cw8d!19sChIJ83JNKVj51y0RwI302yO-8LY?authuser=0&amp;hl=zh-TW&amp;rclk=1</t>
  </si>
  <si>
    <t>Bebek Carok - Surabaya</t>
  </si>
  <si>
    <t>Restoran spesialis bebek dengan berbagai pilihan olahan bebek goreng dan bakar yang dipadukan dengan sambal khas Madura. Dikenal dengan jam operasional hingga dini hari.</t>
  </si>
  <si>
    <t>Bebek Goreng, Bebek Madura, Kuliner Malam, Sambal Pedas, Halal, Surabaya, Makanan Khas Jawa Timur</t>
  </si>
  <si>
    <t>-7.294735688780375, 112.76254534722</t>
  </si>
  <si>
    <t>https://www.google.com/maps/place/Bebek+Carok+-+Surabaya/@-7.2948767,112.762648,17z/data=!3m1!4b1!4m6!3m5!1s0x2e789ff5020f1ad7:0x7116370b5e11cfc7!8m2!3d-7.2948767!4d112.762648!16s%2Fg%2F11twkjxqpx?entry=ttu&amp;g_ep=EgoyMDI2MDYyOS4wIKXMDSoASAFQAw%3D%3D</t>
  </si>
  <si>
    <t>Soto Ayam Kampung Pak Djayus</t>
  </si>
  <si>
    <t>Soto Ayam Kampung Pak Djayus merupakan salah satu tempat kuliner di Surabaya yang menyajikan soto ayam kampung dengan kuah gurih yang kaya akan rempah. Hidangan disajikan dengan suwiran ayam kampung, soun, telur, kol, serta pelengkap seperti sambal, jeruk nipis, dan kerupuk yang menambah kelezatan rasa. Dengan cita rasa autentik, porsi yang mengenyangkan, dan suasana makan yang nyaman, tempat ini menjadi pilihan favorit bagi pecinta soto ayam khas Indonesia.</t>
  </si>
  <si>
    <t>Kuliner, Soto Ayam, Soto Ayam Kampung, Kuah Gurih, Ayam Kampung, Makanan Indonesia, Makanan Jawa Timur, Kuliner Surabaya, Kuliner Lokal, Comfort Food, Hidangan Hangat, Sarapan, Makan Siang, Makan Malam, Food Hunting, Casual Dining, Family Friendly, Wisata Kuliner, Surabaya.</t>
  </si>
  <si>
    <t>-7.2980583, 112.7622917</t>
  </si>
  <si>
    <t>https://www.google.com/maps/place/Soto+Ayam+Kampung+Pak+Djayus/data=!4m7!3m6!1s0x2dd7fbad301a76df:0x86808f41879d17b8!8m2!3d-7.2980583!4d112.7622917!16s%2Fg%2F1hm2zydc1!19sChIJ33YaMK371y0RuBedh0GPgIY?authuser=0&amp;hl=zh-TW&amp;rclk=1</t>
  </si>
  <si>
    <t>Kahyangan Resto</t>
  </si>
  <si>
    <t>Restoran bertema etnik Jawa dan Tionghoa yang berlokasi di GWalk Citraland Surabaya. Menawarkan menu Nusantara yang autentik seperti ikan bakar, sate, dan calamari dalam suasana yang instagramable. Tersedia pilihan tempat indoor dan outdoor yang lapang. Dikenal memiliki dekorasi artistik dan live music Indonesia.</t>
  </si>
  <si>
    <t>Restaurant, Nusantara, Etnik Jawa, Tionghoa, Outdoor, Instagramable, Live Music, Ikan Bakar, Sate, Family Friendly, Surabaya Barat</t>
  </si>
  <si>
    <t>-7.292436859000284, 112.65459479325413</t>
  </si>
  <si>
    <t>-7,292436859000284</t>
  </si>
  <si>
    <t>112,65459479325413</t>
  </si>
  <si>
    <t>https://www.google.com/maps/place/Kahyangan+Resto/@-7.2926497,112.6545787,17z/data=!3m1!4b1!4m6!3m5!1s0x2dd7fdb810b4e1d3:0x656c90b84eb5f01f!8m2!3d-7.2926497!4d112.6545787!16s%2Fg%2F1hhnf_gmx?entry=ttu&amp;g_ep=EgoyMDI2MDYyOS4wIKXMDSoASAFQAw%3D%3D</t>
  </si>
  <si>
    <t>Sate Taichan Pahlawan</t>
  </si>
  <si>
    <t>Sate Taichan Pahlawan merupakan tempat kuliner di Surabaya yang menyajikan sate taichan dengan daging ayam yang dibakar tanpa bumbu kacang, kemudian disajikan bersama sambal pedas dan perasan jeruk nipis. Cita rasa gurih, pedas, dan segar menjadikan hidangan ini favorit bagi pecinta sate modern. Dengan suasana makan yang santai dan harga yang terjangkau, tempat ini cocok untuk menikmati kuliner bersama teman maupun keluarga.</t>
  </si>
  <si>
    <t>Kuliner, Sate Taichan, Sate Ayam, Sambal Pedas, Street Food, Makanan Indonesia, Kuliner Surabaya, Kuliner Lokal, Comfort Food, Makan Siang, Makan Malam, Food Hunting, Casual Dining, Family Friendly, Hangout, Wisata Kuliner, Surabaya.</t>
  </si>
  <si>
    <t>-7.2908702, 112.740404</t>
  </si>
  <si>
    <t>https://www.google.com/maps/place/Taichan+Pahlawan/data=!4m7!3m6!1s0x2dd7fb4116e82433:0xdea7da309ec66c2e!8m2!3d-7.2908702!4d112.740404!16s%2Fg%2F11shdk2yb0!19sChIJMyToFkH71y0RLmzGnjDap94?authuser=0&amp;hl=zh-TW&amp;rclk=1</t>
  </si>
  <si>
    <t>Taman Kartika</t>
  </si>
  <si>
    <t>Taman Kartika merupakan salah satu ruang terbuka hijau di Surabaya yang menawarkan suasana asri dan nyaman untuk berbagai aktivitas rekreasi. Taman ini dilengkapi dengan pepohonan rindang, area duduk, serta jalur pejalan kaki yang cocok untuk bersantai, berjalan santai, maupun berolahraga ringan. Dengan lingkungan yang bersih dan tenang, Taman Kartika menjadi salah satu pilihan ruang publik bagi masyarakat untuk menikmati waktu luang di tengah kota.</t>
  </si>
  <si>
    <t>-7.2667913, 112.736308</t>
  </si>
  <si>
    <t>https://www.google.com/maps/place/Taman+Kartika/data=!4m7!3m6!1s0x2dd7f9d233b15101:0xc97a9d9f4487d380!8m2!3d-7.2667913!4d112.736308!16s%2Fg%2F11sv650ds7!19sChIJAVGxM9L51y0RgNOHRJ-desk?authuser=0&amp;hl=zh-TW&amp;rclk=1</t>
  </si>
  <si>
    <t>Mie Restu Bang Karman</t>
  </si>
  <si>
    <t>Mie Restu Bang Karman merupakan tempat kuliner di Surabaya yang menyajikan aneka olahan mi dengan cita rasa khas Indonesia. Menu yang ditawarkan meliputi mie ayam, pangsit, bakso, nasi goreng, dan berbagai hidangan lainnya yang disajikan dengan bumbu gurih dan porsi yang mengenyangkan. Dengan harga yang terjangkau, cita rasa yang konsisten, serta suasana makan yang sederhana dan nyaman, tempat ini menjadi favorit bagi pecinta mi di Surabaya.</t>
  </si>
  <si>
    <t>Kuliner, Mie Ayam, Mie, Pangsit, Bakso, Nasi Goreng, Kuah Kaldu, Comfort Food, Makanan Indonesia, Kuliner Surabaya, Kuliner Lokal, Makan Siang, Makan Malam, Food Hunting, Casual Dining, Family Friendly, Harga Terjangkau, Wisata Kuliner, Surabaya.</t>
  </si>
  <si>
    <t>-7.2841903, 112.7580239</t>
  </si>
  <si>
    <t>https://www.google.com/maps/place/Mie+Restu+Bang+Karman/data=!4m7!3m6!1s0x2dd7fbc9a89cc40b:0x1f90418c0a9a7f65!8m2!3d-7.2841903!4d112.7580239!16s%2Fg%2F1pzx7_b07!19sChIJC8ScqMn71y0RZX-aCoxBkB8?authuser=0&amp;hl=zh-TW&amp;rclk=1</t>
  </si>
  <si>
    <t>Sea Monsters Seafood Restaurant</t>
  </si>
  <si>
    <t>Sea Monsters Seafood Restaurant merupakan salah satu restoran seafood populer di Surabaya yang menyajikan berbagai hidangan laut segar dengan konsep memilih bahan berkualitas yang kemudian diolah sesuai selera. Menu andalannya meliputi kepiting, udang, lobster, cumi, kerang, dan ikan dengan beragam pilihan bumbu seperti saus padang, lada hitam, mentega, hingga bawang putih. Dengan area makan yang luas, suasana modern, serta pelayanan yang baik, restoran ini menjadi pilihan favorit untuk makan bersama keluarga, teman, maupun acara spesial.</t>
  </si>
  <si>
    <t>Seafood, Restaurant, Makanan Laut, Kepiting, Udang, Lobster, Cumi, Kerang, Ikan, Saus Padang, Lada Hitam, Mentega, Garlic Sauce, Casual Dining, Family Friendly, Gathering, Makan Siang, Makan Malam, Kuliner Surabaya, Wisata Kuliner, Surabaya.</t>
  </si>
  <si>
    <t>-7.2896333, 112.7423838</t>
  </si>
  <si>
    <t>https://www.google.com/maps/place/Sea+Monsters+Seafood+Restaurant/data=!4m7!3m6!1s0x2dd7fbda5958b31b:0x43e1ce8d5fb58a1b!8m2!3d-7.2896333!4d112.7423838!16s%2Fg%2F11c3129153!19sChIJG7NYWdr71y0RG4q1X43O4UM?authuser=0&amp;hl=zh-TW&amp;rclk=1</t>
  </si>
  <si>
    <t>Bebek Kayu Tangan</t>
  </si>
  <si>
    <t>Bebek Kayu Tangan merupakan salah satu tempat kuliner di Surabaya yang terkenal dengan sajian bebek goreng berbumbu khas dan cita rasa autentik. Daging bebek yang empuk dengan kulit renyah disajikan bersama nasi hangat, sambal pedas, dan lalapan segar sehingga menghasilkan perpaduan rasa gurih dan nikmat. Dengan suasana makan yang nyaman, harga yang terjangkau, dan kualitas rasa yang konsisten, tempat ini menjadi favorit bagi pecinta olahan bebek di Surabaya.</t>
  </si>
  <si>
    <t>-7.298061, 112.7510558</t>
  </si>
  <si>
    <t>https://www.google.com/maps/place/Bebek+Kayu+Tangan/data=!4m7!3m6!1s0x2dd7fbafbe8e3dc5:0x531fd9dfaa965132!8m2!3d-7.298061!4d112.7510558!16s%2Fg%2F1hc636h9x!19sChIJxT2Ovq_71y0RMlGWqt_ZH1M?authuser=0&amp;hl=zh-TW&amp;rclk=1</t>
  </si>
  <si>
    <t>Deckside Lounge &amp; Cafe</t>
  </si>
  <si>
    <t>Deckside Lounge &amp; Cafe merupakan kafe dan lounge yang berada di kawasan Oakwood Hotel &amp; Residence Surabaya. Menghadirkan suasana modern dan elegan, tempat ini menawarkan berbagai pilihan specialty coffee, mocktail, minuman segar, dessert, serta hidangan Asia dan Western. Dengan area duduk yang nyaman dan ambience yang tenang, Deckside Lounge &amp; Cafe cocok untuk bersantai, mengadakan pertemuan bisnis, maupun menikmati waktu bersama keluarga dan teman.</t>
  </si>
  <si>
    <t>Cafe, Lounge, Coffee Shop, Specialty Coffee, Mocktail, Dessert, Western Food, Asian Food, Casual Dining, Hotel Cafe, Cozy, Modern, Elegant, Aesthetic, Instagramable, Business Meeting, Hangout, WiFi, Kuliner Surabaya, Surabaya.</t>
  </si>
  <si>
    <t>-7.2800527, 112.7814105</t>
  </si>
  <si>
    <t>https://www.google.com/maps/place/Deckside+Lounge+%26+Cafe/data=!4m7!3m6!1s0x2dd7fb62be784477:0xb5079bc1d5e8f087!8m2!3d-7.2800527!4d112.7814105!16s%2Fg%2F11fmdc6m87!19sChIJd0R4vmL71y0Rh_Do1cGbB7U?authuser=0&amp;hl=zh-TW&amp;rclk=1</t>
  </si>
  <si>
    <t>Soto Ayam Imam Bonjol</t>
  </si>
  <si>
    <t>Soto Ayam Imam Bonjol merupakan salah satu kuliner legendaris di Surabaya yang telah lama dikenal dengan sajian soto ayam berkuah gurih dan kaya rempah. Hidangan disajikan dengan suwiran ayam, soun, telur, serta pelengkap seperti sambal, jeruk nipis, dan kerupuk. Selain soto ayam, tempat ini juga menyediakan aneka sate dan hidangan khas lainnya. Dengan cita rasa yang konsisten dan resep yang telah dipertahankan selama bertahun-tahun, Soto Ayam Imam Bonjol menjadi favorit warga maupun wisatawan.</t>
  </si>
  <si>
    <t>Kuliner, Soto Ayam, Soto, Kuah Gurih, Makanan Indonesia, Makanan Jawa Timur, Kuliner Legendaris, Kuliner Surabaya, Kuliner Lokal, Comfort Food, Hidangan Hangat, Sarapan, Makan Siang, Food Hunting, Casual Dining, Family Friendly, Wisata Kuliner, Surabaya.</t>
  </si>
  <si>
    <t>-7.2823602, 112.7362857</t>
  </si>
  <si>
    <t>https://www.google.com/maps/place/Soto+Ayam+Imam+Bonjol/data=!4m7!3m6!1s0x2dd7fbea2a832e17:0x1bdd165cfbcfd636!8m2!3d-7.2823602!4d112.7362857!16s%2Fg%2F1hm24v3vs!19sChIJFy6DKur71y0RNtbP-1wW3Rs?authuser=0&amp;hl=zh-TW&amp;rclk=1</t>
  </si>
  <si>
    <t>Bakso Solo “Pak Jan”</t>
  </si>
  <si>
    <t>Bakso Solo “Pak Jan” merupakan salah satu tempat kuliner bakso yang populer di Surabaya dengan sajian bakso khas Solo bercita rasa autentik. Bakso daging sapi yang kenyal disajikan dalam kuah kaldu yang gurih, lengkap dengan mi, bihun, tahu, dan pelengkap lainnya sehingga menghasilkan hidangan yang lezat dan mengenyangkan. Dengan kualitas rasa yang konsisten, harga yang terjangkau, serta suasana makan yang sederhana dan nyaman, Bakso Solo “Pak Jan” menjadi pilihan favorit bagi pecinta bakso di Surabaya.</t>
  </si>
  <si>
    <t>-7.273907, 112.750824</t>
  </si>
  <si>
    <t>https://www.google.com/maps/place/Bakso+Solo+%E2%80%9CPak+Jan%E2%80%9D/data=!4m7!3m6!1s0x2dd7fbda8107b0e5:0x5b0e4443329ab342!8m2!3d-7.273907!4d112.750824!16s%2Fg%2F1hm540_w9!19sChIJ5bAHgdr71y0RQrOaMkNEDls?authuser=0&amp;hl=zh-TW&amp;rclk=1</t>
  </si>
  <si>
    <t>Redback Specialty Coffee</t>
  </si>
  <si>
    <t>Coffee shop premium dengan keunikan berupa view lapangan golf yang menyegarkan di kawasan perumahan elite Graha Family Surabaya Barat. Terkenal dengan house blend 'Cornerstone' dari Sumatera, Rwanda, Ethiopia, dan Colombia. Juga menyediakan pastry dan menu pasta. Atmosfer tenang dan sangat instagramable.</t>
  </si>
  <si>
    <t>Coffee Shop, Specialty Coffee, View Golf, Aesthetic, Instagramable, Premium, Pastry, Pasta, Quiet, Cozy, Nongkrong, Hangout, Single Origin, Surabaya Barat, Graha Family, Perumahan Elite, Outdoor View, Couple Friendly, WFC, Work From Cafe</t>
  </si>
  <si>
    <t>-7.29148176244208, 112.68514729263948</t>
  </si>
  <si>
    <t>-7,29148176244208</t>
  </si>
  <si>
    <t>112,68514729263948</t>
  </si>
  <si>
    <t>https://www.google.com/search?q=Redback+Specialty+Coffee&amp;oq=Redback+Specialty+Coffee&amp;gs_lcrp=EgZjaHJvbWUqBggAEEUYOzIGCAAQRRg7MgcIARAAGIAEMgcIAhAAGIAEMg0IAxAuGK8BGMcBGIAEMgcIBBAAGIAEMhAIBRAuGK8BGMcBGIAEGI4FMgcIBhAAGIAEMgcIBxAAGIAEMgcICBAAGIAEMgcICRAAGIAE0gEIOTE1ajBqMTWoAgiwAgHxBcN4CFdZccib&amp;sourceid=chrome&amp;ie=UTF-8#sv=CAwSqAIKBmxjbF9wdhJGCgNwdnESP0NnMHZaeTh4TVdSNFpHdG9ZbTFpSWg0S0dGSmxaR0poWTJzZ1UzQmxZMmxoYkhSNUlFTnZabVpsWlJBQ0dBTRKOAQoDbHFpEoYBQ2hoU1pXUmlZV05ySUZOd1pXTnBZV3gwZVNCRGIyWm1aV1ZJNnRUZXlQR3NnSUFJV2pBUUFCQUJFQUlZQUJnQkdBSWlHSEpsWkdKaFkyc2djM0JsWTJsaGJIUjVJR052Wm1abFpTb0lDQUlRQUJBQkVBS1NBUXRqYjJabVpXVmZjMmh2Y0ESEgoDdGJzEgtscmY6ITNzSUFFPRIdCgFxEhhSZWRiYWNrIFNwZWNpYWx0eSBDb2ZmZWUaEmxvY2FsLXBsYWNlLXZpZXdlchgKIIb_y8EI</t>
  </si>
  <si>
    <t>Taman Harmoni</t>
  </si>
  <si>
    <t>Taman kota luas di kawasan Keputih Surabaya Timur yang menjadi salah satu ruang terbuka hijau terbesar di Surabaya. Dilengkapi kebun bunga beragam, air mancur artistik, dan karya seni instalasi yang menarik. Cocok untuk bersantai, berfoto, olahraga ringan, dan rekreasi keluarga. Tersedia area bermain anak dan jogging track.</t>
  </si>
  <si>
    <t>Taman Kota, Ruang Terbuka Hijau, Outdoor, Kebun Bunga, Air Mancur, Karya Seni, Instagramable, Aesthetic, Spot Foto, Family Friendly, Kids Friendly, Jogging Track, Olahraga, Healing, Santai, Rekreasi, Wisata Gratis, City Park, Surabaya Timur, Keputih, Piknik, Urban Tourism, Fotografi Alam</t>
  </si>
  <si>
    <t>-7.2952211, 112.8035603</t>
  </si>
  <si>
    <t>https://www.google.com/maps/place/Taman+Harmoni+Keputih/data=!4m7!3m6!1s0x2dd7fa7a177ebfbd:0x94c826f638ea1d55!8m2!3d-7.2952211!4d112.8035603!16s%2Fg%2F11cjj1kf5k!19sChIJvb9-F3r61y0RVR3qOPYmyJQ?authuser=0&amp;hl=zh-TW&amp;rclk=1</t>
  </si>
  <si>
    <t>Bakso Cak Nur 1</t>
  </si>
  <si>
    <t>Warung bakso populer dengan cita rasa khas Surabaya yang telah dikenal warga sekitar. Menyajikan bakso sapi, mie ayam, dan berbagai pelengkap seperti tahu dan pangsit. Tempat makan sederhana dengan harga terjangkau dan porsi mengenyangkan. Ramai dikunjungi warga lokal terutama saat makan siang.</t>
  </si>
  <si>
    <t>Bakso, Mie Ayam, Kuliner Lokal, Murah, Terjangkau, Warung, Comfort Food, Sarapan, Makan Siang, Surabaya, Kuliner Khas Surabaya, Family Friendly, Porsi Besar, Halal</t>
  </si>
  <si>
    <t>-7.291864, 112.7616669</t>
  </si>
  <si>
    <t>https://www.google.com/maps/place/Bakso+Cak+Nur+1/data=!4m7!3m6!1s0x2dd7fbb3651e40c5:0x4f300ddab9d52927!8m2!3d-7.291864!4d112.7616669!16s%2Fg%2F11c2p0d6vf!19sChIJxUAeZbP71y0RJynVudoNME8?authuser=0&amp;hl=zh-TW&amp;rclk=1</t>
  </si>
  <si>
    <t>Binh Binh - Araya</t>
  </si>
  <si>
    <t>Restoran Vietnam modern yang berlokasi di kawasan perumahan Araya Surabaya dengan rating sangat tinggi. Menyajikan hidangan autentik Vietnam seperti pho, banh mi, fresh roll, dan minuman khas Vietnam. Suasana cozy dan modern dengan dekorasi tropis yang instagramable. Cocok untuk makan siang, makan malam, maupun gathering keluarga.</t>
  </si>
  <si>
    <t>Restoran Vietnam, Vietnamese Food, Pho, Banh Mi, Fresh Roll, Kuliner Asia, Cozy, Aesthetic, Instagramable, Modern, Family Friendly, Couple Friendly, Hangout, Premium, Surabaya Timur, Araya, Makan Siang, Makan Malam, Asian Cuisine, Internasional</t>
  </si>
  <si>
    <t>75000-100000</t>
  </si>
  <si>
    <t>-7.3020643, 112.7853666</t>
  </si>
  <si>
    <t>https://www.google.com/maps/place/Binh+Binh+-+Araya/data=!4m7!3m6!1s0x2dd7fb00790c1143:0xe89019d7172425d2!8m2!3d-7.3020643!4d112.7853666!16s%2Fg%2F11wwdp8382!19sChIJQxEMeQD71y0R0iUkF9cZkOg?authuser=0&amp;hl=zh-TW&amp;rclk=1</t>
  </si>
  <si>
    <t>Nasi Bebek Goreng Sayang Anak Cak Yudi (Pusat)</t>
  </si>
  <si>
    <t>Restoran legendaris yang terkenal dengan menu spesial bebek goreng empuk dengan sambal khas yang pedas menggugah selera. Berlokasi di Surabaya Utara, tempat ini menjadi favorit pecinta bebek goreng karena cita rasanya yang konsisten dan autentik. Menerima pesanan dalam jumlah besar untuk acara maupun katering.</t>
  </si>
  <si>
    <t>Nasi Bebek, Bebek Goreng, Kuliner Legendaris, Sambal, Pedas, Khas Surabaya, Kuliner Lokal, Family Friendly, Makan Siang, Comfort Food, Murah, Halal, Surabaya Utara, Katering, Pesanan, Porsi Besar</t>
  </si>
  <si>
    <t>-7.2216162, 112.7309727</t>
  </si>
  <si>
    <t>https://www.google.com/maps/place/Nasi+Bebek+Goreng+Sayang+Anak+Cak+Yudi+%28Pusat%29/data=!4m7!3m6!1s0x2dd7f8dbcfe9f637:0x1e60d55fadcea033!8m2!3d-7.2216162!4d112.7309727!16s%2Fg%2F1hc0sg018!19sChIJN_bpz9v41y0RM6DOrV_VYB4?authuser=0&amp;hl=zh-TW&amp;rclk=1</t>
  </si>
  <si>
    <t>RAWON KUNCORO</t>
  </si>
  <si>
    <t>Warung rawon legendaris di Surabaya Barat yang buka hingga larut malam. Menyajikan rawon sapi autentik dengan kuah kluwak hitam pekat, daging empuk, dan pelengkap khas seperti tauge, telur asin, dan kerupuk udang. Menjadi tujuan favorit pencinta rawon yang mencari cita rasa tradisional Jawa Timur kapan pun termasuk dini hari.</t>
  </si>
  <si>
    <t>Rawon, Rawon Sapi, Kuliner Jawa Timur, Kuliner Legendaris, Kuah Kluwak, Comfort Food, Makan Malam, Buka Larut, 24 Jam, Khas Surabaya, Murah, Halal, Surabaya Barat, Warung, Kuliner Lokal, Sarapan, Family Friendly</t>
  </si>
  <si>
    <t>-7.3227366, 112.7094309</t>
  </si>
  <si>
    <t>https://www.google.com/maps/place/RAWON+KUNCORO/data=!4m7!3m6!1s0x2dd7fd5026206f4d:0x572cc29225791412!8m2!3d-7.3227366!4d112.7094309!16s%2Fg%2F11gh9qhkyn!19sChIJTW8gJlD91y0REhR5JZLCLFc?authuser=0&amp;hl=zh-TW&amp;rclk=1</t>
  </si>
  <si>
    <t>Hasil Bagus Indonusantara</t>
  </si>
  <si>
    <t>Galeri dan toko seni kerajinan nusantara yang menyajikan koleksi produk budaya dan kerajinan tangan dari berbagai daerah di Indonesia. Cocok untuk wisatawan yang ingin mencari oleh-oleh khas atau mengapresiasi kekayaan seni dan budaya lokal. Tersedia berbagai produk mulai dari batik, tenun, ukiran, hingga perhiasan tradisional.</t>
  </si>
  <si>
    <t>Kerajinan Tangan, Seni Budaya, Nusantara, Oleh-oleh, Wisata Budaya, Galeri Seni, Batik, Tenun, Ukiran, Edukasi, Budaya Lokal, Souvenir, Wisata Belanja, Surabaya Pusat, Indoor, Khas Indonesia, Handicraft</t>
  </si>
  <si>
    <t>-7.2473613, 112.7556799</t>
  </si>
  <si>
    <t>https://www.google.com/maps/place/Hasil+Bagus+Indonusantara/data=!4m7!3m6!1s0x2dd7f97341d886d3:0xadda959bab99eed8!8m2!3d-7.2473613!4d112.7556799!16s%2Fg%2F1pzq3l6wv!19sChIJ04bYQXP51y0R2O6Zq5uV2q0?authuser=0&amp;hl=zh-TW&amp;rclk=1</t>
  </si>
  <si>
    <t>Taman Air Mancur Pelangi</t>
  </si>
  <si>
    <t>Air mancur menari spektakuler di tepi laut Kenjeran yang menjadi daya tarik wisata malam Surabaya. Terletak di bagian awal Jembatan Kenjeran, air mancur ini diterangi lampu warna-warni yang memukau sehingga menciptakan pertunjukan cahaya dan air yang indah. Cocok untuk wisata malam bersama keluarga atau pasangan.</t>
  </si>
  <si>
    <t>Air Mancur, Air Mancur Menari, Wisata Malam, Night View, Lampu Warna-warni, Outdoor, Tepi Laut, Kenjeran, Instagramable, Spot Foto, Aesthetic, Family Friendly, Couple Friendly, Wisata Gratis, Surabaya Timur, Landmark Surabaya, Seni Air, Rekreasi Malam, Pertunjukan</t>
  </si>
  <si>
    <t>-7.2356933, 112.7955234</t>
  </si>
  <si>
    <t>https://www.google.com/maps/place/Taman+Air+Mancur+Menari+Kenjeran/data=!4m7!3m6!1s0x2dd7f9c4fb73a6d3:0x3f849d545ee0ea29!8m2!3d-7.2356933!4d112.7955234!16s%2Fg%2F11cly1qhkp!19sChIJ06Zz-8T51y0RKergXlSdhD8?authuser=0&amp;hl=zh-TW&amp;rclk=1</t>
  </si>
  <si>
    <t>Arca Joko Dolog</t>
  </si>
  <si>
    <t>Arca bersejarah setinggi 3,5 meter dari batu andesit yang dibuat sekitar tahun 1289 M sebagai penghormatan kepada Raja Kertanegara dari Kerajaan Singasari. Berada di Taman Apsari, menjadi situs cagar budaya sekaligus destinasi edukasi sejarah yang populer.</t>
  </si>
  <si>
    <t>Historical Landmark, Cagar Budaya, Wisata Sejarah, Edukasi, Outdoor, Wisata Gratis, Taman Kota, Spot Foto, Family Friendly, Surabaya Pusat, Kerajaan Singasari, Arca, Batu Andesit, Taman Apsari, Sejarah Jawa, Peninggalan Sejarah, Arkeologi, Warisan Budaya, Fotografi Sejarah</t>
  </si>
  <si>
    <t>-7.264670817708356, 112.74277133558195</t>
  </si>
  <si>
    <t>-7,264670817708356</t>
  </si>
  <si>
    <t>112,74277133558195</t>
  </si>
  <si>
    <t>https://www.google.com/maps/place/Arca+Joko+Dolog/data=!4m2!3m1!1s0x2dd7f961a57a4b0d:0x7c5d77f90348e9b4?sa=X&amp;ved=1t:155783&amp;ictx=111</t>
  </si>
  <si>
    <t>Rawon Nguling - Rajawali Surabaya</t>
  </si>
  <si>
    <t>Cabang restoran Rawon Nguling yang terkenal di kawasan Rajawali Surabaya. Menyajikan rawon dengan resep asli dari Nguling, Pasuruan, dengan kuah kluwak yang kaya rasa dan daging sapi pilihan yang empuk. Salah satu destinasi kuliner rawon terpercaya di Surabaya dengan jam operasional yang panjang.</t>
  </si>
  <si>
    <t>Rawon, Rawon Nguling, Kuliner Jawa Timur, Khas Pasuruan, Comfort Food, Makan Pagi, Sarapan, Makan Siang, Makan Malam, Kuliner Legendaris, Halal, Surabaya Utara, Rajawali, Daging Sapi, Family Friendly, Warung Makan</t>
  </si>
  <si>
    <t>-7.2325843, 112.7291453</t>
  </si>
  <si>
    <t>https://www.google.com/maps/place/Rawon+Nguling+-+SUB+Rajawali/data=!4m7!3m6!1s0x2dd7f925db755d45:0x4670aa398685b302!8m2!3d-7.2325843!4d112.7291453!16s%2Fg%2F1hfbnyzqh!19sChIJRV112yX51y0RArOFhjmqcEY?authuser=0&amp;hl=zh-TW&amp;rclk=1</t>
  </si>
  <si>
    <t>BAKSO CAK TOHA Cab. Malang</t>
  </si>
  <si>
    <t>Cabang bakso terkenal asal Malang yang hadir di Surabaya dengan cita rasa bakso Malang yang autentik. Menyajikan aneka varian bakso termasuk bakso urat, bakso halus, tahu, dan pangsit dengan kuah kaldu bening gurih khas. Menjadi pilihan favorit pencinta bakso gaya Malang di Surabaya.</t>
  </si>
  <si>
    <t>Bakso, Bakso Malang, Kuliner Malang, Mie Ayam, Pangsit, Tahu, Kuliner Lokal, Comfort Food, Murah, Terjangkau, Halal, Surabaya Selatan, Family Friendly, Makan Siang, Makan Malam, Warung, Porsi Besar</t>
  </si>
  <si>
    <t>-7.3127971, 112.7561228</t>
  </si>
  <si>
    <t>https://www.google.com/maps/place/BAKSO+CAK+TOHA+Cab.+Malang/data=!4m7!3m6!1s0x2dd7fb19e4c585fb:0xf462cf1dc5cf0c7c!8m2!3d-7.3127971!4d112.7561228!16s%2Fg%2F11t5wtkw_r!19sChIJ-4XF5Bn71y0RfAzPxR3PYvQ?authuser=0&amp;hl=zh-TW&amp;rclk=1</t>
  </si>
  <si>
    <t>Soto Ayam Lamongan Cak Yadi</t>
  </si>
  <si>
    <t>Warung soto ayam Lamongan yang buka 24 jam nonstop, menjadi solusi kuliner kapan pun lapar melanda. Menyajikan soto ayam khas Lamongan dengan kuah kuning gurih, ayam suwir, tauge, dan koya khas yang membuat rasanya semakin lezat. Cocok untuk sarapan dini hari hingga makan malam larut.</t>
  </si>
  <si>
    <t>Soto Ayam, Soto Lamongan, Khas Lamongan, Kuliner Jawa Timur, Buka 24 Jam, Kuliner Malam, Sarapan, Comfort Food, Murah, Halal, Family Friendly, Warung, Kuliner Lokal, Surabaya, Koya, Kuah Kuning</t>
  </si>
  <si>
    <t>-7.2818578, 112.7620586</t>
  </si>
  <si>
    <t>https://www.google.com/maps/place/Soto+Ayam+Lamongan+Cak+Yadi/data=!4m7!3m6!1s0x2dd7fbcb45982b91:0xa8c5ac2ac127730!8m2!3d-7.2818578!4d112.7620586!16s%2Fg%2F11b6jc5g93!19sChIJkSuYRcv71y0RMHcSrMJajAo?authuser=0&amp;hl=zh-TW&amp;rclk=1</t>
  </si>
  <si>
    <t>Pangsit mie ayam Jakarta cab.Kedungdoro</t>
  </si>
  <si>
    <t>Warung mie ayam pangsit bergaya Jakarta yang terletak di kawasan Kedungdoro Surabaya. Menyajikan mie ayam dengan topping ayam berbumbu khas Jakarta, pangsit rebus dan goreng, serta bakso sebagai pelengkap. Buka sore hingga malam, cocok untuk makan malam dengan harga sangat terjangkau.</t>
  </si>
  <si>
    <t>Mie Ayam, Pangsit, Mie Ayam Jakarta, Kuliner Jakarta, Murah, Terjangkau, Makan Malam, Warung, Comfort Food, Halal, Surabaya Pusat, Kedungdoro, Kuliner Lokal, Buka Sore, Malam</t>
  </si>
  <si>
    <t>-7.2874367, 112.6554882</t>
  </si>
  <si>
    <t>https://www.google.com/maps/place/Pangsit+mie+ayam+Jakarta/data=!4m7!3m6!1s0x2dd7fd59dbdb9a1f:0x9ec2c41d51369a1c!8m2!3d-7.2874367!4d112.6554882!16s%2Fg%2F11n62n74n3!19sChIJH5rb21n91y0RHJo2UR3Ewp4?authuser=0&amp;hl=zh-TW&amp;rclk=1</t>
  </si>
  <si>
    <t>Produsen Mie Basah &amp; Depot Mie Ayam RATU Cabang Kendal Sari</t>
  </si>
  <si>
    <t>Depot mie ayam sekaligus produsen mie basah segar di kawasan Kendalsari Surabaya. Menyajikan mie ayam dengan mie buatan sendiri yang kenyal dan segar, disajikan dengan topping ayam berbumbu, pangsit, dan bawang goreng. Mie basah juga tersedia untuk dibeli dan dimasak sendiri di rumah.</t>
  </si>
  <si>
    <t>Mie Ayam, Mie Basah, Produsen Mie, Kuliner Lokal, Murah, Homemade, Comfort Food, Halal, Surabaya Selatan, Kendalsari, Warung, Makan Siang, Makan Malam, Segar, Family Friendly</t>
  </si>
  <si>
    <t>Rabu-Minggu</t>
  </si>
  <si>
    <t>Rabu</t>
  </si>
  <si>
    <t>-7.315728, 112.7841529</t>
  </si>
  <si>
    <t>https://www.google.com/maps/place/Produsen+Mie+Basah+%26+Depot+Mie+Ayam+RATU+Cabang+Kendal+Sari/data=!4m7!3m6!1s0x2dd7fb72f66db0f3:0xea2cc8aefaaf688e!8m2!3d-7.315728!4d112.7841529!16s%2Fg%2F11q94kbqpn!19sChIJ87Bt9nL71y0Rjmiv-q7ILOo?authuser=0&amp;hl=zh-TW&amp;rclk=1</t>
  </si>
  <si>
    <t>Surabaya Kuliner</t>
  </si>
  <si>
    <t>Pusat kuliner yang menyajikan beragam hidangan khas Surabaya dan Jawa Timur dalam satu atap. Tempat yang tepat untuk mencicipi aneka masakan lokal mulai dari rawon, pecel, soto, hingga berbagai lauk pauk tradisional. Buka sore hingga malam hari, cocok untuk makan malam atau hangout santai.</t>
  </si>
  <si>
    <t>Kuliner Surabaya, Kuliner Jawa Timur, Masakan Lokal, Rawon, Soto, Pecel, Makan Malam, Hangout, Family Friendly, Murah, Terjangkau, Halal, Surabaya, Kuliner Tradisional, Buka Sore, Warung</t>
  </si>
  <si>
    <t>-7.29851, 112.7323421</t>
  </si>
  <si>
    <t>https://www.google.com/maps/place/Surabaya+Kuliner/data=!4m7!3m6!1s0x2dd7fbc2a3dde06f:0x461de4242ae2f35c!8m2!3d-7.29851!4d112.7323421!16s%2Fg%2F11tcq1hc5c!19sChIJb-Ddo8L71y0RXPPiKiTkHUY?authuser=0&amp;hl=zh-TW&amp;rclk=1</t>
  </si>
  <si>
    <t>Ayam Tulang Lunak Malioboro</t>
  </si>
  <si>
    <t>Restoran yang menyajikan menu andalan ayam tulang lunak dengan teknik memasak khusus sehingga tulang ayam menjadi empuk dan bisa dimakan seluruhnya. Tersedia berbagai lauk pendamping dan minuman. Menjadi pilihan populer karena porsinya yang besar dan harga yang terjangkau. Berlokasi di Surabaya Selatan.</t>
  </si>
  <si>
    <t>Ayam Tulang Lunak, Kuliner Unik, Ayam Goreng, Comfort Food, Murah, Porsi Besar, Family Friendly, Makan Siang, Makan Malam, Halal, Surabaya Selatan, Warung Makan, Kuliner Lokal, Khas Indonesia</t>
  </si>
  <si>
    <t>-7.3229757, 112.7454674</t>
  </si>
  <si>
    <t>https://www.google.com/maps/place/Ayam+Tulang+Lunak+Malioboro/data=!4m7!3m6!1s0x2dd7fb63d9713df7:0xa823ceb1d9d4b650!8m2!3d-7.3229757!4d112.7454674!16s%2Fg%2F11f6mphn9c!19sChIJ9z1x2WP71y0RULbU2bHOI6g?authuser=0&amp;hl=zh-TW&amp;rclk=1</t>
  </si>
  <si>
    <t>Bakso Kepala Sapi</t>
  </si>
  <si>
    <t>Warung bakso dengan menu andalan bakso berbahan dasar daging kepala sapi yang menghasilkan cita rasa unik dan gurih. Kuah kaldunya kaya dan bening, disajikan dengan mie, tahu, dan pelengkap khas. Menjadi salah satu destinasi kuliner unik bagi pecinta bakso yang ingin mencoba varian berbeda di Surabaya.</t>
  </si>
  <si>
    <t>Bakso, Bakso Kepala Sapi, Kuliner Unik, Kuliner Lokal, Comfort Food, Murah, Terjangkau, Makan Siang, Makan Malam, Halal, Surabaya, Family Friendly, Warung, Khas Surabaya</t>
  </si>
  <si>
    <t>-7.28232, 112.7763487</t>
  </si>
  <si>
    <t>https://www.google.com/maps/place/Bakso+Kepala+Sapi/data=!4m7!3m6!1s0x2dd7fa39b647f08f:0x862bc80b617de7a9!8m2!3d-7.28232!4d112.7763487!16s%2Fg%2F1hm2934lj!19sChIJj_BHtjn61y0Rqed9YQvIK4Y?authuser=0&amp;hl=zh-TW&amp;rclk=1</t>
  </si>
  <si>
    <t>Rumah Makan Nam Cheong</t>
  </si>
  <si>
    <t>Rumah makan Chinese food legendaris di Surabaya yang telah lama dikenal di kalangan pecinta masakan Tionghoa. Menyajikan aneka masakan Chinese seafood, dim sum, dan hidangan Tionghoa klasik dengan cita rasa autentik. Tempat favorit keluarga untuk makan bersama dalam suasana khas restoran Chinese tradisional.</t>
  </si>
  <si>
    <t>Chinese Food, Masakan Tionghoa, Seafood, Dim Sum, Kuliner Tionghoa, Family Friendly, Makan Siang, Makan Malam, Legendaris, Surabaya Pusat, Restoran, Premium, Chinese Cuisine, Noodle, Halal Friendly</t>
  </si>
  <si>
    <t>-7.2490728, 112.7382161</t>
  </si>
  <si>
    <t>https://www.google.com/maps/place/Rumah+Makan+Nam+Cheong/data=!4m7!3m6!1s0x2dd7f940313b26cb:0x198efe56557b8262!8m2!3d-7.2490728!4d112.7382161!16s%2Fg%2F1hm5qjfmd!19sChIJyyY7MUD51y0RYoJ7VVb-jhk?authuser=0&amp;hl=zh-TW&amp;rclk=1</t>
  </si>
  <si>
    <t>Kayanna Restaurant</t>
  </si>
  <si>
    <t>Restoran Indonesia elegan yang berlokasi di bangunan bergaya kolonial Belanda bersejarah. Dekorasi interior bernuansa krem berkelas menciptakan suasana fine dining yang mewah. Menyajikan masakan Indonesia autentik mulai dari hidangan Jawa, Betawi, hingga Nusantara dengan presentasi premium. Cocok untuk makan malam romantis, business dinner, atau perayaan spesial.</t>
  </si>
  <si>
    <t>Restoran Indonesia, Fine Dining, Kolonial Belanda, Mewah, Elegant, Heritage, Masakan Indonesia, Nusantara, Makan Malam, Romantic Dinner, Business Dinner, Premium, Surabaya Pusat, Instagramable, Aesthetic, Couple Friendly, Anniversary, Perayaan</t>
  </si>
  <si>
    <t>50000-175000</t>
  </si>
  <si>
    <t>-7.2815035, 112.739176</t>
  </si>
  <si>
    <t>https://www.google.com/maps/place/Kayanna+Restaurant/data=!4m7!3m6!1s0x2dd7fbe9e37e81b5:0xa250c4c9d19b4986!8m2!3d-7.2815035!4d112.739176!16s%2Fg%2F11gbf63r7d!19sChIJtYF-4-n71y0Rhkmb0cnEUKI?authuser=0&amp;hl=zh-TW&amp;rclk=1</t>
  </si>
  <si>
    <t>Wisata Air Taman Prestasi</t>
  </si>
  <si>
    <t>Destinasi wisata air yang berlokasi di Taman Prestasi pinggir Sungai Kalimas Surabaya. Menawarkan wahana perahu susur sungai, area bermain anak, dan ruang terbuka untuk bersantai di tepi sungai. Tiket masuk sangat terjangkau membuat tempat ini menjadi pilihan rekreasi keluarga yang ekonomis di tengah kota.</t>
  </si>
  <si>
    <t>Wisata Air, Perahu, Susur Sungai, Sungai Kalimas, Taman Kota, Outdoor, Family Friendly, Kids Friendly, Murah, Terjangkau, Rekreasi, Area Bermain Anak, Surabaya Pusat, Healing, Santai, City Tour</t>
  </si>
  <si>
    <t>-7.2618767, 112.7432029</t>
  </si>
  <si>
    <t>https://www.google.com/maps/place/Wisata+Air+Taman+Prestasi/data=!4m7!3m6!1s0x2dd7f96134b178a1:0x3ea035154009924a!8m2!3d-7.2618767!4d112.7432029!16s%2Fg%2F11f0kr9tz8!19sChIJoXixNGH51y0RSpIJQBU1oD4?authuser=0&amp;hl=zh-TW&amp;rclk=1</t>
  </si>
  <si>
    <t>Wisata Batas Kampung Sejuk Alami Surabaya</t>
  </si>
  <si>
    <t>Wisata Batas Kampung Sejuk Alami Surabaya adalah destinasi wisata berbasis alam yang menonjolkan suasana perkampungan hijau dan asri di tengah kota metropolitan. Tempat ini menawarkan kesegaran alam terbuka dengan pepohonan rindang, udara yang sejuk, serta nuansa kampung yang autentik dan alami.</t>
  </si>
  <si>
    <t>Wisata Alam, Kampung Wisata, Outdoor, Nature, Sejuk, Alami, Ruang Terbuka Hijau, Healing, Santai, Rekreasi, Family Friendly, Kids Friendly, Eco Tourism, Green Space, Hidden Gem, Edukasi Lingkungan, Fotografi Alam, Community Based Tourism, Wisata Kampung, Surabaya Selatan</t>
  </si>
  <si>
    <t>-7.330141874099146, 112.67842119999999</t>
  </si>
  <si>
    <t>https://www.google.com/maps/place/Wisata+Batas+Kampung+Sejuk+Alami+Surabaya/data=!4m2!3m1!1s0x2dd7fdc1f4802829:0xb8822ebba714daac?sa=X&amp;ved=1t:155783&amp;ictx=111</t>
  </si>
  <si>
    <t>Shisha Boss Cafe Surabaya</t>
  </si>
  <si>
    <t>Kafe lounge yang menyediakan layanan shisha premium dengan berbagai pilihan rasa di kawasan pusat Surabaya.</t>
  </si>
  <si>
    <t>Kafe</t>
  </si>
  <si>
    <t>Shisha, Hookah, Cafe, Lounge, Hangout, Malam, Buka Larut, Nongkrong, Nightlife, Cozy, Aesthetic, Minuman, Kopi, Mocktail, Semi Outdoor, Surabaya Pusat</t>
  </si>
  <si>
    <t>-7.2790442, 112.7373881</t>
  </si>
  <si>
    <t>https://www.google.com/maps/place/Shisha+Boss+Cafe+Surabaya/data=!4m7!3m6!1s0x2dd7fb9369fada09:0x5f54f0073c2d47ca!8m2!3d-7.2790442!4d112.7373881!16s%2Fg%2F11ll_4bl0w!19sChIJCdr6aZP71y0RykctPAfwVF8?authuser=0&amp;hl=zh-TW&amp;rclk=1</t>
  </si>
  <si>
    <t>Kapulogo - Soto Ayam Kampung</t>
  </si>
  <si>
    <t>Warung soto ayam kampung dengan cita rasa tradisional yang telah digemari pelanggan setia.</t>
  </si>
  <si>
    <t>Soto Ayam, Soto Ayam Kampung, Ayam Kampung, Kuliner Tradisional, Comfort Food, Sarapan, Makan Siang, Makan Malam, Murah, Halal, Family Friendly, Warung, Kuliner Lokal, Surabaya</t>
  </si>
  <si>
    <t>-7.295663, 112.759744</t>
  </si>
  <si>
    <t>https://www.google.com/maps/place/Kapulogo+-+Soto+Ayam+Kampung/data=!4m7!3m6!1s0x2dd7fb7fd65d0e37:0x501646c40f587536!8m2!3d-7.295663!4d112.759744!16s%2Fg%2F11kqtjczrw!19sChIJNw5d1n_71y0RNnVYD8RGFlA?authuser=0&amp;hl=zh-TW&amp;rclk=1</t>
  </si>
  <si>
    <t>Warung Nasi Bebek Tower Umik Sahar</t>
  </si>
  <si>
    <t>Warung nasi bebek yang terkenal dengan bebek goreng empuk dan sambal khas yang pedas nendang di Surabaya Barat.</t>
  </si>
  <si>
    <t>Nasi Bebek, Bebek Goreng, Sambal, Pedas, Kuliner Lokal, Warung, Comfort Food, Makan Siang, Murah, Terjangkau, Halal, Surabaya Barat</t>
  </si>
  <si>
    <t>-7.2522686, 112.7115343</t>
  </si>
  <si>
    <t>https://www.google.com/maps/place/Warung+Nasi+Bebek+Tower+Umik+Sahar/data=!4m7!3m6!1s0x2dd7feb467d5d815:0x8c6902543b7af977!8m2!3d-7.2522686!4d112.7115343!16s%2Fg%2F11clsvsyt7!19sChIJFdjVZ7T-1y0Rd_l6O1QCaYw?authuser=0&amp;hl=zh-TW&amp;rclk=1</t>
  </si>
  <si>
    <t>Nasi Bebek Pak Janggut - PTC Surabaya</t>
  </si>
  <si>
    <t>Warung nasi bebek yang berlokasi di kawasan Pakuwon Trade Center (PTC) Surabaya Barat.</t>
  </si>
  <si>
    <t>Nasi Bebek, Bebek Goreng, Sambal, Kuliner Lokal, Warung, Comfort Food, Mall, PTC, Makan Siang, Makan Malam, Halal, Surabaya Barat</t>
  </si>
  <si>
    <t>-7.2910512, 112.6736914</t>
  </si>
  <si>
    <t>https://www.google.com/maps/place/Nasi+Bebek+Pak+Janggut+-+PTC+Surabaya/data=!4m7!3m6!1s0x2dd7fd508c3afa09:0x2dc41e77d75b1b34!8m2!3d-7.2910512!4d112.6736914!16s%2Fg%2F11f612d5vv!19sChIJCfo6jFD91y0RNBtb13cexC0?authuser=0&amp;hl=zh-TW&amp;rclk=1</t>
  </si>
  <si>
    <t>Spesial Soto Boyolali (SSb) Hj. Hesti, Cabang Kenjeran, Kota Surabaya</t>
  </si>
  <si>
    <t>Cabang soto boyolali milik Hj. Hesti di kawasan Kenjeran Surabaya dengan rating sempurna.</t>
  </si>
  <si>
    <t>Soto Boyolali, Soto Seger, Kuliner Jawa Tengah, Comfort Food, Sarapan, Makan Siang, Murah, Halal, Family Friendly, Surabaya Timur, Kenjeran</t>
  </si>
  <si>
    <t>-7.2434796, 112.7630824</t>
  </si>
  <si>
    <t>https://www.google.com/maps/place/Spesial+Soto+Boyolali+%28SSb%29+Hj.+Hesti,+Cabang+Kenjeran,+Kota+Surabaya/data=!4m7!3m6!1s0x2dd7f90054223a31:0x768f113b5b6908c7!8m2!3d-7.2434796!4d112.7630824!16s%2Fg%2F11zbh0bsvk!19sChIJMToiVAD51y0RxwhpWzsRj3Y?authuser=0&amp;hl=zh-TW&amp;rclk=1</t>
  </si>
  <si>
    <t>Kebun Binatang Surabaya / Surabaya Zoo</t>
  </si>
  <si>
    <t>Kebun binatang tertua dan terbesar di Asia Tenggara yang didirikan pada tahun 1916.</t>
  </si>
  <si>
    <t>Kebun Binatang, Zoo, Wisata Satwa, Edukasi, Family Friendly, Kids Friendly, Surabaya Selatan, Landmark Surabaya, Wisata Alam, Outdoor, Rekreasi, Konservasi Satwa</t>
  </si>
  <si>
    <t>-7.2961959, 112.7366553</t>
  </si>
  <si>
    <t>https://www.google.com/maps/place/%E6%B3%97%E6%B0%B4%E5%8B%95%E7%89%A9%E5%9C%92/data=!4m7!3m6!1s0x2dd7fb97917c2fad:0x21b1122d5fe174cc!8m2!3d-7.2961959!4d112.7366553!16s%2Fm%2F0j51vc7!19sChIJrS98kZf71y0RzHThXy0SsSE?authuser=0&amp;hl=zh-TW&amp;rclk=1</t>
  </si>
  <si>
    <t>Museum Dr. Soetomo Surabaya</t>
  </si>
  <si>
    <t>Museum yang mengabadikan perjuangan dan warisan tokoh nasional Dr. Soetomo, pendiri Budi Utomo.</t>
  </si>
  <si>
    <t>Museum, Sejarah, Dr. Soetomo, Pahlawan Nasional, Budi Utomo, Edukasi, Cagar Budaya, Wisata Sejarah, Indoor, Family Friendly, Surabaya Pusat</t>
  </si>
  <si>
    <t>-7.2507478, 112.7354098</t>
  </si>
  <si>
    <t>https://www.google.com/maps/place/Museum+Dr.+Soetomo/data=!4m7!3m6!1s0x2dd7f9410727e011:0x544b9a3d7ee4bfc9!8m2!3d-7.2507478!4d112.7354098!16s%2Fg%2F1hc94p_jk!19sChIJEeAnB0H51y0Ryb_kfj2aS1Q?authuser=0&amp;hl=zh-TW&amp;rclk=1</t>
  </si>
  <si>
    <t>Bakso Pak Djes</t>
  </si>
  <si>
    <t>Warung bakso populer di kawasan Surabaya Barat yang telah memiliki banyak pelanggan setia.</t>
  </si>
  <si>
    <t>Bakso, Bakso Sapi, Pangsit, Mie, Kuliner Lokal, Murah, Terjangkau, Warung, Comfort Food, Makan Siang, Halal, Surabaya Barat</t>
  </si>
  <si>
    <t>Senin-Sabtu</t>
  </si>
  <si>
    <t>-7.2728828, 112.6944726</t>
  </si>
  <si>
    <t>https://www.google.com/maps/place/Bakso+Pak+Djes/data=!4m7!3m6!1s0x2dd7fc1ee24f627b:0x1489110b1a4d2f12!8m2!3d-7.2728828!4d112.6944726!16s%2Fg%2F11dfj11p4d!19sChIJe2JP4h781y0REi9NGgsRiRQ?authuser=0&amp;hl=zh-TW&amp;rclk=1</t>
  </si>
  <si>
    <t>Warung Nasi Campur Kanwa</t>
  </si>
  <si>
    <t>Warung nasi campur yang menyajikan aneka lauk pauk pilihan khas Jawa Timur.</t>
  </si>
  <si>
    <t>Nasi Campur, Lauk Pauk, Kuliner Jawa Timur, Murah, Terjangkau, Warung, Comfort Food, Sarapan, Makan Siang, Makan Malam, Halal, Surabaya</t>
  </si>
  <si>
    <t>-7.284419, 112.731153</t>
  </si>
  <si>
    <t>https://www.google.com/maps/place/Warung+Nasi+Campur+Kanwa/data=!4m7!3m6!1s0x2dd7fbec44b5bd9b:0xd9078293ee7537f8!8m2!3d-7.284419!4d112.731153!16s%2Fg%2F1hm3yljx0!19sChIJm721ROz71y0R-Dd17pOCB9k?authuser=0&amp;hl=zh-TW&amp;rclk=1</t>
  </si>
  <si>
    <t>Wisata Perahu Kalimas</t>
  </si>
  <si>
    <t>Wisata ikonik menyusuri Sungai Kalimas dengan perahu sambil menikmati pemandangan kota Surabaya.</t>
  </si>
  <si>
    <t>Wisata Air, Perahu, Susur Sungai, Sungai Kalimas, Outdoor, City View, Night View, Sunset Spot, Instagramable, Family Friendly, Couple Friendly, Murah, Santai, Healing, Surabaya Pusat</t>
  </si>
  <si>
    <t>-7.2622764, 112.7410606</t>
  </si>
  <si>
    <t>-7,2622764</t>
  </si>
  <si>
    <t>112,7410606</t>
  </si>
  <si>
    <t>https://www.google.com/maps/place/Kalimas+Boat+Tour/data=!4m7!3m6!1s0x2dd7f9b444e7c3e7:0x3edf6db2144b5416!8m2!3d-7.2622758!4d112.743619!16s%2Fg%2F11tp6c2d8w!19sChIJ58PnRLT51y0RFlRLFLJt3z4?authuser=0&amp;hl=zh-TW&amp;rclk=1</t>
  </si>
  <si>
    <t>Brew and Else Coffee</t>
  </si>
  <si>
    <t>Cabang coffee shop ternama asal PIK Jakarta yang hadir di Citraland Surabaya Barat.</t>
  </si>
  <si>
    <t>Coffee Shop, Specialty Coffee, Modern, Aesthetic, Instagramable, Cozy, Asian Fusion, Pastry, Hangout, Family Friendly, Surabaya Barat, Citraland, Premium, WFC</t>
  </si>
  <si>
    <t>-7.297305893590994, 112.65865857790978</t>
  </si>
  <si>
    <t>-7,297305893590994</t>
  </si>
  <si>
    <t>112,65865857790978</t>
  </si>
  <si>
    <t>https://www.google.com/maps/place/Brew+and+Else+Coffee/data=!4m2!3m1!1s0x2dd7fdabd5e5f719:0x9cd496f4fdbff681?sa=X&amp;ved=1t:242&amp;ictx=111</t>
  </si>
  <si>
    <t>Rawon Bu Hadi</t>
  </si>
  <si>
    <t>Warung rawon legendaris yang telah lama menjadi favorit warga Surabaya.</t>
  </si>
  <si>
    <t>Rawon, Rawon Sapi, Kuliner Legendaris, Khas Surabaya, Comfort Food, Sarapan, Makan Siang, Murah, Halal, Warung, Surabaya Timur</t>
  </si>
  <si>
    <t>-7.2737326, 112.7843644</t>
  </si>
  <si>
    <t>https://www.google.com/maps/place/Rawon+Bu+Hadi/data=!4m7!3m6!1s0x2dd7fbf09ce60e7d:0xefe7ab8dd44375bd!8m2!3d-7.2737326!4d112.7843644!16s%2Fg%2F1hm5xs09m!19sChIJfQ7mnPD71y0RvXVD1I2r5-8?authuser=0&amp;hl=zh-TW&amp;rclk=1</t>
  </si>
  <si>
    <t>Sing Kei Yat</t>
  </si>
  <si>
    <t>Restoran Chinese food dengan rating tertinggi di kawasan Surabaya Barat.</t>
  </si>
  <si>
    <t>Chinese Food, Masakan Tionghoa, Dim Sum, Bebek Peking, Seafood, Family Friendly, Makan Pagi, Makan Siang, Makan Malam, Premium, Surabaya Barat</t>
  </si>
  <si>
    <t>-7.2914282, 112.6549355</t>
  </si>
  <si>
    <t>https://www.google.com/maps/place/Sing+Kei+Yat/data=!4m7!3m6!1s0x2dd7fd6577b5a83d:0x822d3143bfbfb7c9!8m2!3d-7.2914282!4d112.6549355!16s%2Fg%2F11s0wgmdvs!19sChIJPai1d2X91y0Rybe_v0MxLYI?authuser=0&amp;hl=zh-TW&amp;rclk=1</t>
  </si>
  <si>
    <t>Soto Ayam Kampung Cak Mu'in</t>
  </si>
  <si>
    <t>Warung soto ayam kampung yang populer di Surabaya dengan jam operasional panjang hingga hampir tengah malam.</t>
  </si>
  <si>
    <t>Soto Ayam, Soto Ayam Kampung, Ayam Kampung, Kuliner Tradisional, Comfort Food, Buka Larut, Murah, Halal, Surabaya Timur</t>
  </si>
  <si>
    <t>-7.290009, 112.775101</t>
  </si>
  <si>
    <t>https://www.google.com/maps/place/Soto+Ayam+Kampung+Cak+Mu%27in/data=!4m7!3m6!1s0x2dd7fa4603e92ec9:0x5547093a92cc30c6!8m2!3d-7.290009!4d112.775101!16s%2Fg%2F11b6szyczd!19sChIJyS7pA0b61y0RxjDMkjoJR1U?authuser=0&amp;hl=zh-TW&amp;rclk=1</t>
  </si>
  <si>
    <t>Tempe Penyet DORES</t>
  </si>
  <si>
    <t>Warung tempe penyet yang buka mulai sore hingga dini hari.</t>
  </si>
  <si>
    <t>Tempe Penyet, Sambal Bawang, Kuliner Lokal, Murah, Terjangkau, Warung, Comfort Food, Makan Malam, Buka Malam, Halal, Surabaya Utara</t>
  </si>
  <si>
    <t>-7.2328677, 112.7690297</t>
  </si>
  <si>
    <t>https://www.google.com/maps/place/Tempe+Penyet+DORES/data=!4m7!3m6!1s0x2dd7f9af2a7deb7b:0xff9e9e6e7a7063b5!8m2!3d-7.2328677!4d112.7690297!16s%2Fg%2F11g7z688qz!19sChIJe-t9Kq_51y0RtWNwem6env8?authuser=0&amp;hl=zh-TW&amp;rclk=1</t>
  </si>
  <si>
    <t>Sate "Sinar Jaya" Dharmawangsa</t>
  </si>
  <si>
    <t>Rumah makan sate legendaris di kawasan Dharmawangsa Surabaya.</t>
  </si>
  <si>
    <t>Sate, Sate Ayam, Sate Kambing, Bumbu Kacang, Kuliner Legendaris, Comfort Food, Makan Siang, Makan Malam, Family Friendly, Halal, Surabaya</t>
  </si>
  <si>
    <t>-7.2694312, 112.7561374</t>
  </si>
  <si>
    <t>https://www.google.com/maps/place/Sate+%22Sinar+Jaya%22/data=!4m7!3m6!1s0x2dd7fbd3954927b1:0xaab77c6433185934!8m2!3d-7.2694312!4d112.7561374!16s%2Fg%2F11cjh_xfww!19sChIJsSdJldP71y0RNFkYM2R8t6o?authuser=0&amp;hl=zh-TW&amp;rclk=1</t>
  </si>
  <si>
    <t>Bakso Cak Salam</t>
  </si>
  <si>
    <t>Warung bakso di Surabaya Timur dengan cita rasa yang digemari pelanggan setia.</t>
  </si>
  <si>
    <t>Bakso, Bakso Sapi, Pangsit, Mie, Kuliner Lokal, Murah, Terjangkau, Warung, Comfort Food, Makan Siang, Makan Malam, Halal, Surabaya Timur</t>
  </si>
  <si>
    <t>-7.2602468, 112.7747509</t>
  </si>
  <si>
    <t>https://www.google.com/maps/place/Bakso+Cak+Salam/data=!4m7!3m6!1s0x2dd7f986001053b3:0x3f8133bdf226f257!8m2!3d-7.2602468!4d112.7747509!16s%2Fg%2F11b6dcwxnl!19sChIJs1MQAIb51y0RV_Im8r0zgT8?authuser=0&amp;hl=zh-TW&amp;rclk=1</t>
  </si>
  <si>
    <t>Bebek Goreng Mesra Surabaya</t>
  </si>
  <si>
    <t>Warung bebek goreng di Surabaya Timur dengan jam operasional pagi hingga sore.</t>
  </si>
  <si>
    <t>Bebek Goreng, Nasi Bebek, Sambal, Pedas, Kuliner Lokal, Warung, Comfort Food, Sarapan, Makan Siang, Murah, Halal, Surabaya Timur</t>
  </si>
  <si>
    <t>-7.2881729, 112.8147329</t>
  </si>
  <si>
    <t>https://www.google.com/maps/place/Bebek+Goreng+Mesra+Surabaya/data=!4m7!3m6!1s0x2dd7f112486f216d:0x19cef406c87619a!8m2!3d-7.2881729!4d112.8147329!16s%2Fg%2F11j11dnr6b!19sChIJbSFvSBLx1y0RmmGHbEDvnAE?authuser=0&amp;hl=zh-TW&amp;rclk=1</t>
  </si>
  <si>
    <t>Sentra Wisata Kuliner Bratang Binangun</t>
  </si>
  <si>
    <t>Pusat wisata kuliner di kawasan Bratang Surabaya.</t>
  </si>
  <si>
    <t>Sentra Kuliner, Food Court, Kuliner Murah, Terjangkau, Beragam Pilihan, Family Friendly, Sarapan, Makan Siang, Makan Malam, Surabaya Timur</t>
  </si>
  <si>
    <t>-7.297318, 112.760383</t>
  </si>
  <si>
    <t>https://www.google.com/maps/place/Sentra+Wisata+Kuliner+Bratang+Binangun/data=!4m7!3m6!1s0x2dd7fbad7223083d:0xad919c035d6d60df!8m2!3d-7.297318!4d112.760383!16s%2Fg%2F11cmxv7xqz!19sChIJPQgjcq371y0R32BtXQOcka0?authuser=0&amp;hl=zh-TW&amp;rclk=1</t>
  </si>
  <si>
    <t>Bakso Solo Goyang Lidah (GOLI)</t>
  </si>
  <si>
    <t>Warung bakso khas Solo yang hadir di Surabaya dengan cita rasa autentik.</t>
  </si>
  <si>
    <t>Bakso, Bakso Solo, Kuliner Solo, Comfort Food, Murah, Terjangkau, Warung, Makan Siang, Makan Malam, Halal, Surabaya Timur</t>
  </si>
  <si>
    <t>-7.3000866, 112.7740735</t>
  </si>
  <si>
    <t>https://www.google.com/maps/place/Bakso+Solo+Goyang+Lidah/data=!4m7!3m6!1s0x2dd7fa50ae1c19e3:0xe857f02e4a2418fe!8m2!3d-7.3000866!4d112.7740735!16s%2Fg%2F11cn0mfl_t!19sChIJ4xkcrlD61y0R_hgkSi7wV-g?authuser=0&amp;hl=zh-TW&amp;rclk=1</t>
  </si>
  <si>
    <t>Brain Coffee Surabaya</t>
  </si>
  <si>
    <t>Kafe kopi dengan suasana cocok untuk bekerja dan belajar, menggabungkan kenyamanan kafe dengan produktivitas.</t>
  </si>
  <si>
    <t>Kafe, Coffee Shop, Work From Cafe, WFC, Study Cafe, Produktif, Nongkrong, Hangout, Aesthetic, Cozy, Instagramable, Kopi, Makanan Ringan, Affordable, Indoor, Mahasiswa, Surabaya Pusat</t>
  </si>
  <si>
    <t>-7.302823534216228, 112.73201107979453</t>
  </si>
  <si>
    <t>https://www.google.com/maps/place/Brain+Coffee+Surabaya/data=!4m2!3m1!1s0x2dd7fbe4a7ffdb87:0x8a817c8c06e14e25?sa=X&amp;ved=1t:242&amp;ictx=111</t>
  </si>
  <si>
    <t>RAWON GREGET</t>
  </si>
  <si>
    <t>Warung rawon di Surabaya Utara dengan cita rasa greget (kuat dan bertenaga).</t>
  </si>
  <si>
    <t>Rawon, Rawon Sapi, Kuliner Jawa Timur, Khas Surabaya, Comfort Food, Sarapan, Makan Siang, Murah, Halal, Surabaya Utara</t>
  </si>
  <si>
    <t>-7.2404722, 112.7487752</t>
  </si>
  <si>
    <t>https://www.google.com/maps/place/RAWON+GREGET/data=!4m7!3m6!1s0x2dd7f94ed14413b7:0x8e109580ff30928!8m2!3d-7.2404722!4d112.7487752!16s%2Fg%2F11h_bxhykm!19sChIJtxNE0U751y0RKAnzD1gJ4Qg?authuser=0&amp;hl=zh-TW&amp;rclk=1</t>
  </si>
  <si>
    <t>Bakso Super Pak De</t>
  </si>
  <si>
    <t>Warung bakso dengan rating sangat tinggi di kawasan Surabaya Barat.</t>
  </si>
  <si>
    <t>Bakso, Bakso Super, Bakso Besar, Kuliner Lokal, Murah, Terjangkau, Warung, Comfort Food, Makan Siang, Makan Malam, Halal, Surabaya Barat</t>
  </si>
  <si>
    <t>-7.2907828, 112.6740784</t>
  </si>
  <si>
    <t>https://www.google.com/maps/place/Bakso+Super+Pak+De/data=!4m7!3m6!1s0x2dd7fc49fd0602dd:0x79ebda6ffa967750!8m2!3d-7.2907828!4d112.6740784!16s%2Fg%2F11cn691136!19sChIJ3QIG_Un81y0RUHeW-m_a63k?authuser=0&amp;hl=zh-TW&amp;rclk=1</t>
  </si>
  <si>
    <t>Taman Buah Undaan</t>
  </si>
  <si>
    <t>Taman kota tematik dengan berbagai tanaman buah tropis di kawasan Undaan Surabaya Pusat.</t>
  </si>
  <si>
    <t>Taman Kota, Taman Buah, Ruang Terbuka Hijau, Edukasi, Outdoor, Family Friendly, Kids Friendly, Wisata Gratis, Surabaya Pusat</t>
  </si>
  <si>
    <t>-7.255299, 112.7432214</t>
  </si>
  <si>
    <t>https://www.google.com/maps/place/Taman+Buah+Undaan/data=!4m7!3m6!1s0x2dd7f968ebee6195:0xfcccf4b68a659912!8m2!3d-7.255299!4d112.7432214!16s%2Fg%2F11g69hqw9z!19sChIJlWHu62j51y0REpllirb0zPw?authuser=0&amp;hl=zh-TW&amp;rclk=1</t>
  </si>
  <si>
    <t>Penyetan Artomoro Surabaya</t>
  </si>
  <si>
    <t>Warung penyetan dengan rating sempurna di kawasan Surabaya Timur.</t>
  </si>
  <si>
    <t>Penyetan, Ayam Penyet, Tempe Penyet, Tahu Penyet, Lele Penyet, Sambal Bawang, Kuliner Jawa Timur, Murah, Surabaya Timur</t>
  </si>
  <si>
    <t>-7.2682919, 112.7711725</t>
  </si>
  <si>
    <t>https://www.google.com/maps/place/Penyetan+Artomoro+Surabaya/data=!4m7!3m6!1s0x2dd7fb22808b07ff:0xc01e95964c9b46e9!8m2!3d-7.2682919!4d112.7711725!16s%2Fg%2F11xmjrx50g!19sChIJ_weLgCL71y0R6UabTJaVHsA?authuser=0&amp;hl=zh-TW&amp;rclk=1</t>
  </si>
  <si>
    <t>Tous Les Jours Cafe - Kartini Surabaya</t>
  </si>
  <si>
    <t>Kafe bakeri Korean-style di kawasan Kartini Surabaya.</t>
  </si>
  <si>
    <t>Bakery, Korean Bakery, Pastry, Kue, Roti, Kafe, Coffee Shop, Sarapan, Brunch, Cozy, Modern, Aesthetic, Surabaya Pusat, Halal</t>
  </si>
  <si>
    <t>-7.278275, 112.7314453</t>
  </si>
  <si>
    <t>https://www.google.com/maps/place/Tous+Les+Jours+Cafe+-+Kartini+Surabaya/data=!4m7!3m6!1s0x2dd7fb00144393f5:0xad1e2318244c1495!8m2!3d-7.278275!4d112.7314453!16s%2Fg%2F11yrv05bs6!19sChIJ9ZNDFAD71y0RlRRMJBgjHq0?authuser=0&amp;hl=zh-TW&amp;rclk=1</t>
  </si>
  <si>
    <t>Djaman Doeloe Resto &amp; Bar</t>
  </si>
  <si>
    <t>Restoran bergaya tempo doeloe dengan konsep nostalgia era kolonial.</t>
  </si>
  <si>
    <t>Restoran, Vintage, Tempo Doeloe, Nostalgia, Kolonial, Masakan Indonesia, Western, Fusion Food, Aesthetic, Instagramable, Surabaya Barat</t>
  </si>
  <si>
    <t>-7.2886365, 112.6763465</t>
  </si>
  <si>
    <t>https://www.google.com/maps/place/Djaman+Doeloe+Resto+%26+Bar/data=!4m7!3m6!1s0x2dd7fd4d7e7f695d:0x95a7ad65a78a1d15!8m2!3d-7.2886365!4d112.6763465!16s%2Fg%2F11fs03x7yx!19sChIJXWl_fk391y0RFR2Kp2Wtp5U?authuser=0&amp;hl=zh-TW&amp;rclk=1</t>
  </si>
  <si>
    <t>Pecel &amp; Rawon Mbok Denok - Tunjungan</t>
  </si>
  <si>
    <t>Warung malam yang menyajikan pecel dan rawon di kawasan Tunjungan Surabaya Pusat.</t>
  </si>
  <si>
    <t>Pecel, Rawon, Kuliner Jawa Timur, Kuliner Malam, Buka Malam, Makan Malam, Murah, Halal, Surabaya Pusat</t>
  </si>
  <si>
    <t>-7.2596372, 112.7392767</t>
  </si>
  <si>
    <t>https://www.google.com/maps/place/Pecel+%26+Rawon+Mbok+Denok+-+Tunjungan/data=!4m7!3m6!1s0x2dd7f900756d1017:0x65c6142821b4f4b9!8m2!3d-7.2596372!4d112.7392767!16s%2Fg%2F11w_lxhstj!19sChIJFxBtdQD51y0RufS0ISgUxmU?authuser=0&amp;hl=zh-TW&amp;rclk=1</t>
  </si>
  <si>
    <t>Cafe Teko - Menanggal</t>
  </si>
  <si>
    <t>Tempat nongkrong santai dengan suasana simpel dan homey di kawasan Menanggal Surabaya Selatan.</t>
  </si>
  <si>
    <t>Kafe, Coffee Shop, Minuman Panas, Smoothie, Camilan, Nongkrong, Santai, Cozy, Homey, Hangout, WFC, Surabaya Selatan</t>
  </si>
  <si>
    <t>-7.3423267, 112.724097</t>
  </si>
  <si>
    <t>https://www.google.com/maps/place/Cafe+Teko+-+Menanggal/data=!4m7!3m6!1s0x2dd7fba292ae7755:0x9573375d6799d06d!8m2!3d-7.3423267!4d112.724097!16s%2Fg%2F11j7f_g4zp!19sChIJVXeukqL71y0RbdCZZ103c5U?authuser=0&amp;hl=zh-TW&amp;rclk=1</t>
  </si>
  <si>
    <t>Wisata Taman Gazebo Bambu</t>
  </si>
  <si>
    <t>Taman kota dengan gazebo-gazebo dari bambu alami di Surabaya Timur.</t>
  </si>
  <si>
    <t>Taman Kota, Gazebo Bambu, Outdoor, Ruang Terbuka Hijau, Sejuk, Alami, Healing, Santai, Family Friendly, Wisata Gratis, Surabaya Timur</t>
  </si>
  <si>
    <t>-7.2945069, 112.8026249</t>
  </si>
  <si>
    <t>https://www.google.com/maps/place/Wisata+Taman+Gazebo+Bambu/data=!4m7!3m6!1s0x2dd7fa7a71c08b6b:0xcb0fdd5efeaad1b9!8m2!3d-7.2945069!4d112.8026249!16s%2Fg%2F11f0kvg8bk!19sChIJa4vAcXr61y0RudGq_l7dD8s?authuser=0&amp;hl=zh-TW&amp;rclk=1</t>
  </si>
  <si>
    <t>Museum Pendidikan Surabaya</t>
  </si>
  <si>
    <t>Museum yang menampilkan sejarah perkembangan pendidikan di Indonesia dari masa kolonial hingga kemerdekaan.</t>
  </si>
  <si>
    <t>Museum, Pendidikan, Sejarah Pendidikan, Edukasi, Koleksi Antik, Surabaya Pusat, Indoor, Family Friendly, Kids Friendly, Heritage</t>
  </si>
  <si>
    <t>-7.255781459329056, 112.74302300459229</t>
  </si>
  <si>
    <t>-7,255781459329056</t>
  </si>
  <si>
    <t>112,74302300459229</t>
  </si>
  <si>
    <t>Rawon Nguling</t>
  </si>
  <si>
    <t>Rumah makan rawon dengan resep asli dari Nguling, Pasuruan.</t>
  </si>
  <si>
    <t>Rawon, Rawon Nguling, Kuliner Jawa Timur, Khas Pasuruan, Comfort Food, Sarapan, Makan Siang, Makan Malam, Halal, Surabaya Pusat</t>
  </si>
  <si>
    <t>-7.291566, 112.7339316</t>
  </si>
  <si>
    <t>https://www.google.com/maps/place/Rumah+Makan+Rawon+Nguling/data=!4m7!3m6!1s0x2dd7fb9411f0620f:0x937f39a40ddde314!8m2!3d-7.291566!4d112.7339316!16s%2Fg%2F1jkz4lkp0!19sChIJD2LwEZT71y0RFOPdDaQ5f5M?authuser=0&amp;hl=zh-TW&amp;rclk=1</t>
  </si>
  <si>
    <t>PANGSIT MIE AYAM JAKARTA "CAK SUR"</t>
  </si>
  <si>
    <t>Warung mie ayam pangsit bergaya Jakarta yang dikelola Cak Sur.</t>
  </si>
  <si>
    <t>Mie Ayam, Pangsit, Mie Ayam Jakarta, Murah, Terjangkau, Makan Siang, Makan Malam, Warung, Comfort Food, Halal, Surabaya Timur</t>
  </si>
  <si>
    <t>-7.2749618, 112.7626265</t>
  </si>
  <si>
    <t>https://www.google.com/maps/place/PANGSIT+MIE+AYAM+JAKARTA+%22CAK+SUR%22/data=!4m7!3m6!1s0x2dd7fbd2b482fc57:0x9691cd0ca54fae57!8m2!3d-7.2749618!4d112.7626265!16s%2Fg%2F11c5h_nhch!19sChIJV_yCtNL71y0RV65PpQzNkZY?authuser=0&amp;hl=zh-TW&amp;rclk=1</t>
  </si>
  <si>
    <t>Vibe Restaurant</t>
  </si>
  <si>
    <t>Restoran premium di kawasan Surabaya Timur dekat pantai dengan pemandangan yang memukau.</t>
  </si>
  <si>
    <t>Restoran, Premium, Fine Dining, Sarapan, Brunch, Makan Malam, Modern, Elegant, Surabaya Timur, Couple Friendly</t>
  </si>
  <si>
    <t>-7.2756043, 112.8042503</t>
  </si>
  <si>
    <t>https://www.google.com/maps/place/Vibe+Restaurant/data=!4m7!3m6!1s0x2dd7fb1b86181527:0xf5b8e445755ba65f!8m2!3d-7.2756043!4d112.8042503!16s%2Fg%2F11xn8v5yb2!19sChIJJxUYhhv71y0RX6ZbdUXkuPU?authuser=0&amp;hl=zh-TW&amp;rclk=1</t>
  </si>
  <si>
    <t>Kwasong Cafe</t>
  </si>
  <si>
    <t>Kafe dengan konsep unik di kawasan Surabaya Barat dengan suasana cozy dan hangat.</t>
  </si>
  <si>
    <t>Kafe, Coffee Shop, Cozy, Hangout, WFC, Work From Cafe, Kopi, Sarapan, Surabaya Barat</t>
  </si>
  <si>
    <t>-7.283174, 112.6581025</t>
  </si>
  <si>
    <t>https://www.google.com/maps/place/Kwasong+Cafe/data=!4m7!3m6!1s0x2dd7f9cbf04c640b:0x6a174f878cdc8569!8m2!3d-7.283174!4d112.6581025!16s%2Fg%2F11pdrtf3gz!19sChIJC2RM8Mv51y0RaYXcjIdPF2o?authuser=0&amp;hl=zh-TW&amp;rclk=1</t>
  </si>
  <si>
    <t>Rawon Kalkulator</t>
  </si>
  <si>
    <t>Rawon legendaris di Surabaya yang dikenal karena buka hampir 24 jam.</t>
  </si>
  <si>
    <t>Rawon, Rawon Legendaris, Buka 24 Jam, Kuliner Malam, Khas Surabaya, Comfort Food, Murah, Halal, Surabaya Pusat</t>
  </si>
  <si>
    <t>-7.2918496, 112.7401047</t>
  </si>
  <si>
    <t>https://www.google.com/maps/place/Rawon+Kalkulator/data=!4m7!3m6!1s0x2dd7fbbe23d5a7e1:0xd3486fa5af94b650!8m2!3d-7.2918496!4d112.7401047!16s%2Fg%2F1pzrq3qkb!19sChIJ4afVI7771y0RULaUr6VvSNM?authuser=0&amp;hl=zh-TW&amp;rclk=1</t>
  </si>
  <si>
    <t>Kafe Bromo</t>
  </si>
  <si>
    <t>Restoran all-day dining mewah di dalam Sheraton Surabaya Hotel.</t>
  </si>
  <si>
    <t>Restoran Hotel, Sheraton, Mewah, Premium, Fine Dining, Masakan Internasional, Sushi, Seafood, Business Meeting, Surabaya Pusat, Bintang Lima</t>
  </si>
  <si>
    <t>-7.262976, 112.7380948</t>
  </si>
  <si>
    <t>https://www.google.com/maps/place/Kafe+Bromo/data=!4m7!3m6!1s0x2dd7f95de34fc8fd:0x839ba953e7c613c0!8m2!3d-7.262976!4d112.7380948!16s%2Fg%2F11cfbkq9t!19sChIJ_chP41351y0RwBPG51Opm4M?authuser=0&amp;hl=zh-TW&amp;rclk=1</t>
  </si>
  <si>
    <t>Bakso FAKHRI</t>
  </si>
  <si>
    <t>Warung bakso di Surabaya Selatan dengan jam operasional siang hingga malam.</t>
  </si>
  <si>
    <t>Bakso, Bakso Sapi, Kuliner Lokal, Murah, Terjangkau, Warung, Comfort Food, Makan Siang, Makan Malam, Halal, Surabaya Selatan</t>
  </si>
  <si>
    <t>-7.3033703, 112.7498347</t>
  </si>
  <si>
    <t>https://www.google.com/maps/place/Bakso+FAKHRI/data=!4m7!3m6!1s0x2dd7fb77e82380f1:0x7f9ca3604b09720a!8m2!3d-7.3033703!4d112.7498347!16s%2Fg%2F11ddwzb3x3!19sChIJ8YAj6Hf71y0RCnIJS2CjnH8?authuser=0&amp;hl=zh-TW&amp;rclk=1</t>
  </si>
  <si>
    <t>Soto Madura Gubeng Pojok Asli</t>
  </si>
  <si>
    <t>Warung soto Madura legendaris di kawasan Gubeng Surabaya.</t>
  </si>
  <si>
    <t>Soto Madura, Kuliner Madura, Kuliner Legendaris, Comfort Food, Sarapan, Makan Siang, Murah, Halal, Surabaya Pusat, Gubeng</t>
  </si>
  <si>
    <t>-7.253800034633067, 112.75172497174862</t>
  </si>
  <si>
    <t>https://www.google.com/maps/place/Soto+Madura+Gubeng+Pojok+Asli/data=!4m7!3m6!1s0x2dd7fbda2cc55f43:0x29c3881d8e2ee00f!8m2!3d-7.2722468!4d112.7479611!16s%2Fg%2F11b6bw_wyj!19sChIJQ1_FLNr71y0RD-Aujh2Iwyk?authuser=0&amp;hl=zh-TW&amp;rclk=1</t>
  </si>
  <si>
    <t>Aneka Penyetan Cak Mat</t>
  </si>
  <si>
    <t>Warung penyetan yang buka 24 jam nonstop di Surabaya Timur.</t>
  </si>
  <si>
    <t>Penyetan, Ayam Penyet, Lele Penyet, Sambal, Kuliner Jawa Timur, Buka 24 Jam, Murah, Terjangkau, Warung, Halal, Surabaya Timur</t>
  </si>
  <si>
    <t>-7.287597, 112.7636441</t>
  </si>
  <si>
    <t>https://www.google.com/maps/place/Aneka+Penyetan+Cak+Mat/data=!4m7!3m6!1s0x2dd7fa4acf5e8b43:0x75ca83b5e63d97ba!8m2!3d-7.287597!4d112.7636441!16s%2Fg%2F11f5hds2fw!19sChIJQ4tez0r61y0Rupc95rWDynU?authuser=0&amp;hl=zh-TW&amp;rclk=1</t>
  </si>
  <si>
    <t>Warung Joyo Spesial Rawon &amp; Krengsengan</t>
  </si>
  <si>
    <t>Warung spesialisasi rawon dan krengsengan daging di Surabaya Pusat.</t>
  </si>
  <si>
    <t>Rawon, Krengsengan, Kuliner Jawa Timur, Khas Surabaya, Comfort Food, Makan Siang, Makan Malam, Murah, Halal, Surabaya Pusat</t>
  </si>
  <si>
    <t>-7.2600551, 112.7371985</t>
  </si>
  <si>
    <t>https://www.google.com/maps/place/Warung+Joyo+Spesial+Rawon+%26+Krengsengan/data=!4m7!3m6!1s0x2dd7f95da8a69f0d:0x6ffd729e2d669d1f!8m2!3d-7.2600551!4d112.7371985!16s%2Fg%2F11gfjs4yk5!19sChIJDZ-mqF351y0RH51mLZ5y_W8?authuser=0&amp;hl=zh-TW&amp;rclk=1</t>
  </si>
  <si>
    <t>Depot Bebek Tiga Putri</t>
  </si>
  <si>
    <t>Depot bebek populer di Surabaya Selatan dengan bebek goreng dan bebek betutu.</t>
  </si>
  <si>
    <t>Bebek Goreng, Bebek Betutu, Nasi Bebek, Sambal, Kuliner Lokal, Depot, Makan Siang, Makan Malam, Halal, Surabaya Selatan</t>
  </si>
  <si>
    <t>-7.3276464, 112.733565</t>
  </si>
  <si>
    <t>https://www.google.com/maps/place/Depot+Bebek+Tiga+Putri/data=!4m7!3m6!1s0x2dd7fb6a06e03881:0x62d54c3d8a5a72eb!8m2!3d-7.3276464!4d112.733565!16s%2Fg%2F11clsdlpq1!19sChIJgTjgBmr71y0R63Jaij1M1WI?authuser=0&amp;hl=zh-TW&amp;rclk=1</t>
  </si>
  <si>
    <t>Taman Krembangan</t>
  </si>
  <si>
    <t>Taman kota bersejarah di kawasan Krembangan Surabaya Utara.</t>
  </si>
  <si>
    <t>Taman Kota, Ruang Terbuka Hijau, Outdoor, Heritage, Kota Lama, Surabaya Utara, Sejarah Kota, Santai, Family Friendly, Wisata Gratis</t>
  </si>
  <si>
    <t>-7.2371504, 112.7343491</t>
  </si>
  <si>
    <t>https://www.google.com/maps/place/Taman+Krembangan/data=!4m7!3m6!1s0x2dd7f9234b2d9ccb:0x101a2921c6c11681!8m2!3d-7.2371504!4d112.7343491!16s%2Fg%2F11c6zw8jlv!19sChIJy5wtSyP51y0RgRbBxiEpGhA?authuser=0&amp;hl=zh-TW&amp;rclk=1</t>
  </si>
  <si>
    <t>Sentra Wisata Kuliner Siola</t>
  </si>
  <si>
    <t>Sentra kuliner di gedung bersejarah Siola Surabaya Pusat.</t>
  </si>
  <si>
    <t>Sentra Kuliner, Food Court, Kuliner Murah, Gedung Siola, Heritage, Bangunan Bersejarah, Surabaya Pusat, Family Friendly, Halal</t>
  </si>
  <si>
    <t>-7.2567686, 112.7376015</t>
  </si>
  <si>
    <t>https://www.google.com/maps/place/Sentra+Wisata+Kuliner+Siola/data=!4m7!3m6!1s0x2dd7f9dfcca59d89:0x6881dc0eb4303946!8m2!3d-7.2567686!4d112.7376015!16s%2Fg%2F11hr641hgv!19sChIJiZ2lzN_51y0RRjkwtA7cgWg?authuser=0&amp;hl=zh-TW&amp;rclk=1</t>
  </si>
  <si>
    <t>Rawon Nguling Kendangsari</t>
  </si>
  <si>
    <t>Resto ala rumahan menyajikan rawon khas Nguling Pasuruan di Surabaya Selatan.</t>
  </si>
  <si>
    <t>Rawon, Rawon Nguling, Kuliner Jawa Timur, Khas Pasuruan, Comfort Food, Masakan Rumahan, Halal, Warung Makan, Surabaya Selatan</t>
  </si>
  <si>
    <t>-7.329177, 112.7462533</t>
  </si>
  <si>
    <t>https://www.google.com/maps/place/Rawon+Nguling+Kendangsari/data=!4m7!3m6!1s0x2dd7fb3d2ea4c4f7:0x7dbf671e378fa4d7!8m2!3d-7.329177!4d112.7462533!16s%2Fg%2F1pzsjnpy3!19sChIJ98SkLj371y0R16SPNx5nv30?authuser=0&amp;hl=zh-TW&amp;rclk=1</t>
  </si>
  <si>
    <t>Hutan Cemara Mangrove</t>
  </si>
  <si>
    <t>Area hutan cemara dan mangrove alami di pesisir timur Surabaya.</t>
  </si>
  <si>
    <t>Hutan Mangrove, Hutan Cemara, Wisata Alam, Outdoor, Eco Tourism, Nature, Trekking, Fotografi Alam, Surabaya Timur, Healing</t>
  </si>
  <si>
    <t>-7.3077843, 112.8160651</t>
  </si>
  <si>
    <t>https://www.google.com/maps/place/Hutan+Cemara+Mangrove/data=!4m7!3m6!1s0x2dd7f10cde0dba6d:0x132ee8095e646d0b!8m2!3d-7.3077843!4d112.8160651!16s%2Fg%2F11k4ypr8pn!19sChIJbboN3gzx1y0RC21kXgnoLhM?authuser=0&amp;hl=zh-TW&amp;rclk=1</t>
  </si>
  <si>
    <t>Nasi Bebek Sambal Pencit Sambal Ijo Pak Umar 2</t>
  </si>
  <si>
    <t>Warung nasi bebek dengan sambal unik: sambal pencit (mangga muda) dan sambal ijo.</t>
  </si>
  <si>
    <t>Nasi Bebek, Bebek Goreng, Sambal Pencit, Sambal Ijo, Mangga Muda, Kuliner Unik, Pedas, Buka 24 Jam, Murah, Halal, Surabaya Selatan</t>
  </si>
  <si>
    <t>-7.3007829, 112.7373966</t>
  </si>
  <si>
    <t>https://www.google.com/maps/place/Nasi+Bebek+Sambal+Pencit+Sambal+Ijo+Pak+Umar+2/data=!4m7!3m6!1s0x2dd7fbd3c7efdc9f:0x7dea0216b0e8c332!8m2!3d-7.3007829!4d112.7373966!16s%2Fg%2F11xn60cpr7!19sChIJn9zvx9P71y0RMsPosBYC6n0?authuser=0&amp;hl=zh-TW&amp;rclk=1</t>
  </si>
  <si>
    <t>Taman Hutan Raya Pakal</t>
  </si>
  <si>
    <t>Kawasan hutan kota yang luas di Surabaya Barat.</t>
  </si>
  <si>
    <t>Hutan Kota, Taman Hutan Raya, Wisata Alam, Outdoor, Trekking, Jogging, Ruang Terbuka Hijau, Family Friendly, Surabaya Barat, Pakal</t>
  </si>
  <si>
    <t>-7.2352346, 112.6207765</t>
  </si>
  <si>
    <t>https://www.google.com/maps/place/Pakal+Forest+Park/data=!4m7!3m6!1s0x2dd7fe2a88d4904d:0x798cb8df8dcedfad!8m2!3d-7.2352346!4d112.6207765!16s%2Fg%2F11bw4lmmvz!19sChIJTZDUiCr-1y0Rrd_Ojd-4jHk?authuser=0&amp;hl=zh-TW&amp;rclk=1</t>
  </si>
  <si>
    <t>Kokkili Cafe</t>
  </si>
  <si>
    <t>Kafe dengan rating hampir sempurna di kawasan Surabaya Barat.</t>
  </si>
  <si>
    <t>Kafe, Coffee Shop, Specialty Coffee, Cozy, Homey, Hangout, WFC, Nongkrong, Aesthetic, Instagramable, Surabaya Barat</t>
  </si>
  <si>
    <t>-7.2873325, 112.655854</t>
  </si>
  <si>
    <t>https://www.google.com/maps/place/Kokkili+Cafe/data=!4m7!3m6!1s0x2dd7fd94a77ef4d7:0x797a6211d005c15e!8m2!3d-7.2873325!4d112.655854!16s%2Fg%2F11k58312j2!19sChIJ1_R-p5T91y0RXsEF0BFienk?authuser=0&amp;hl=zh-TW&amp;rclk=1</t>
  </si>
  <si>
    <t>Penyetan Songolas Ngagel Rejo</t>
  </si>
  <si>
    <t>Warung penyetan di kawasan Ngagel Rejo yang buka sore hingga malam.</t>
  </si>
  <si>
    <t>Penyetan, Ayam Penyet, Sambal, Kuliner Jawa Timur, Buka Sore, Makan Malam, Murah, Terjangkau, Warung, Halal, Surabaya Timur</t>
  </si>
  <si>
    <t>-7.2947962, 112.7461299</t>
  </si>
  <si>
    <t>https://www.google.com/maps/place/Penyetan+Songolas+Ngagel+Rejo/data=!4m7!3m6!1s0x2dd7fbbb738b6bb9:0x79239990ca332549!8m2!3d-7.2947962!4d112.7461299!16s%2Fg%2F11h9x3pn8j!19sChIJuWuLc7v71y0RSSUzypCZI3k?authuser=0&amp;hl=zh-TW&amp;rclk=1</t>
  </si>
  <si>
    <t>Warung Bu Warni Surabaya ( Nasi Petis-Specialist Cumi Hitam)</t>
  </si>
  <si>
    <t>Warung legendaris spesialis nasi petis dengan cumi hitam khas Surabaya, buka 24 jam.</t>
  </si>
  <si>
    <t>Nasi Petis, Cumi Hitam, Kuliner Khas Surabaya, Petis Udang, Empal, Kuliner Legendaris, Buka 24 Jam, Murah, Halal, Surabaya Timur</t>
  </si>
  <si>
    <t>-7.300215, 112.7729171</t>
  </si>
  <si>
    <t>https://www.google.com/maps/place/Warung+Bu+Warni+Surabaya+%28+Nasi+Petis-Specialist+Cumi+Hitam%29/data=!4m7!3m6!1s0x2dd7fb9041803d21:0x4e3fe8ae280d3d2d!8m2!3d-7.300215!4d112.7729171!16s%2Fg%2F11l_8pgj__!19sChIJIT2AQZD71y0RLT0NKK7oP04?authuser=0&amp;hl=zh-TW&amp;rclk=1</t>
  </si>
  <si>
    <t>Pangsit Mie Ayam Jakarta Pak No Ngagel</t>
  </si>
  <si>
    <t>Warung mie ayam pangsit bergaya Jakarta di kawasan Ngagel Surabaya.</t>
  </si>
  <si>
    <t>Mie Ayam, Pangsit, Mie Ayam Jakarta, Murah, Terjangkau, Sarapan, Makan Siang, Warung, Halal, Surabaya Timur, Ngagel</t>
  </si>
  <si>
    <t>-7.296698854655996, 112.74501279510677</t>
  </si>
  <si>
    <t>https://www.google.com/maps/place/Pangsit+Mie+Ayam+Jakarta+Pak+No/data=!4m7!3m6!1s0x2dd7fbca8b1802cb:0x632c24ec408011b4!8m2!3d-7.2861422!4d112.7601868!16s%2Fg%2F11b6bwpd_t!19sChIJywIYi8r71y0RtBGAQOwkLGM?authuser=0&amp;hl=zh-TW&amp;rclk=1</t>
  </si>
  <si>
    <t>Warung Rawon Pasar Kembang Bu Soepinah</t>
  </si>
  <si>
    <t>Warung rawon legendaris buka dari subuh hingga siang di kawasan Pasar Kembang Surabaya.</t>
  </si>
  <si>
    <t>Rawon, Rawon Legendaris, Khas Surabaya, Comfort Food, Sarapan, Buka Pagi, Subuh, Murah, Halal, Surabaya Pusat</t>
  </si>
  <si>
    <t>-7.2721005, 112.7279788</t>
  </si>
  <si>
    <t>https://www.google.com/maps/place/Rawon+Bu+Soepinah/data=!4m7!3m6!1s0x2dd7fbfcabf1f293:0x83c801626c4a0785!8m2!3d-7.2721005!4d112.7279788!16s%2Fg%2F1pzrhlpx0!19sChIJk_Lxq_z71y0RhQdKbGIByIM?authuser=0&amp;hl=zh-TW&amp;rclk=1</t>
  </si>
  <si>
    <t>Taman Apsari</t>
  </si>
  <si>
    <t>Taman kota bersejarah di pusat Surabaya yang menawarkan suasana hijau dan nyaman.</t>
  </si>
  <si>
    <t>Taman Kota, Outdoor, Ruang Terbuka Hijau, Sejarah, Heritage, City Park, Rindang, Santai, Healing, Family Friendly, Gratis, Landmark Surabaya</t>
  </si>
  <si>
    <t>-7.2637501, 112.7398928</t>
  </si>
  <si>
    <t>-7,2637501</t>
  </si>
  <si>
    <t>112,7398928</t>
  </si>
  <si>
    <t>https://www.google.com/maps/place/Apsari+Park/data=!4m7!3m6!1s0x2dd7f96110f3ae31:0xa8ae5d0ff49d3ece!8m2!3d-7.2637501!4d112.7428529!16s%2Fg%2F11csqvx0mp!19sChIJMa7zEGH51y0Rzj6d9A9drqg?authuser=0&amp;hl=zh-TW&amp;rclk=1</t>
  </si>
  <si>
    <t>SAS Cafe N Resto</t>
  </si>
  <si>
    <t>Tempat makan kasual dan terbuka dengan taman bermain anak yang luas di Surabaya Timur.</t>
  </si>
  <si>
    <t>Kafe, Restoran, Outdoor, Family Friendly, Kids Friendly, Taman Bermain Anak, Masakan Indonesia, Western, Makan Siang, Makan Malam, Surabaya Timur</t>
  </si>
  <si>
    <t>-7.2702897, 112.7986384</t>
  </si>
  <si>
    <t>https://www.google.com/maps/place/SAS+Cafe+N+Resto/data=!4m7!3m6!1s0x2dd7fa1b34a93411:0x3eb563bd94c331eb!8m2!3d-7.2702897!4d112.7986384!16s%2Fg%2F11g_yml87!19sChIJETSpNBv61y0R6zHDlL1jtT4?authuser=0&amp;hl=zh-TW&amp;rclk=1</t>
  </si>
  <si>
    <t>Aiola Eatery - Slamet</t>
  </si>
  <si>
    <t>Pujasera santai dengan kuliner Indonesia hingga Italia di Surabaya Pusat.</t>
  </si>
  <si>
    <t>Food Court, Pujasera, Kuliner Indonesia, Italian Food, Beragam Pilihan, Outdoor, Santai, Family Friendly, Makan Siang, Makan Malam, Surabaya Pusat</t>
  </si>
  <si>
    <t>-7.258743, 112.7502734</t>
  </si>
  <si>
    <t>https://www.google.com/maps/place/Aiola+Eatery+-+Slamet/data=!4m7!3m6!1s0x2dd7f9652618dd89:0x44d789bb4b69e7bf!8m2!3d-7.258743!4d112.7502734!16s%2Fg%2F11b69vppl0!19sChIJid0YJmX51y0Rv-dpS7uJ10Q?authuser=0&amp;hl=zh-TW&amp;rclk=1</t>
  </si>
  <si>
    <t>Spesial Soto Boyolali (SSb) Hj Hesti, Cabang Anjasmoro, Surabaya</t>
  </si>
  <si>
    <t>Cabang soto boyolali milik Hj. Hesti di kawasan Anjasmoro Surabaya Barat.</t>
  </si>
  <si>
    <t>Soto Boyolali, Soto Seger, Kuliner Jawa Tengah, Comfort Food, Sarapan, Makan Siang, Murah, Halal, Family Friendly, Surabaya Barat</t>
  </si>
  <si>
    <t>-7.2591037, 112.7304809</t>
  </si>
  <si>
    <t>https://www.google.com/maps/place/Spesial+Soto+Boyolali+%28SSb%29+Hj+Hesti,+Cabang+Anjasmoro,+Surabaya/data=!4m7!3m6!1s0x2dd7f9001a40c2b1:0xdc6228eda9b425d6!8m2!3d-7.2591037!4d112.7304809!16s%2Fg%2F11m_6x1z79!19sChIJscJAGgD51y0R1iW0qe0oYtw?authuser=0&amp;hl=zh-TW&amp;rclk=1</t>
  </si>
  <si>
    <t>Patung Suro dan Boyo</t>
  </si>
  <si>
    <t>Patung ikonik yang menjadi simbol dan landmark paling terkenal Kota Surabaya.</t>
  </si>
  <si>
    <t>Landmark, Ikon Surabaya, Patung Suro Boyo, Spot Foto, Instagramable, Wisata Gratis, Outdoor, Sejarah, Family Friendly, City Tour, Surabaya Pusat</t>
  </si>
  <si>
    <t>-7.2960492, 112.7387012</t>
  </si>
  <si>
    <t>https://www.google.com/maps/place/Suro+and+Boyo+Statue/data=!4m7!3m6!1s0x2dd7fb97dde14831:0x9e68091c03f959fb!8m2!3d-7.2960492!4d112.7387012!16s%2Fg%2F1230v9vx!19sChIJMUjh3Zf71y0R-1n5AxwJaJ4?authuser=0&amp;hl=zh-TW&amp;rclk=1</t>
  </si>
  <si>
    <t>Spread Cafe by Tootoomoo</t>
  </si>
  <si>
    <t>Kafe premium milik grup Tootoomoo di Surabaya Pusat.</t>
  </si>
  <si>
    <t>Kafe Premium, Western Food, Fusion Food, Brunch, Makan Malam, Aesthetic, Instagramable, Modern, Cozy, Couple Friendly, Surabaya Pusat</t>
  </si>
  <si>
    <t>-7.2896458, 112.7348815</t>
  </si>
  <si>
    <t>https://www.google.com/maps/place/Spread+Cafe+by+Tootoomoo/data=!4m7!3m6!1s0x2dd7fb9fdcc83a8d:0x16a4c447d48bbd04!8m2!3d-7.2896458!4d112.7348815!16s%2Fg%2F11sjlqx6yw!19sChIJjTrI3J_71y0RBL2L1EfEpBY?authuser=0&amp;hl=zh-TW&amp;rclk=1</t>
  </si>
  <si>
    <t>Museum W.R. Soepratman</t>
  </si>
  <si>
    <t>Museum di rumah kediaman asli pencipta lagu Indonesia Raya.</t>
  </si>
  <si>
    <t>Museum, Sejarah, W.R. Soepratman, Indonesia Raya, Pahlawan Nasional, Edukasi, Cagar Budaya, Wisata Sejarah, Indoor, Family Friendly, Surabaya Pusat</t>
  </si>
  <si>
    <t>-7.2506354, 112.7537695</t>
  </si>
  <si>
    <t>https://www.google.com/maps/place/Rumah+Wafat+Wage+Rudolf+Supratman/data=!4m7!3m6!1s0x2dd7f90a58b20643:0x228668e7ab001bd!8m2!3d-7.2506354!4d112.7537695!16s%2Fg%2F11fk1jxcqh!19sChIJQwayWAr51y0RvQGweo5mKAI?authuser=0&amp;hl=zh-TW&amp;rclk=1</t>
  </si>
  <si>
    <t>Bakso So'un &amp; Mie Ayam "Mojopahit"</t>
  </si>
  <si>
    <t>Restoran bakso dan mie ayam dengan nama terinspirasi Kerajaan Majapahit.</t>
  </si>
  <si>
    <t>Bakso, Bakso Soun, Bihun, Mie Ayam, Kuliner Lokal, Murah, Terjangkau, Warung, Comfort Food, Makan Siang, Makan Malam, Halal, Surabaya Pusat</t>
  </si>
  <si>
    <t>-7.259215, 112.7316017</t>
  </si>
  <si>
    <t>https://www.google.com/maps/place/Bakso+So%27un+dan+Mie+Ayam+Mojopahit/data=!4m7!3m6!1s0x2dd7f958b4642b75:0xa26b58692bad8b05!8m2!3d-7.259215!4d112.7316017!16s%2Fg%2F11bw2_gs28!19sChIJdStktFj51y0RBYutK2lYa6I?authuser=0&amp;hl=zh-TW&amp;rclk=1</t>
  </si>
  <si>
    <t>Pangsit Mie Ayam Tenda Biru</t>
  </si>
  <si>
    <t>Warung mie ayam pangsit dengan gerobak dan tenda berwarna biru khas.</t>
  </si>
  <si>
    <t>Mie Ayam, Pangsit, Kuliner Lokal, Murah, Terjangkau, Warung, Gerobak, Comfort Food, Sarapan, Makan Siang, Halal, Surabaya Pusat</t>
  </si>
  <si>
    <t>-7.2710167, 112.7459099</t>
  </si>
  <si>
    <t>https://www.google.com/maps/place/Pangsit+Mie+Ayam+Tenda+Biru/data=!4m7!3m6!1s0x2dd7fbd9486e747f:0x50149c558bb1d472!8m2!3d-7.2710167!4d112.7459099!16s%2Fg%2F11hd6mwzvx!19sChIJf3RuSNn71y0RctSxi1WcFFA?authuser=0&amp;hl=zh-TW&amp;rclk=1</t>
  </si>
  <si>
    <t>Spesial Belut Surabaya H. Poer</t>
  </si>
  <si>
    <t>Restoran legendaris spesialis olahan belut di Surabaya.</t>
  </si>
  <si>
    <t>Belut Goreng, Belut Bakar, Spesialis Belut, Kuliner Unik, Kuliner Legendaris, Khas Surabaya, Seafood, Makan Siang, Makan Malam, Halal, Surabaya Pusat</t>
  </si>
  <si>
    <t>-7.2705095, 112.7199703</t>
  </si>
  <si>
    <t>https://www.google.com/maps/place/Spesial+Belut+Surabaya+H.+Poer/data=!4m7!3m6!1s0x2dd7fbfe61eabd33:0xd5893654a3c3d2cc!8m2!3d-7.2705095!4d112.7199703!16s%2Fg%2F11b6xdws2s!19sChIJM73qYf771y0RzNLDo1Q2idU?authuser=0&amp;hl=zh-TW&amp;rclk=1</t>
  </si>
  <si>
    <t>Nagano Japanese Restaurant</t>
  </si>
  <si>
    <t>Restoran Jepang premium di kawasan Surabaya Barat.</t>
  </si>
  <si>
    <t>Restoran Jepang, Japanese Food, Sushi, Sashimi, Ramen, Donburi, Premium, Fine Dining, Makan Siang, Makan Malam, Surabaya Barat</t>
  </si>
  <si>
    <t>-7.2849831, 112.6961677</t>
  </si>
  <si>
    <t>https://www.google.com/maps/place/Nagano+Japanese+Restaurant/data=!4m7!3m6!1s0x2dd7fda3987dff3b:0x3c6d6d22d372fa78!8m2!3d-7.2862214!4d112.6992139!16s%2Fg%2F11kq3nx3lf!19sChIJO_99mKP91y0RePpy0yJtbTw?authuser=0&amp;hl=zh-TW&amp;rclk=1</t>
  </si>
  <si>
    <t>Depot Ampel - Walikota Mustajab</t>
  </si>
  <si>
    <t>Depot makanan strategis di kawasan Walikota Mustajab Surabaya Pusat.</t>
  </si>
  <si>
    <t>Depot, Kuliner Indonesia, Masakan Indonesia, Murah, Terjangkau, Sarapan, Makan Siang, Makan Malam, Family Friendly, Surabaya Pusat</t>
  </si>
  <si>
    <t>-7.2600771, 112.7449758</t>
  </si>
  <si>
    <t>https://www.google.com/maps/place/Depot+Ampel/data=!4m7!3m6!1s0x2dd7f9669dd3c591:0x616bcf6a4c9ce9a6!8m2!3d-7.2600771!4d112.7449758!16s%2Fg%2F1hm5q15bm!19sChIJkcXTnWb51y0RpumcTGrPa2E?authuser=0&amp;hl=zh-TW&amp;rclk=1</t>
  </si>
  <si>
    <t>Seafood.ku Surabaya</t>
  </si>
  <si>
    <t>Restoran seafood di Surabaya Barat buka dari sore hingga malam.</t>
  </si>
  <si>
    <t>Seafood, Kepiting, Udang, Cumi, Ikan, Kuliner Seafood, Makan Malam, Family Friendly, Surabaya Barat, Halal</t>
  </si>
  <si>
    <t>40000-100000</t>
  </si>
  <si>
    <t>-7.3057304, 112.6755197</t>
  </si>
  <si>
    <t>https://www.google.com/maps/place/Seafood.ku+Surabaya/data=!4m7!3m6!1s0x2dd7fd7444b348c3:0x8cd38da2eb1ea26e!8m2!3d-7.3057304!4d112.6755197!16s%2Fg%2F11j1ks7wrj!19sChIJw0izRHT91y0RbqIe66KN04w?authuser=0&amp;hl=zh-TW&amp;rclk=1</t>
  </si>
  <si>
    <t>Historica Coffee &amp; Kitchen</t>
  </si>
  <si>
    <t>Kafe minimalis bergaya modern-retro di Jalan Sumatera, Gubeng dengan menu specialty coffee dan pastry homemade.</t>
  </si>
  <si>
    <t>Kopi, Colonial, Vintage, Modern, Pastry, WFC, Cozy, Surabaya Pusat, Instagramable, Dekat Stasiun Gubeng, Outdoor, Affordable, Dessert, Eggs Benedict, Specialty Coffee, Single Origin, Retro</t>
  </si>
  <si>
    <t>-7.2692971, 112.7491243</t>
  </si>
  <si>
    <t>-7,2692971</t>
  </si>
  <si>
    <t>112,7491243</t>
  </si>
  <si>
    <t>google.com/maps/place/Historica+Coffee+%26+Kitchen/data=!4m2!3m1!1s0x2dd7fbd9b663ee29:0x901e6ae85676211f?sa=X&amp;ved=1t:242&amp;ictx=111</t>
  </si>
  <si>
    <t>Bakso Super Daging Sapi</t>
  </si>
  <si>
    <t>Warung bakso dengan kandungan daging sapi murni tanpa campuran.</t>
  </si>
  <si>
    <t>Bakso, Bakso Daging Sapi, Daging Sapi Murni, Kuliner Lokal, Murah, Warung, Comfort Food, Makan Siang, Halal, Surabaya Barat</t>
  </si>
  <si>
    <t>-7.2809598, 112.7109435</t>
  </si>
  <si>
    <t>https://www.google.com/maps/place/Bakso+Super+Daging+Sapi/data=!4m7!3m6!1s0x2dd7fc08e0faffd3:0xed501d05f25698d3!8m2!3d-7.2809598!4d112.7109435!16s%2Fg%2F11bwq68rn8!19sChIJ0__64Aj81y0R05hW8gUdUO0?authuser=0&amp;hl=zh-TW&amp;rclk=1</t>
  </si>
  <si>
    <t>Rawon Balungan</t>
  </si>
  <si>
    <t>Warung rawon spesialis dengan iga/balungan sapi sebagai menu utama.</t>
  </si>
  <si>
    <t>Rawon, Rawon Balungan, Iga Sapi, Kuliner Unik, Khas Surabaya, Comfort Food, Sarapan, Makan Siang, Murah, Halal, Surabaya Barat</t>
  </si>
  <si>
    <t>-7.2982602, 112.6344974</t>
  </si>
  <si>
    <t>https://www.google.com/maps/place/Rawon+Balungan/data=!4m7!3m6!1s0x2dd7fda14a679cc5:0x1435dfb37894cd0!8m2!3d-7.2982602!4d112.6344974!16s%2Fg%2F11f634_s91!19sChIJxZxnSqH91y0R0EyJN_tdQwE?authuser=0&amp;hl=zh-TW&amp;rclk=1</t>
  </si>
  <si>
    <t>Rawon IGA Masbro</t>
  </si>
  <si>
    <t>Warung rawon iga di Surabaya Utara dengan potongan iga sapi besar dan empuk.</t>
  </si>
  <si>
    <t>Rawon, Rawon Iga, Iga Sapi, Kuliner Unik, Khas Surabaya, Comfort Food, Sarapan, Makan Siang, Murah, Halal, Surabaya Utara</t>
  </si>
  <si>
    <t>-7.2263367, 112.7308383</t>
  </si>
  <si>
    <t>https://www.google.com/maps/place/Rawon+IGA+Masbro/data=!4m7!3m6!1s0x2dd7f9a5be3b0675:0x3bd5f3afc7562f17!8m2!3d-7.2263367!4d112.7308383!16s%2Fg%2F11rwq56w0y!19sChIJdQY7vqX51y0RFy9Wx6_z1Ts?authuser=0&amp;hl=zh-TW&amp;rclk=1</t>
  </si>
  <si>
    <t>Bebek Goreng Purnama "Asli"</t>
  </si>
  <si>
    <t>Warung bebek goreng buka sore hingga malam di kawasan Surabaya Pusat.</t>
  </si>
  <si>
    <t>Bebek Goreng, Nasi Bebek, Sambal, Bumbu Rempah, Kuliner Lokal, Warung, Comfort Food, Makan Malam, Buka Sore, Murah, Halal, Surabaya Pusat</t>
  </si>
  <si>
    <t>-7.2786158, 112.7433738</t>
  </si>
  <si>
    <t>https://www.google.com/maps/place/Bebek+Goreng+Purnama+%22Asli%22/data=!4m7!3m6!1s0x2dd7fbc3134f6d9b:0x6d12f0d35cb328bc!8m2!3d-7.2786158!4d112.7433738!16s%2Fg%2F11cst07kpb!19sChIJm21PE8P71y0RvCizXNPwEm0?authuser=0&amp;hl=zh-TW&amp;rclk=1</t>
  </si>
  <si>
    <t>Bebek Kondang Rasa</t>
  </si>
  <si>
    <t>Warung bebek goreng yang kondang di kawasan Surabaya Timur.</t>
  </si>
  <si>
    <t>Bebek Goreng, Nasi Bebek, Sambal, Kuliner Lokal, Warung, Comfort Food, Makan Siang, Makan Malam, Murah, Halal, Surabaya Timur</t>
  </si>
  <si>
    <t>-7.2823057, 112.7762625</t>
  </si>
  <si>
    <t>https://www.google.com/maps/place/Bebek+Kondang+Rasa/data=!4m7!3m6!1s0x2dd7fa39c8202ab1:0x317d35d0d275571e!8m2!3d-7.2823057!4d112.7762625!16s%2Fg%2F11fy4lp9kd!19sChIJsSogyDn61y0RHld10tA1fTE?authuser=0&amp;hl=zh-TW&amp;rclk=1</t>
  </si>
  <si>
    <t>Atho Pangsit Mie Ayam Sumatera Bangka - Klampis Anom</t>
  </si>
  <si>
    <t>Warung mie ayam dengan resep perpaduan Sumatera dan Bangka di Klampis Anom Surabaya Timur.</t>
  </si>
  <si>
    <t>Mie Ayam, Pangsit, Kuliner Bangka, Kuliner Unik, Murah, Terjangkau, Warung, Comfort Food, Makan Siang, Makan Malam, Halal, Surabaya Timur</t>
  </si>
  <si>
    <t>-7.2901395, 112.7750973</t>
  </si>
  <si>
    <t>https://www.google.com/maps/place/Atho+Pangsit+Mie+Ayam+Sumatera+Bangka+-+Klampis+Anom/data=!4m7!3m6!1s0x2dd7fa4604091339:0xfbe7b9765c565466!8m2!3d-7.2901395!4d112.7750973!16s%2Fg%2F11bzq3mksl!19sChIJORMJBEb61y0RZlRWXHa55_s?authuser=0&amp;hl=zh-TW&amp;rclk=1</t>
  </si>
  <si>
    <t>KAPTEN SEAFOOD SURABAYA UTARA</t>
  </si>
  <si>
    <t>Restoran seafood di Surabaya Utara dengan pilihan menu laut yang beragam.</t>
  </si>
  <si>
    <t>Seafood, Kepiting, Udang, Cumi, Kerang, Ikan, Kuliner Seafood, Makan Siang, Makan Malam, Family Friendly, Surabaya Utara, Halal</t>
  </si>
  <si>
    <t>-7.2459183, 112.7339189</t>
  </si>
  <si>
    <t>https://www.google.com/maps/place/KAPTEN+SEAFOOD+SURABAYA+UTARA/data=!4m7!3m6!1s0x2dd7f9c9683575db:0xd9989894944b9109!8m2!3d-7.2459183!4d112.7339189!16s%2Fg%2F11y207lckt!19sChIJ23U1aMn51y0RCZFLlJSYmNk?authuser=0&amp;hl=zh-TW&amp;rclk=1</t>
  </si>
  <si>
    <t>Nasi Cumi Pasar Atom Ibu Atun</t>
  </si>
  <si>
    <t>Kuliner legendaris khas Surabaya dengan nasi cumi hitam di Pasar Atom.</t>
  </si>
  <si>
    <t>Nasi Cumi, Cumi Hitam, Tinta Cumi, Empal, Kuliner Legendaris, Khas Surabaya, Pasar Atom, Seafood, Comfort Food, Makan Pagi, Makan Siang, Makan Malam, Halal, Murah, Surabaya Pusat</t>
  </si>
  <si>
    <t>-7.240394534348085, 112.74364299325413</t>
  </si>
  <si>
    <t>https://www.google.com/maps/place/Nasi+Cumi+Pasar+Atom+Ibu+Atun/data=!4m2!3m1!1s0x2dd7f916c0386219:0x6208b23019ab88c5?sa=X&amp;ved=1t:242&amp;ictx=111</t>
  </si>
  <si>
    <t>Nasi Campur Mbah Cikrak</t>
  </si>
  <si>
    <t>Warung nasi campur tradisional buka pagi hingga siang di Surabaya Pusat.</t>
  </si>
  <si>
    <t>Nasi Campur, Lauk Pauk, Kuliner Jawa Timur, Murah, Warung, Comfort Food, Sarapan, Makan Siang, Halal, Surabaya Pusat, Hidden Gem</t>
  </si>
  <si>
    <t>-7.2527298, 112.7450101</t>
  </si>
  <si>
    <t>https://www.google.com/maps/place/Nasi+Campur+Mbah+Cikrak/data=!4m7!3m6!1s0x2dd7f92b42a6bc09:0x7a3a14ab415f10f5!8m2!3d-7.2527298!4d112.7450101!16s%2Fg%2F11jy3hzbcl!19sChIJCbymQiv51y0R9RBfQasUOno?authuser=0&amp;hl=zh-TW&amp;rclk=1</t>
  </si>
  <si>
    <t>Warung Seafood Pak Rejo Panjang Jiwo</t>
  </si>
  <si>
    <t>Warung seafood buka sore hingga malam di kawasan Panjang Jiwo Surabaya Timur.</t>
  </si>
  <si>
    <t>Seafood, Udang, Cumi, Ikan, Kerang, Kuliner Seafood, Makan Malam, Buka Sore, Family Friendly, Surabaya Timur, Murah</t>
  </si>
  <si>
    <t>-7.3107822, 112.7674218</t>
  </si>
  <si>
    <t>https://www.google.com/maps/place/Seafood+Pak+Rejo+Pindahan+Depan+Makam/data=!4m7!3m6!1s0x2dd7fafea2131a9f:0xd0038b551b4f956b!8m2!3d-7.3107822!4d112.7674218!16s%2Fg%2F11hb657z6f!19sChIJnxoTov761y0Ra5VPG1WLA9A?authuser=0&amp;hl=zh-TW&amp;rclk=1</t>
  </si>
  <si>
    <t>Sentra Wisata Kuliner Sukomanunggal</t>
  </si>
  <si>
    <t>Sentra wisata kuliner pemerintah di kawasan Sukomanunggal Surabaya Barat.</t>
  </si>
  <si>
    <t>Sentra Kuliner, Food Court, Kuliner Murah, Terjangkau, Beragam Pilihan, Surabaya Barat, Family Friendly, Halal, Outdoor</t>
  </si>
  <si>
    <t>-7.2643434, 112.6970826</t>
  </si>
  <si>
    <t>https://www.google.com/maps/place/Sentra+Wisata+Kuliner+Sukomanunggal/data=!4m7!3m6!1s0x2dd7fea15484ffff:0x7807438fad97b056!8m2!3d-7.2643434!4d112.6970826!16s%2Fg%2F11bwm70gy4!19sChIJ__-EVKH-1y0RVrCXrY9DB3g?authuser=0&amp;hl=zh-TW&amp;rclk=1</t>
  </si>
  <si>
    <t>RUIHE Citraland chinese &amp; seafood (瑞和）</t>
  </si>
  <si>
    <t>Restoran Chinese food dan seafood di kawasan Citraland Surabaya Barat.</t>
  </si>
  <si>
    <t>Chinese Food, Seafood, Masakan Tionghoa, Dim Sum, Nasi Goreng, Tofu, Family Friendly, Makan Siang, Makan Malam, Surabaya Barat, Citraland</t>
  </si>
  <si>
    <t>-7.2755925, 112.6459812</t>
  </si>
  <si>
    <t>https://www.google.com/maps/place/RUIHE+Citraland+chinese+%26+seafood+%28%E7%91%9E%E5%92%8C%EF%BC%89/data=!4m7!3m6!1s0x2dd7fc1b555048f1:0xc1fd019baf4ebfd9!8m2!3d-7.2755925!4d112.6459812!16s%2Fg%2F11dfk8qm_5!19sChIJ8UhQVRv81y0R2b9Or5sB_cE?authuser=0&amp;hl=zh-TW&amp;rclk=1</t>
  </si>
  <si>
    <t>Dopamine Bakehouse &amp; Café</t>
  </si>
  <si>
    <t>Bakehouse dan kafe dengan berbagai pilihan bakery artisan dan pastry di Surabaya Selatan.</t>
  </si>
  <si>
    <t>Bakery, Bakehouse, Artisan Bread, Sourdough, Croissant, Danish, Pastry, Kafe, Coffee Shop, Aesthetic, Modern, Surabaya Selatan</t>
  </si>
  <si>
    <t>-7.3320121, 112.7840762</t>
  </si>
  <si>
    <t>https://www.google.com/maps/place/Dopamine+Bakehouse+%26+Caf%C3%A9/data=!4m7!3m6!1s0x2dd7fb20f7787911:0xc7d894b13eb0563d!8m2!3d-7.3320121!4d112.7840762!16s%2Fg%2F11vrjhl06n!19sChIJEXl49yD71y0RPVawPrGU2Mc?authuser=0&amp;hl=zh-TW&amp;rclk=1</t>
  </si>
  <si>
    <t>Bebek Cabbhi Surabaya Kayoon</t>
  </si>
  <si>
    <t>Warung bebek goreng dengan sambal cabbhi yang pedasnya nampol di Kayoon Surabaya Pusat.</t>
  </si>
  <si>
    <t>Bebek Goreng, Nasi Bebek, Sambal Cabbhi, Pedas, Kuliner Lokal, Warung, Comfort Food, Makan Siang, Makan Malam, Murah, Halal, Surabaya Pusat</t>
  </si>
  <si>
    <t>-7.2670486, 112.7495918</t>
  </si>
  <si>
    <t>https://www.google.com/maps/place/Bebek+Cabbhi+Surabaya+Kayoon/data=!4m7!3m6!1s0x2dd7fb396cde2223:0xc4016a00c37d874a!8m2!3d-7.2670486!4d112.7495918!16s%2Fg%2F11nbhmmv3f!19sChIJIyLebDn71y0RSod9wwBqAcQ?authuser=0&amp;hl=zh-TW&amp;rclk=1</t>
  </si>
  <si>
    <t>Warung Lesehan Rumadi</t>
  </si>
  <si>
    <t>Rumah makan lesehan outdoor spesialis seafood panggang khas Indonesia.</t>
  </si>
  <si>
    <t>Lesehan, Seafood, Ikan Bakar, Udang Bakar, Cumi Bakar, Outdoor, Santai, Family Friendly, Group Dining, Halal, Surabaya Barat</t>
  </si>
  <si>
    <t>-7.3053905, 112.6613282</t>
  </si>
  <si>
    <t>https://www.google.com/maps/place/Warung+Lesehan+Rumadi/data=!4m7!3m6!1s0x2dd7fdaea0d1c151:0xb5c356bc47b3e26c!8m2!3d-7.3053905!4d112.6613282!16s%2Fg%2F1hm463zwt!19sChIJUcHRoK791y0RbOKzR7xWw7U?authuser=0&amp;hl=zh-TW&amp;rclk=1</t>
  </si>
  <si>
    <t>Bakso Tetelan Pak Kam</t>
  </si>
  <si>
    <t>Warung bakso spesialis tetelan sapi di Surabaya Pusat.</t>
  </si>
  <si>
    <t>Bakso, Bakso Tetelan, Tetelan Sapi, Kuliner Unik, Kuliner Lokal, Murah, Terjangkau, Warung, Comfort Food, Makan Siang, Makan Malam, Halal, Surabaya Pusat</t>
  </si>
  <si>
    <t>-7.2585592, 112.7426142</t>
  </si>
  <si>
    <t>https://www.google.com/maps/place/Bakso+Tetelan+Pak+Kam/data=!4m7!3m6!1s0x2dd7f92387b7f0af:0x59ad3ab7407ce96e!8m2!3d-7.2585592!4d112.7426142!16s%2Fg%2F11n5r0k7y6!19sChIJr_C3hyP51y0Rbul8QLc6rVk?authuser=0&amp;hl=zh-TW&amp;rclk=1</t>
  </si>
  <si>
    <t>Rawon Kampung</t>
  </si>
  <si>
    <t>Warung rawon konsep masakan kampung tradisional buka malam hingga dini hari.</t>
  </si>
  <si>
    <t>Rawon, Rawon Kampung, Masakan Rumahan, Kuliner Malam, Buka Malam, Makan Malam, Murah, Halal, Warung, Surabaya Barat</t>
  </si>
  <si>
    <t>-7.2838798, 112.6930989</t>
  </si>
  <si>
    <t>https://www.google.com/maps/place/Rawon+Kampung/data=!4m7!3m6!1s0x2dd7fd6116a76b09:0x443667326cc6eeb6!8m2!3d-7.2838798!4d112.6930989!16s%2Fg%2F11ttb9rw3v!19sChIJCWunFmH91y0Rtu7GbDJnNkQ?authuser=0&amp;hl=zh-TW&amp;rclk=1</t>
  </si>
  <si>
    <t>Rawon &amp; Pecel Joko Dolog surabaya</t>
  </si>
  <si>
    <t>Warung rawon dan pecel buka tengah malam hingga dini hari dekat Arca Joko Dolog.</t>
  </si>
  <si>
    <t>Rawon, Pecel, Kuliner Malam, Buka Malam, Buka Dini Hari, Murah, Halal, Warung, Surabaya Pusat, Kuliner Unik</t>
  </si>
  <si>
    <t>-7.2652778, 112.7425</t>
  </si>
  <si>
    <t>https://www.google.com/maps/place/Rawon+%26+Pecel+Joko+Dolog+surabaya/data=!4m7!3m6!1s0x2dd7f90037de5175:0xf084c9a730c48370!8m2!3d-7.2652778!4d112.7425!16s%2Fg%2F11z4xfclns!19sChIJdVHeNwD51y0RcIPEMKfJhPA?authuser=0&amp;hl=zh-TW&amp;rclk=1</t>
  </si>
  <si>
    <t>Depot Rawon Malang "MM"</t>
  </si>
  <si>
    <t>Depot rawon dengan resep khas Malang di Surabaya Pusat.</t>
  </si>
  <si>
    <t>Rawon, Rawon Malang, Kuliner Malang, Kuliner Jawa Timur, Comfort Food, Sarapan, Makan Siang, Murah, Halal, Surabaya Pusat</t>
  </si>
  <si>
    <t>-7.2785359, 112.7319792</t>
  </si>
  <si>
    <t>https://www.google.com/maps/place/Depot+Rawon+Malang+%22MM%22/data=!4m7!3m6!1s0x2dd7fbe48962cc8f:0xe056df81de360f26!8m2!3d-7.2785359!4d112.7319792!16s%2Fg%2F11gjn8jl0q!19sChIJj8xiieT71y0RJg823oHfVuA?authuser=0&amp;hl=zh-TW&amp;rclk=1</t>
  </si>
  <si>
    <t>UPTD Taman Hiburan Pantai Kenjeran</t>
  </si>
  <si>
    <t>Taman hiburan pantai dikelola pemerintah di kawasan Kenjeran Surabaya Timur.</t>
  </si>
  <si>
    <t>Taman Hiburan, Pantai, Wisata Pantai, Kenjeran, Surabaya Timur, Family Friendly, Kids Friendly, Bermain Air, Rekreasi, Outdoor, Murah</t>
  </si>
  <si>
    <t>-7.2380652, 112.7956011</t>
  </si>
  <si>
    <t>https://www.google.com/maps/place/Kenjeran+Park/data=!4m7!3m6!1s0x2dd7f9c4f53b233f:0x147a117a35d5f080!8m2!3d-7.2380652!4d112.7956011!16s%2Fg%2F1hm5t2vbq!19sChIJPyM79cT51y0RgPDVNXoRehQ?authuser=0&amp;hl=zh-TW&amp;rclk=1</t>
  </si>
  <si>
    <t>Bakso Prasmanan Cak Dar</t>
  </si>
  <si>
    <t>Warung bakso dengan konsep prasmanan pilihan topping sendiri di Surabaya Pusat.</t>
  </si>
  <si>
    <t>Bakso Prasmanan, Bakso, Prasmanan, Self Service, Kuliner Lokal, Murah, Terjangkau, Warung, Comfort Food, Sarapan, Makan Siang, Halal, Surabaya Pusat</t>
  </si>
  <si>
    <t>-7.2599169, 112.750682</t>
  </si>
  <si>
    <t>https://www.google.com/maps/place/Bakso+Prasmanan+%28Cak+Dar%29/data=!4m7!3m6!1s0x2dd7f964cc409383:0x3fca189030bf9482!8m2!3d-7.2599169!4d112.750682!16s%2Fg%2F11hbtj7nxh!19sChIJg5NAzGT51y0RgpS_MJAYyj8?authuser=0&amp;hl=zh-TW&amp;rclk=1</t>
  </si>
  <si>
    <t>Soto Lamongan Cak Har</t>
  </si>
  <si>
    <t>Rumah makan legendaris yang menyajikan Soto Lamongan dengan kuah gurih khas dan berbagai lauk pendamping.</t>
  </si>
  <si>
    <t>Soto Lamongan, Kuliner Legendaris, Khas Jawa Timur, Family Friendly, Comfort Food, Halal, Surabaya Timur, Kuah Kuning, Koya, Buka Larut, Buka Dini Hari, Autentik, Porsi Besar</t>
  </si>
  <si>
    <t>-7.294610333280341, 112.78153086116347</t>
  </si>
  <si>
    <t>-7,294610333280341</t>
  </si>
  <si>
    <t>112,78153086116347</t>
  </si>
  <si>
    <t>https://www.google.com/maps/place/Soto+Ayam+Lamongan+CAK+HAR+%28Main+Branch%29/data=!4m7!3m6!1s0x2dd7fbe16672e41f:0xc547d13f4969db6a!8m2!3d-7.2897292!4d112.7832073!16s%2Fg%2F11sgcxdrff!19sChIJH-RyZuH71y0RattpST_RR8U?authuser=0&amp;hl=zh-TW&amp;rclk=1</t>
  </si>
  <si>
    <t>Soto Ayam Kampung Pak Mat</t>
  </si>
  <si>
    <t>Warung soto ayam kampung yang buka 24 jam di kawasan Surabaya Barat.</t>
  </si>
  <si>
    <t>Soto Ayam, Soto Ayam Kampung, Ayam Kampung, Kuliner Tradisional, Buka 24 Jam, Kuliner Malam, Sarapan, Comfort Food, Murah, Halal, Surabaya Barat</t>
  </si>
  <si>
    <t>-7.2782833, 112.714501</t>
  </si>
  <si>
    <t>https://www.google.com/maps/place/Soto+Ayam+Kampung+Pak+Mat/data=!4m7!3m6!1s0x2dd7fb2de1b1fedb:0xfd32f71a28b28ab8!8m2!3d-7.2782833!4d112.714501!16s%2Fg%2F11h5frk5gs!19sChIJ2_6x4S371y0RuIqyKBr3Mv0?authuser=0&amp;hl=zh-TW&amp;rclk=1</t>
  </si>
  <si>
    <t>Demandailing Cafe &amp; Eatery - MERR</t>
  </si>
  <si>
    <t>Kafe modern bergaya Mandailing (Sumatera Utara) di kawasan MERR Surabaya Selatan.</t>
  </si>
  <si>
    <t>Kafe, Coffee Shop, Specialty Coffee, Kopi Mandailing, Kopi Sumatera, Eatery, Modern, Cozy, Aesthetic, Hangout, WFC, Surabaya Selatan, MERR</t>
  </si>
  <si>
    <t>-7.3204521, 112.7806905</t>
  </si>
  <si>
    <t>https://www.google.com/maps/place/Demandailing+Cafe+%26+Eatery+-+MERR/data=!4m7!3m6!1s0x2dd7fb6f37973cd1:0x36b75e038efbb4aa!8m2!3d-7.3204521!4d112.7806905!16s%2Fg%2F11jdnpw5ty!19sChIJ0TyXN2_71y0RqrT7jgNetzY?authuser=0&amp;hl=zh-TW&amp;rclk=1</t>
  </si>
  <si>
    <t>Warung Rawon "SUBEDO"</t>
  </si>
  <si>
    <t>Warung rawon di kawasan Surabaya Barat buka pagi hingga malam.</t>
  </si>
  <si>
    <t>Rawon, Rawon Sapi, Kuliner Jawa Timur, Khas Surabaya, Comfort Food, Sarapan, Makan Siang, Makan Malam, Murah, Halal, Surabaya Barat</t>
  </si>
  <si>
    <t>-7.2681114, 112.7134857</t>
  </si>
  <si>
    <t>https://www.google.com/maps/place/Warung+Rawon+%22Subedo%22/data=!4m7!3m6!1s0x2dd7feaa98d9169f:0xccf92afb12678db0!8m2!3d-7.2681114!4d112.7134857!16s%2Fg%2F11c5hhyxpn!19sChIJnxbZmKr-1y0RsI1nEvsq-cw?authuser=0&amp;hl=zh-TW&amp;rclk=1</t>
  </si>
  <si>
    <t>Pangsit Mie Ayam Jakarta Klampis</t>
  </si>
  <si>
    <t>Warung mie ayam pangsit bergaya Jakarta di kawasan Klampis Surabaya Timur.</t>
  </si>
  <si>
    <t>Mie Ayam, Pangsit, Mie Ayam Jakarta, Murah, Terjangkau, Warung, Comfort Food, Makan Siang, Makan Malam, Halal, Surabaya Timur, Klampis</t>
  </si>
  <si>
    <t>-7.2860144, 112.7757481</t>
  </si>
  <si>
    <t>https://www.google.com/maps/place/Pangsit+Mie+Ayam+Jakarta/data=!4m7!3m6!1s0x2dd7fa47f211cedf:0xc78fd11f5b1573f5!8m2!3d-7.2860144!4d112.7757481!16s%2Fg%2F11f5jpxdr5!19sChIJ384R8kf61y0R9XMVWx_Rj8c?authuser=0&amp;hl=zh-TW&amp;rclk=1</t>
  </si>
  <si>
    <t>Ha.ve Coffee</t>
  </si>
  <si>
    <t>Kafe specialty coffee dengan rating hampir sempurna di kawasan Surabaya Pusat.</t>
  </si>
  <si>
    <t>Coffee Shop, Specialty Coffee, Single Origin, Artisan Coffee, Barista, Premium, Cozy, Minimalis, Aesthetic, WFC, Surabaya Pusat</t>
  </si>
  <si>
    <t>-7.258356, 112.7487797</t>
  </si>
  <si>
    <t>https://www.google.com/maps/place/Ha.ve+Coffee/data=!4m7!3m6!1s0x2dd7f9019179fe65:0x1668096b8e5ce107!8m2!3d-7.258356!4d112.7487797!16s%2Fg%2F11x105jxcz!19sChIJZf55kQH51y0RB-FcjmsJaBY?authuser=0&amp;hl=zh-TW&amp;rclk=1</t>
  </si>
  <si>
    <t>warung penyetan murah meriah</t>
  </si>
  <si>
    <t>Warung penyetan dengan harga sangat terjangkau di kawasan Surabaya Barat.</t>
  </si>
  <si>
    <t>Penyetan, Ayam Penyet, Tempe Penyet, Kuliner Lokal, Murah, Terjangkau, Warung, Comfort Food, Halal, Surabaya Barat, Mahasiswa, Budget Friendly</t>
  </si>
  <si>
    <t>-7.2810419, 112.71209</t>
  </si>
  <si>
    <t>https://www.google.com/maps/place/warung+penyetan+murah+meriah/data=!4m7!3m6!1s0x2dd7fc09aaaac465:0xe469e3345a734720!8m2!3d-7.2810419!4d112.71209!16s%2Fg%2F11bw3dnjq6!19sChIJZcSqqgn81y0RIEdzWjTjaeQ?authuser=0&amp;hl=zh-TW&amp;rclk=1</t>
  </si>
  <si>
    <t>Pondok Sate Ibu Nizam (Sentra PKL Indrapura)</t>
  </si>
  <si>
    <t>Pondok sate di Sentra PKL Indrapura Surabaya Utara, buka 24 jam.</t>
  </si>
  <si>
    <t>Sate, Sate Ayam, Sate Kambing, Bumbu Kacang, Lontong, Kuliner Lokal, Buka 24 Jam, Kuliner Malam, Murah, Halal, Surabaya Utara, Indrapura</t>
  </si>
  <si>
    <t>-7.243881, 112.73663</t>
  </si>
  <si>
    <t>https://www.google.com/maps/place/Pondok+Sate+Ibu+Nizam+%28Sentra+PKL+Indrapura%29/data=!4m7!3m6!1s0x2dd7f93e5a8aad51:0xae8ebb78bcb6206b!8m2!3d-7.243881!4d112.73663!16s%2Fg%2F11clhq0_2g!19sChIJUa2KWj751y0RayC2vHi7jq4?authuser=0&amp;hl=zh-TW&amp;rclk=1</t>
  </si>
  <si>
    <t>Tuju Dermaga Seafood Resto</t>
  </si>
  <si>
    <t>Restoran seafood premium dengan konsep dermaga di kawasan Surabaya Barat.</t>
  </si>
  <si>
    <t>Seafood, Restoran, Dermaga, Premium, Romantic, Instagramable, Aesthetic, Kepiting, Udang, Ikan, Cumi, Makan Siang, Makan Malam, Surabaya Barat, Couple Friendly</t>
  </si>
  <si>
    <t>-7.2822095, 112.7068828</t>
  </si>
  <si>
    <t>https://www.google.com/maps/place/Tuju+Dermaga+Seafood+Resto/data=!4m7!3m6!1s0x2dd7fd05e0d4956f:0xba3c1a98fb67997b!8m2!3d-7.2822095!4d112.7068828!16s%2Fg%2F11yjtwjs9z!19sChIJb5XU4AX91y0Re5ln-5gaPLo?authuser=0&amp;hl=zh-TW&amp;rclk=1</t>
  </si>
  <si>
    <t>Bakso Kotak Remaja Cak Budi</t>
  </si>
  <si>
    <t>Warung bakso dengan bakso kotak/persegi panjang unik di Surabaya Selatan.</t>
  </si>
  <si>
    <t>Bakso, Bakso Kotak, Kuliner Unik, Kuliner Lokal, Murah, Terjangkau, Warung, Comfort Food, Makan Pagi, Makan Siang, Makan Malam, Halal, Surabaya Selatan</t>
  </si>
  <si>
    <t>-7.3066403, 112.7146159</t>
  </si>
  <si>
    <t>https://www.google.com/maps/place/Bakso+Kotak+Remaja+Cak+Budi/data=!4m7!3m6!1s0x2dd7fc7f844310e3:0x2f951fbb082a7d87!8m2!3d-7.3066403!4d112.7146159!16s%2Fg%2F11j4svq0km!19sChIJ4xBDhH_81y0Rh30qCLsflS8?authuser=0&amp;hl=zh-TW&amp;rclk=1</t>
  </si>
  <si>
    <t>Taman Ngagel</t>
  </si>
  <si>
    <t>Taman kota asri di kawasan Ngagel Surabaya Timur.</t>
  </si>
  <si>
    <t>Taman Kota, Ruang Terbuka Hijau, Outdoor, Olahraga, Santai, Healing, Family Friendly, Kids Friendly, Wisata Gratis, Surabaya Timur, Ngagel, City Park</t>
  </si>
  <si>
    <t>-7.2884801, 112.7449226</t>
  </si>
  <si>
    <t>https://www.google.com/maps/place/Taman+Ngagel/data=!4m7!3m6!1s0x2dd7fbbf34a24f79:0xf9fe0d9402f0ddc7!8m2!3d-7.2884801!4d112.7449226!16s%2Fg%2F11dxdc9394!19sChIJeU-iNL_71y0Rx93wApQN_vk?authuser=0&amp;hl=zh-TW&amp;rclk=1</t>
  </si>
  <si>
    <t>Rawon Setan - Embong Malang</t>
  </si>
  <si>
    <t>Tempat makan rawon legendaris yang terkenal dengan rawon sup daging tradisional Indonesia.</t>
  </si>
  <si>
    <t>Rawon, Rawon Legendaris, Rawon Setan, Kuliner Ikonik Surabaya, Khas Surabaya, Comfort Food, Makan Pagi, Makan Siang, Makan Malam, Buka Larut, Kuliner Malam, Halal, Surabaya Pusat, Embong Malang</t>
  </si>
  <si>
    <t>-7.2590943, 112.7352172</t>
  </si>
  <si>
    <t>https://www.google.com/maps/place/Rawon+Setan+-+Embong+Malang/data=!4m7!3m6!1s0x2dd7f9675f5ab153:0xd7718efb5cb01015!8m2!3d-7.2590943!4d112.7352172!16s%2Fg%2F1hm1z3ll5!19sChIJU7FaX2f51y0RFRCwXPuOcdc?authuser=0&amp;hl=zh-TW&amp;rclk=1</t>
  </si>
  <si>
    <t>Taman Hutan Kota Jeruk</t>
  </si>
  <si>
    <t>Taman hutan kota di kawasan Jeruk Surabaya Barat dengan suasana hutan mini di kota.</t>
  </si>
  <si>
    <t>Hutan Kota, Taman Kota, Outdoor, Ruang Terbuka Hijau, Sejuk, Teduh, Olahraga, Jogging Track, Family Friendly, Surabaya Barat</t>
  </si>
  <si>
    <t>-7.3065335, 112.6384352</t>
  </si>
  <si>
    <t>https://www.google.com/maps/place/Taman+Hutan+Kota+Jeruk/data=!4m7!3m6!1s0x2dd7fdeee355ce69:0x34ec73c3bcde432f!8m2!3d-7.3065335!4d112.6384352!16s%2Fg%2F11hdqjy39l!19sChIJac5V4-791y0RL0PevMNz7DQ?authuser=0&amp;hl=zh-TW&amp;rclk=1</t>
  </si>
  <si>
    <t>Ayam Kremes &amp; Soto Suroboyo</t>
  </si>
  <si>
    <t>Warung dengan dua menu khas Surabaya: ayam kremes renyah dan soto Surabaya.</t>
  </si>
  <si>
    <t>Ayam Kremes, Soto Surabaya, Kuliner Khas Surabaya, Renyah, Comfort Food, Sarapan, Makan Siang, Makan Malam, Murah, Halal, Surabaya</t>
  </si>
  <si>
    <t>-7.276653, 112.757084</t>
  </si>
  <si>
    <t>https://www.google.com/maps/place/Ayam+Kremes+%26+Soto+Suroboyo/data=!4m7!3m6!1s0x2dd7fbcdfdb1ee0d:0xd59a31db9b2cdd83!8m2!3d-7.276653!4d112.757084!16s%2Fg%2F11cnpjnjx_!19sChIJDe6x_c371y0Rg90sm9sxmtU?authuser=0&amp;hl=zh-TW&amp;rclk=1</t>
  </si>
  <si>
    <t>BAKSO TETELAN SAPI PAKNO</t>
  </si>
  <si>
    <t>-7.2736224, 112.7531454</t>
  </si>
  <si>
    <t>https://www.google.com/maps/place/BAKSO+TETELAN+SAPI+PAKNO/data=!4m7!3m6!1s0x2dd7fbd0f0d83c0f:0x206d3a13d5884ad1!8m2!3d-7.2736224!4d112.7531454!16s%2Fg%2F11b6dz93c0!19sChIJDzzY8ND71y0R0UqI1RM6bSA?authuser=0&amp;hl=zh-TW&amp;rclk=1</t>
  </si>
  <si>
    <t>Penyetan Mama E Acah</t>
  </si>
  <si>
    <t>Warung penyetan dengan rating sempurna di Surabaya Selatan.</t>
  </si>
  <si>
    <t>Penyetan, Ayam Penyet, Tempe Penyet, Sambal, Pedas, Kuliner Jawa Timur, Murah, Terjangkau, Warung, Comfort Food, Halal, Surabaya Selatan</t>
  </si>
  <si>
    <t>-7.3096635, 112.7327652</t>
  </si>
  <si>
    <t>https://www.google.com/maps/place/Penyetan+Mama+E+Acah/data=!4m7!3m6!1s0x2dd7fb767733904f:0x948cc70ae161dc10!8m2!3d-7.3096635!4d112.7327652!16s%2Fg%2F11c52sqld3!19sChIJT5Azd3b71y0RENxh4QrHjJQ?authuser=0&amp;hl=zh-TW&amp;rclk=1</t>
  </si>
  <si>
    <t>Depot Sederhana Gubeng Pojok</t>
  </si>
  <si>
    <t>Depot sederhana legendaris yang buka 24 jam di kawasan Gubeng Pojok Surabaya Pusat.</t>
  </si>
  <si>
    <t>Depot, Nasi Campur, Kuliner Lokal, Buka 24 Jam, Murah, Terjangkau, Warung, Comfort Food, Sarapan, Makan Siang, Makan Malam, Halal, Surabaya Pusat</t>
  </si>
  <si>
    <t>-7.2664351, 112.7518896</t>
  </si>
  <si>
    <t>https://www.google.com/maps/place/DEPOT+SEDERHANA+%28GUBENG+POJOK%29/data=!4m7!3m6!1s0x2dd7f963d2d4fb4d:0xc8bf1c2a9ed2f725!8m2!3d-7.2664351!4d112.7518896!16s%2Fg%2F11b6br_w71!19sChIJTfvU0mP51y0RJffSniocv8g?authuser=0&amp;hl=zh-TW&amp;rclk=1</t>
  </si>
  <si>
    <t>Holy Crabs - Spesial Kepiting Surabaya</t>
  </si>
  <si>
    <t>Restoran spesialis kepiting di Surabaya Barat.</t>
  </si>
  <si>
    <t>Kepiting, Spesialis Kepiting, Seafood, Saus Lada Hitam, Butter Garlic, Saus Padang, Restoran, Premium, Makan Siang, Makan Malam, Family Friendly, Surabaya Barat</t>
  </si>
  <si>
    <t>100000-200000</t>
  </si>
  <si>
    <t>-7.30788, 112.6789279</t>
  </si>
  <si>
    <t>https://www.google.com/maps/place/Holy+Crabs+-+Spesial+Kepiting+Surabaya/data=!4m7!3m6!1s0x2dd7fd1575170c21:0xf99b119208e901b4!8m2!3d-7.30788!4d112.6789279!16s%2Fg%2F11hfycggmr!19sChIJIQwXdRX91y0RtAHpCJIRm_k?authuser=0&amp;hl=zh-TW&amp;rclk=1</t>
  </si>
  <si>
    <t>Sansekerta - The Authentic Taste Of Indonesia</t>
  </si>
  <si>
    <t>Kafe dengan konsep masakan autentik Indonesia dari berbagai Nusantara.</t>
  </si>
  <si>
    <t>Kuliner Indonesia, Masakan Nusantara, Authentic, Masakan Daerah, Modern, Aesthetic, Instagramable, Cozy, Makan Siang, Makan Malam, Family Friendly, Surabaya Pusat</t>
  </si>
  <si>
    <t>-7.2611209, 112.7486801</t>
  </si>
  <si>
    <t>https://www.google.com/maps/place/Sansekerta+-+The+Authentic+Taste+Of+Indonesia/data=!4m7!3m6!1s0x2dd7f964852dc18b:0x25c2a828000aadff!8m2!3d-7.2611209!4d112.7486801!16s%2Fg%2F11f5dz5xms!19sChIJi8EthWT51y0R_60KACiowiU?authuser=0&amp;hl=zh-TW&amp;rclk=1</t>
  </si>
  <si>
    <t>Mie Ayam Jakarta PAK DOEL</t>
  </si>
  <si>
    <t>Warung mie ayam bergaya Jakarta di kawasan Surabaya Timur.</t>
  </si>
  <si>
    <t>Mie Ayam, Pangsit, Mie Ayam Jakarta, Murah, Terjangkau, Warung, Comfort Food, Makan Siang, Makan Malam, Halal, Surabaya Timur</t>
  </si>
  <si>
    <t>-7.2719923, 112.7609044</t>
  </si>
  <si>
    <t>https://www.google.com/maps/place/Pangsit+Mie+Ayam+Jakarta+PAK+DOEL/data=!4m7!3m6!1s0x2dd7fbd36b937647:0x657b6dab3826fdd7!8m2!3d-7.2719923!4d112.7609044!16s%2Fg%2F11fxftjfj4!19sChIJR3aTa9P71y0R1_0mOKtte2U?authuser=0&amp;hl=zh-TW&amp;rclk=1</t>
  </si>
  <si>
    <t>Taman Karah Indah I</t>
  </si>
  <si>
    <t>Taman kota terawat di kawasan Karah Surabaya Selatan.</t>
  </si>
  <si>
    <t>Taman Kota, Ruang Terbuka Hijau, Outdoor, Olahraga, Jogging Track, Area Bermain Anak, Family Friendly, Kids Friendly, Wisata Gratis, Surabaya Selatan</t>
  </si>
  <si>
    <t>-7.311235, 112.720591</t>
  </si>
  <si>
    <t>https://www.google.com/maps/place/Taman+Karah+Indah+I/data=!4m7!3m6!1s0x2dd7fb7edc0d51f9:0xa82a0dab657e7605!8m2!3d-7.311235!4d112.720591!16s%2Fg%2F11bwqft8nt!19sChIJ-VEN3H771y0RBXZ-ZasNKqg?authuser=0&amp;hl=zh-TW&amp;rclk=1</t>
  </si>
  <si>
    <t>Bon Ami Restaurant - Kombes Pol. M. Duryat</t>
  </si>
  <si>
    <t>Restoran yang lama menjadi ikon kuliner di kawasan Kombes Pol M. Duryat Surabaya Pusat.</t>
  </si>
  <si>
    <t>Restoran, Kuliner Indonesia, Chinese Food, Masakan Indonesia, Family Friendly, Makan Siang, Makan Malam, Murah, Halal, Surabaya Pusat, Legendaris</t>
  </si>
  <si>
    <t>-7.2688889, 112.7386167</t>
  </si>
  <si>
    <t>https://www.google.com/maps/place/Bon+Ami+Restaurant/data=!4m7!3m6!1s0x2dd7fbe070dfeeb9:0xdfcb535c3b2dafb1!8m2!3d-7.2688889!4d112.7386167!16s%2Fg%2F11bbrg6ygg!19sChIJue7fcOD71y0Rsa8tO1xTy98?authuser=0&amp;hl=zh-TW&amp;rclk=1</t>
  </si>
  <si>
    <t>Adventure Land Romokalisari</t>
  </si>
  <si>
    <t>Taman wisata petualangan di kawasan Romokalisari Surabaya Utara.</t>
  </si>
  <si>
    <t>Taman Petualangan, Adventure Park, Flying Fox, Wahana, Outdoor, Family Friendly, Kids Friendly, Remaja, Team Building, Rekreasi, Murah, Surabaya Utara</t>
  </si>
  <si>
    <t>-7.1985305, 112.6648135</t>
  </si>
  <si>
    <t>https://www.google.com/maps/place/Adventure+Land+Romokalisari/data=!4m7!3m6!1s0x2dd7ff3bb2f709a1:0xecc9852fb13f96a1!8m2!3d-7.1985305!4d112.6648135!16s%2Fg%2F11s7v1qtpt!19sChIJoQn3sjv_1y0RoZY_sS-Fyew?authuser=0&amp;hl=zh-TW&amp;rclk=1</t>
  </si>
  <si>
    <t>Coffee at Louis</t>
  </si>
  <si>
    <t>Coffee shop kecil namun cozy milik warga Australia, mengusung budaya ngopi pagi ala Australia.</t>
  </si>
  <si>
    <t>Coffee Shop, Specialty Coffee, Australian Style, Cozy, Minimalis, Homemade Pastry, Breakfast, Single Origin, Surabaya Pusat, Cappuccino, Cold Brew, Tanzania, Big Breakfast, Affordable, WFC, Buka Pagi, Instagramable</t>
  </si>
  <si>
    <t>Rabu - Senin</t>
  </si>
  <si>
    <t>Selasa</t>
  </si>
  <si>
    <t>-7.2840578325668695, 112.73495661349173</t>
  </si>
  <si>
    <t>-7,2840578325668695</t>
  </si>
  <si>
    <t>112,73495661349173</t>
  </si>
  <si>
    <t>https://www.google.com/maps/place/coffee+at+louis/data=!4m2!3m1!1s0x2dd7fbeba4d8407f:0x646c7a3a7e6e628a?sa=X&amp;ved=1t:242&amp;ictx=111</t>
  </si>
  <si>
    <t>Yaman Kuliner</t>
  </si>
  <si>
    <t>Restoran kuliner khas Timur Tengah dengan menu nasi mandi, kabsa, dan roti canai.</t>
  </si>
  <si>
    <t>Kuliner Yaman, Masakan Arab, Timur Tengah, Nasi Mandi, Kabsa, Roti Canai, Kambing, Ayam, Halal, Family Friendly, Makan Siang, Makan Malam, Surabaya Utara</t>
  </si>
  <si>
    <t>-7.232525, 112.741133</t>
  </si>
  <si>
    <t>https://www.google.com/maps/place/Yaman+Kuliner/data=!4m7!3m6!1s0x2dd7f918c5ec78d7:0x64f41ceaab433fa8!8m2!3d-7.232525!4d112.741133!16s%2Fg%2F1hm3h2ztm!19sChIJ13jsxRj51y0RqD9Dq-oc9GQ?authuser=0&amp;hl=zh-TW&amp;rclk=1</t>
  </si>
  <si>
    <t>Bakso Malam Pak To - Sukomanunggal</t>
  </si>
  <si>
    <t>Warung bakso siang hingga malam di kawasan Sukomanunggal Surabaya Barat.</t>
  </si>
  <si>
    <t>Bakso, Bakso Sapi, Kuliner Lokal, Murah, Terjangkau, Warung, Comfort Food, Makan Siang, Makan Malam, Halal, Surabaya Barat</t>
  </si>
  <si>
    <t>-7.2838161, 112.7041931</t>
  </si>
  <si>
    <t>https://www.google.com/maps/place/Bakso+Malam+Pak+To+-+Sukomanunggal/data=!4m7!3m6!1s0x2dd7fc1121b8d2cb:0x82de9e3a15e26ef8!8m2!3d-7.2838161!4d112.7041931!16s%2Fg%2F11b6mhh31p!19sChIJy9K4IRH81y0R-G7iFTqe3oI?authuser=0&amp;hl=zh-TW&amp;rclk=1</t>
  </si>
  <si>
    <t>Kota Tua Surabaya</t>
  </si>
  <si>
    <t>Kawasan bersejarah dengan bangunan-bangunan tua bergaya Eropa dari masa kolonial Belanda.</t>
  </si>
  <si>
    <t>Kota Tua, Heritage, Wisata Sejarah, Arsitektur Kolonial, Belanda, Bangunan Bersejarah, Fotografi, Instagramable, Spot Foto, Surabaya Utara, Edukasi, Walking Tour</t>
  </si>
  <si>
    <t>-7.2390004, 112.7396805</t>
  </si>
  <si>
    <t>https://www.google.com/maps/place/Kota+Tua+Surabaya/data=!4m7!3m6!1s0x2dd7f95a3aaa1d3d:0xa90acbdfee33266f!8m2!3d-7.2390004!4d112.7396805!16s%2Fg%2F11ghn4yw57!19sChIJPR2qOlr51y0RbyYz7t_LCqk?authuser=0&amp;hl=zh-TW&amp;rclk=1</t>
  </si>
  <si>
    <t>Warung Bebek Purnama "P.Saridin"</t>
  </si>
  <si>
    <t>Warung bebek goreng legendaris buka sore hingga malam di Surabaya Pusat.</t>
  </si>
  <si>
    <t>Bebek Goreng, Nasi Bebek, Sambal, Bumbu Rempah, Kuliner Legendaris, Warung, Comfort Food, Makan Malam, Murah, Halal, Surabaya Pusat</t>
  </si>
  <si>
    <t>-7.29291, 112.7521859</t>
  </si>
  <si>
    <t>https://www.google.com/maps/place/Warung+Bebek+Purnama+%22P.+Saridin%22/data=!4m7!3m6!1s0x2dd7fbc3735ca65d:0x615bdaa455a2d5e4!8m2!3d-7.29291!4d112.7521859!16s%2Fg%2F11c5ss23jf!19sChIJXaZcc8P71y0R5NWiVaTaW2E?authuser=0&amp;hl=zh-TW&amp;rclk=1</t>
  </si>
  <si>
    <t>Mie AYAM YAMIN Jakarta Cak Hendrat</t>
  </si>
  <si>
    <t>Warung mie ayam yamin bergaya Jakarta di kawasan Surabaya Pusat.</t>
  </si>
  <si>
    <t>Mie Ayam, Mie Yamin, Kuliner Jakarta, Kecap Manis, Murah, Terjangkau, Warung, Comfort Food, Sarapan, Makan Siang, Makan Malam, Halal, Surabaya Pusat</t>
  </si>
  <si>
    <t>-7.2710826, 112.7538405</t>
  </si>
  <si>
    <t>https://www.google.com/maps/place/Jakarta+Yamin+Noodle+Cak+Hendrat/data=!4m7!3m6!1s0x2dd7fbebd16a2d69:0x2ef5955759c32bf2!8m2!3d-7.2710826!4d112.7538405!16s%2Fg%2F11mvw6ryts!19sChIJaS1q0ev71y0R8ivDWVeV9S4?authuser=0&amp;hl=zh-TW&amp;rclk=1</t>
  </si>
  <si>
    <t>Depot Soto Tapak Siring</t>
  </si>
  <si>
    <t>Depot soto di kawasan Tapak Siring Surabaya Pusat buka pagi hingga malam.</t>
  </si>
  <si>
    <t>Soto, Soto Ayam, Soto Daging, Kuliner Lokal, Depot, Comfort Food, Sarapan, Makan Siang, Makan Malam, Murah, Halal, Surabaya Pusat</t>
  </si>
  <si>
    <t>-7.2657187, 112.7638623</t>
  </si>
  <si>
    <t>https://www.google.com/maps/place/Soto+Tapak+Siring/data=!4m7!3m6!1s0x2dd7f98009fc3719:0xd5269e4a8e8e1ba7!8m2!3d-7.2657187!4d112.7638623!16s%2Fg%2F11bxg5wxhx!19sChIJGTf8CYD51y0RpxuOjkqeJtU?authuser=0&amp;hl=zh-TW&amp;rclk=1</t>
  </si>
  <si>
    <t>Djangkar Seafood Surabaya</t>
  </si>
  <si>
    <t>Restoran seafood premium dengan tema pelabuhan buka sore hingga malam di Surabaya Pusat.</t>
  </si>
  <si>
    <t>Seafood, Restoran, Premium, Djangkar, Tema Pelabuhan, Kepiting, Udang, Ikan, Cumi, Makan Malam, Buka Sore, Surabaya Pusat, Halal, Family Friendly</t>
  </si>
  <si>
    <t>-7.2483145, 112.7504374</t>
  </si>
  <si>
    <t>https://www.google.com/maps/place/Djangkar+Seafood+Surabaya/data=!4m7!3m6!1s0x2dd7f9a8c1238443:0xedde1d0f5ece6eb!8m2!3d-7.2483145!4d112.7504374!16s%2Fg%2F11ycyhlbw5!19sChIJQ4Qjwaj51y0R6-bs9dDh3Q4?authuser=0&amp;hl=zh-TW&amp;rclk=1</t>
  </si>
  <si>
    <t>Aneka Hidangan Nikmat Rasa</t>
  </si>
  <si>
    <t>Restoran dengan aneka hidangan Indonesia di Surabaya Selatan.</t>
  </si>
  <si>
    <t>Kuliner Indonesia, Masakan Indonesia, Aneka Hidangan, Murah, Terjangkau, Makan Siang, Family Friendly, Halal, Surabaya Selatan</t>
  </si>
  <si>
    <t>-7.3216069, 112.7453881</t>
  </si>
  <si>
    <t>https://www.google.com/maps/place/Nikmat+Rasa/data=!4m7!3m6!1s0x2dd7fb04426e2391:0x48200e7e67e98715!8m2!3d-7.3216069!4d112.7453881!16s%2Fg%2F11zxsjb6l!19sChIJkSNuQgT71y0RFYfpZ34OIEg?authuser=0&amp;hl=zh-TW&amp;rclk=1</t>
  </si>
  <si>
    <t>Upper Room Cafe &amp; Resto</t>
  </si>
  <si>
    <t>Kafe dan restoran di lantai atas dengan pemandangan menarik di Surabaya Selatan.</t>
  </si>
  <si>
    <t>Kafe, Restoran, Rooftop, Upper Room, Pemandangan, Surabaya Selatan, Sarapan, Brunch, Makan Siang, Kopi, Cozy, Aesthetic, WFC</t>
  </si>
  <si>
    <t>-7.3065735, 112.7657903</t>
  </si>
  <si>
    <t>https://www.google.com/maps/place/Upper+Room+Cafe+%26+Resto/data=!4m7!3m6!1s0x2dd7faff788650c1:0xe37a13e5d4dbb0f0!8m2!3d-7.3065735!4d112.7657903!16s%2Fg%2F11g9dt89lj!19sChIJwVCGeP_61y0R8LDb1OUTeuM?authuser=0&amp;hl=zh-TW&amp;rclk=1</t>
  </si>
  <si>
    <t>Bajawa Flores NTT Surabaya KOTA - Tengah</t>
  </si>
  <si>
    <t>Restoran dengan cita rasa autentik masakan Flores NTT, khususnya daerah Bajawa.</t>
  </si>
  <si>
    <t>Kuliner NTT, Masakan Flores, Bajawa, Se'i Sapi, Daging Asap, Ikan Asap, Kuliner Nusantara, Kuliner Unik, Halal, Family Friendly, Surabaya Pusat</t>
  </si>
  <si>
    <t>25000-150000</t>
  </si>
  <si>
    <t>-7.2732098, 112.7486985</t>
  </si>
  <si>
    <t>https://www.google.com/maps/place/Bajawa+Flores+NTT+Surabaya+KOTA+-+Tengah/data=!4m7!3m6!1s0x2dd7fbe2ffdfad17:0x3d4dbd1798b4a8c9!8m2!3d-7.2732098!4d112.7486985!16s%2Fg%2F11wy5qt_z3!19sChIJF63f_-L71y0Ryai0mBe9TT0?authuser=0&amp;hl=zh-TW&amp;rclk=1</t>
  </si>
  <si>
    <t>DE BUN</t>
  </si>
  <si>
    <t>Kafe premium dengan specialty coffee, pastry artisan, dan hidangan estetis di Surabaya Pusat.</t>
  </si>
  <si>
    <t>Kafe, Coffee Shop, Specialty Coffee, Pastry, Premium, Aesthetic, Instagramable, Cozy, Modern, Surabaya Pusat, WFC, Hangout</t>
  </si>
  <si>
    <t>-7.2745876, 112.7500753</t>
  </si>
  <si>
    <t>https://www.google.com/maps/place/DE+BUN/data=!4m7!3m6!1s0x2dd7fb90f3c6ec2b:0x7ba9e1f529c6bcb0!8m2!3d-7.2745876!4d112.7500753!16s%2Fg%2F11fncs94_d!19sChIJK-zG85D71y0RsLzGKfXhqXs?authuser=0&amp;hl=zh-TW&amp;rclk=1</t>
  </si>
  <si>
    <t>Dapur Fizzul (Surabaya) - Spesialis Ikan Kuah Kuning Kenari &amp; Papeda No 1 di Dunia</t>
  </si>
  <si>
    <t>Restoran spesialis kuliner Papua dengan ikan kuah kuning kenari dan papeda.</t>
  </si>
  <si>
    <t>Kuliner Papua, Ikan Kuah Kuning, Papeda, Sagu, Kenari, Kuliner Nusantara, Kuliner Unik, Masakan Daerah, Halal, Family Friendly, Surabaya Timur, Wisata Kuliner, Exotic Food</t>
  </si>
  <si>
    <t>-7.2670573, 112.7611443</t>
  </si>
  <si>
    <t>https://www.google.com/maps/place/Dapur+Fizzul+%28Surabaya%29+-+Spesialis+Ikan+Kuah+Kuning+Kenari+%26+Papeda+No+1+di+Dunia/data=!4m7!3m6!1s0x2dd7fb5d013c8d39:0x4079c2499408aefc!8m2!3d-7.2670573!4d112.7611443!16s%2Fg%2F11vlt3q20h!19sChIJOY08AV371y0R_K4IlEnCeUA?authuser=0&amp;hl=zh-TW&amp;rclk=1</t>
  </si>
  <si>
    <t>Pangsit Mie Ayam BMW</t>
  </si>
  <si>
    <t>Warung mie ayam pangsit populer dengan nama unik di Surabaya Timur.</t>
  </si>
  <si>
    <t>Mie Ayam, Pangsit, Bakso, Kuliner Lokal, Murah, Terjangkau, Warung, Comfort Food, Sarapan, Makan Siang, Halal, Surabaya Timur</t>
  </si>
  <si>
    <t>-7.2585661, 112.7575006</t>
  </si>
  <si>
    <t>https://www.google.com/maps/place/Pangsit+Mie+Ayam+BMW/data=!4m7!3m6!1s0x2dd7f979823d7407:0xb00ed97d2340f685!8m2!3d-7.2585661!4d112.7575006!16s%2Fg%2F11b6bc8tnd!19sChIJB3Q9gnn51y0RhfZAI33ZDrA?authuser=0&amp;hl=zh-TW&amp;rclk=1</t>
  </si>
  <si>
    <t>Sari Laut Kapasan Cabang Rungkut</t>
  </si>
  <si>
    <t>Cabang restoran seafood Sari Laut Kapasan legendaris di Rungkut Surabaya Selatan.</t>
  </si>
  <si>
    <t>Seafood, Sari Laut, Kuliner Legendaris, Kepiting, Udang, Ikan, Cumi, Kerang, Makan Siang, Makan Malam, Buka Larut, Family Friendly, Surabaya Selatan</t>
  </si>
  <si>
    <t>-7.3310734, 112.7735633</t>
  </si>
  <si>
    <t>https://www.google.com/maps/place/Sari+Laut+Kapasan+Cabang+Rungkut/data=!4m7!3m6!1s0x2dd7fac49828b0eb:0xf341ded3cca16770!8m2!3d-7.3310734!4d112.7735633!16s%2Fg%2F11dyzdch37!19sChIJ67AomMT61y0RcGehzNPeQfM?authuser=0&amp;hl=zh-TW&amp;rclk=1</t>
  </si>
  <si>
    <t>Nasi Bebek Sayank Anak Pak Yudi</t>
  </si>
  <si>
    <t>Warung nasi bebek buka siang hingga sore di kawasan Surabaya Utara.</t>
  </si>
  <si>
    <t>Nasi Bebek, Bebek Goreng, Sambal, Kuliner Lokal, Warung, Comfort Food, Makan Siang, Murah, Halal, Surabaya Utara</t>
  </si>
  <si>
    <t>-7.2431322, 112.7366051</t>
  </si>
  <si>
    <t>https://www.google.com/maps/place/Nasi+Bebek+Sayank+Anak+Pak+Yudi/data=!4m7!3m6!1s0x2dd7f93e6654248f:0x7d3ad9260df4d347!8m2!3d-7.2431322!4d112.7366051!16s%2Fg%2F11b6hv3bdp!19sChIJjyRUZj751y0RR9P0DSbZOn0?authuser=0&amp;hl=zh-TW&amp;rclk=1</t>
  </si>
  <si>
    <t>Rawon Mas Popon</t>
  </si>
  <si>
    <t>Warung rawon buka 24 jam di kawasan Surabaya Timur.</t>
  </si>
  <si>
    <t>Rawon, Rawon Sapi, Buka 24 Jam, Kuliner Malam, Khas Surabaya, Comfort Food, Halal, Warung, Kuliner Lokal, Surabaya Timur</t>
  </si>
  <si>
    <t>-7.256672, 112.763515</t>
  </si>
  <si>
    <t>https://www.google.com/maps/place/Rawon+Mas+Popon/data=!4m7!3m6!1s0x2dd7f92fcec2a6fd:0x1a15cbe8034b0738!8m2!3d-7.256672!4d112.763515!16s%2Fg%2F11j81c1rzk!19sChIJ_abCzi_51y0ROAdLA-jLFRo?authuser=0&amp;hl=zh-TW&amp;rclk=1</t>
  </si>
  <si>
    <t>Bakso &amp; Mie Ayam Cak Jay</t>
  </si>
  <si>
    <t>Warung bakso dan mie ayam buka pagi hingga siang di Surabaya Selatan.</t>
  </si>
  <si>
    <t>Bakso, Mie Ayam, Kuliner Lokal, Murah, Terjangkau, Warung, Comfort Food, Sarapan, Makan Siang, Halal, Surabaya Selatan</t>
  </si>
  <si>
    <t>Minggu-Kamis</t>
  </si>
  <si>
    <t>-7.296029, 112.7338222</t>
  </si>
  <si>
    <t>https://www.google.com/maps/place/Bakso+%26+Mie+Ayam+Cak+Jay/data=!4m7!3m6!1s0x2dd7fb9739deb379:0x6601c5ca82d0ab!8m2!3d-7.296029!4d112.7338222!16s%2Fg%2F11btmq5m5h!19sChIJebPeOZf71y0Rq9CCysUBZgA?authuser=0&amp;hl=zh-TW&amp;rclk=1</t>
  </si>
  <si>
    <t>Soto Daging Rawon Iga 45</t>
  </si>
  <si>
    <t>Warung dengan dua menu khas Jawa Timur: soto daging dan rawon iga di Surabaya Barat.</t>
  </si>
  <si>
    <t>Soto Daging, Rawon Iga, Iga Sapi, Kuliner Jawa Timur, Kuliner Unik, Comfort Food, Sarapan, Makan Siang, Murah, Halal, Surabaya Barat</t>
  </si>
  <si>
    <t>-7.2902023, 112.719402</t>
  </si>
  <si>
    <t>https://www.google.com/maps/place/Soto+Daging+Rawon+Iga+45/data=!4m7!3m6!1s0x2dd7fb29f59981d1:0xb79c2ef1d416ad99!8m2!3d-7.2902023!4d112.719402!16s%2Fg%2F11rsd_rt90!19sChIJ0YGZ9Sn71y0Rma0W1PEunLc?authuser=0&amp;hl=zh-TW&amp;rclk=1</t>
  </si>
  <si>
    <t>New Pelabuhan Seafood &amp; Chinese Food Restaurant</t>
  </si>
  <si>
    <t>Restoran seafood dan Chinese food di kawasan Surabaya Selatan.</t>
  </si>
  <si>
    <t>Seafood, Chinese Food, Masakan Tionghoa, Family Friendly, Makan Siang, Makan Malam, Surabaya Selatan, Restoran, Halal Friendly</t>
  </si>
  <si>
    <t>-7.3225098, 112.7451301</t>
  </si>
  <si>
    <t>https://www.google.com/maps/place/New+Pelabuhan+Seafood+%26+Chinese+Food+Restaurant/data=!4m7!3m6!1s0x2dd7fb1b66d204eb:0x6a25942af8042301!8m2!3d-7.3225098!4d112.7451301!16s%2Fg%2F11fs9p1smn!19sChIJ6wTSZhv71y0RASME-CqUJWo?authuser=0&amp;hl=zh-TW&amp;rclk=1</t>
  </si>
  <si>
    <t>Taman M. Duryat</t>
  </si>
  <si>
    <t>Taman kota di kawasan Surabaya Pusat yang ramai sebagai ruang terbuka hijau.</t>
  </si>
  <si>
    <t>Taman Kota, Ruang Terbuka Hijau, Outdoor, Santai, Healing, Family Friendly, Wisata Gratis, Buka 24 Jam, Surabaya Pusat</t>
  </si>
  <si>
    <t>-7.2684728, 112.7383377</t>
  </si>
  <si>
    <t>https://www.google.com/maps/place/Taman+M.+Duryat/data=!4m7!3m6!1s0x2dd7fbe072a25673:0x528db17315bd3586!8m2!3d-7.2684728!4d112.7383377!16s%2Fg%2F11g698y8w2!19sChIJc1aicuD71y0RhjW9FXOxjVI?authuser=0&amp;hl=zh-TW&amp;rclk=1</t>
  </si>
  <si>
    <t>Nasi Bebek H. Fauzi</t>
  </si>
  <si>
    <t>Warung nasi bebek buka siang hingga malam di kawasan Surabaya Pusat.</t>
  </si>
  <si>
    <t>Nasi Bebek, Bebek Goreng, Sambal, Pedas, Kuliner Lokal, Warung, Comfort Food, Makan Siang, Makan Malam, Murah, Halal, Surabaya Pusat</t>
  </si>
  <si>
    <t>-7.2953277, 112.7541238</t>
  </si>
  <si>
    <t>https://www.google.com/maps/place/Nasi+Bebek+H.+Fauzi/data=!4m7!3m6!1s0x2dd7fbb1ca89e947:0x273590fb9d993b18!8m2!3d-7.2953277!4d112.7541238!16s%2Fg%2F11cm75l9tf!19sChIJR-mJyrH71y0RGDuZnfuQNSc?authuser=0&amp;hl=zh-TW&amp;rclk=1</t>
  </si>
  <si>
    <t>Soto Ayam Surabaya Cak Nur</t>
  </si>
  <si>
    <t>Warung soto ayam khas Surabaya buka pagi hingga sore di Surabaya Pusat.</t>
  </si>
  <si>
    <t>Soto Ayam, Soto Surabaya, Kuliner Khas Surabaya, Comfort Food, Sarapan, Makan Siang, Murah, Halal, Warung, Surabaya Pusat</t>
  </si>
  <si>
    <t>-7.2693164, 112.7351645</t>
  </si>
  <si>
    <t>https://www.google.com/maps/place/Soto+Ayam+Surabaya+Cak+Nur/data=!4m7!3m6!1s0x2dd7fbe108adf1db:0x7c1a00928aed3586!8m2!3d-7.2693164!4d112.7351645!16s%2Fg%2F1hm2z104d!19sChIJ2_GtCOH71y0RhjXtipIAGnw?authuser=0&amp;hl=zh-TW&amp;rclk=1</t>
  </si>
  <si>
    <t>Sate Solo Pak Dono</t>
  </si>
  <si>
    <t>Warung sate khas Solo di Surabaya Timur dengan resep autentik gaya Solo.</t>
  </si>
  <si>
    <t>Sate, Sate Solo, Sate Ayam, Sate Kambing, Bumbu Kacang, Kuliner Solo, Murah, Comfort Food, Makan Siang, Makan Malam, Halal, Surabaya Timur</t>
  </si>
  <si>
    <t>-7.2582853, 112.7576459</t>
  </si>
  <si>
    <t>https://www.google.com/maps/place/Sate+Solo+Pak+Dono/data=!4m7!3m6!1s0x2dd7f979848654d1:0x584fc63e2d97db1b!8m2!3d-7.2582853!4d112.7576459!16s%2Fg%2F11b6b3ms90!19sChIJ0VSGhHn51y0RG9uXLT7GT1g?authuser=0&amp;hl=zh-TW&amp;rclk=1</t>
  </si>
  <si>
    <t>Rumah Makan Idaman Manyar - Manyar Kertoarjo 5</t>
  </si>
  <si>
    <t>Rumah makan lama di kawasan Manyar Kertoarjo Surabaya Timur.</t>
  </si>
  <si>
    <t>Rumah Makan, Kuliner Indonesia, Chinese Food, Masakan Indonesia, Family Friendly, Sarapan, Makan Siang, Makan Malam, Murah, Halal, Surabaya Timur</t>
  </si>
  <si>
    <t>-7.2790823, 112.765846</t>
  </si>
  <si>
    <t>https://www.google.com/maps/place/Idaman+Chinese+and+Indonesian+Restaurant/data=!4m7!3m6!1s0x2dd7fa3398cd8fb1:0xec22972ed782e4e5!8m2!3d-7.2790823!4d112.765846!16s%2Fg%2F1hc2rbz3w!19sChIJsY_NmDP61y0R5eSC1y6XIuw?authuser=0&amp;hl=zh-TW&amp;rclk=1</t>
  </si>
  <si>
    <t>Wisata Perahu Kalimas Rute Monkasel - Siola</t>
  </si>
  <si>
    <t>Rute wisata perahu Kalimas menghubungkan Monkasel dengan Siola.</t>
  </si>
  <si>
    <t>Wisata Air, Perahu, Susur Sungai, Sungai Kalimas, Monkasel, Siola, Outdoor, City View, Instagramable, Family Friendly, Couple Friendly, Murah, Santai, Surabaya Pusat</t>
  </si>
  <si>
    <t>-7.2623406, 112.7457631</t>
  </si>
  <si>
    <t>https://www.google.com/maps/place/Wisata+Perahu+Kalimas+Rute+Monkasel+-+Siola/data=!4m7!3m6!1s0x2dd7fb7d5d9c785d:0x3f9326572701e5e6!8m2!3d-7.2623406!4d112.7457631!16s%2Fg%2F11fqqbfjhx!19sChIJXXicXX371y0R5uUBJ1cmkz8?authuser=0&amp;hl=zh-TW&amp;rclk=1</t>
  </si>
  <si>
    <t>Bakso Solo Cak Lar</t>
  </si>
  <si>
    <t>Warung bakso khas Solo buka siang hingga tengah malam di Surabaya Pusat.</t>
  </si>
  <si>
    <t>Bakso, Bakso Solo, Kuliner Solo, Comfort Food, Murah, Terjangkau, Warung, Makan Siang, Makan Malam, Buka Malam, Halal, Surabaya Pusat</t>
  </si>
  <si>
    <t>-7.2736371, 112.7247313</t>
  </si>
  <si>
    <t>https://www.google.com/maps/place/Bakso+Solo+Cak+Lar/data=!4m7!3m6!1s0x2dd7fb2fc37c2347:0xceff8fd909aadfcf!8m2!3d-7.2736371!4d112.7247313!16s%2Fg%2F11qndmv56b!19sChIJRyN8wy_71y0Rz9-qCdmP_84?authuser=0&amp;hl=zh-TW&amp;rclk=1</t>
  </si>
  <si>
    <t>Zybrick Coffee &amp; Cantina</t>
  </si>
  <si>
    <t>Kafe dengan konsep cantina bergaya Western di kawasan Surabaya Selatan.</t>
  </si>
  <si>
    <t>Kafe, Coffee Shop, Cantina, Western, Aesthetic, Instagramable, Cozy, Hangout, Nongkrong, WFC, Surabaya Selatan</t>
  </si>
  <si>
    <t>-7.3397275, 112.7351597</t>
  </si>
  <si>
    <t>https://www.google.com/maps/place/Zybrick+Coffee+%26+Cantina/data=!4m7!3m6!1s0x2dd7fb48ef8437a5:0xbada1c81486b5bfc!8m2!3d-7.3397275!4d112.7351597!16s%2Fg%2F11c48sdmb0!19sChIJpTeE70j71y0R_FtrSIEc2ro?authuser=0&amp;hl=zh-TW&amp;rclk=1</t>
  </si>
  <si>
    <t>Haewoo One Stop Korean Food - Dharmahusada Indah 1</t>
  </si>
  <si>
    <t>Restoran Korean food one-stop lengkap di kawasan Dharmahusada Surabaya Timur.</t>
  </si>
  <si>
    <t>Korean Food, Masakan Korea, Korean BBQ, Tteokbokki, Bibimbap, Ramyeon, K-Food, Family Friendly, Surabaya Timur, Halal, Terjangkau</t>
  </si>
  <si>
    <t>-7.2725651, 112.773655</t>
  </si>
  <si>
    <t>https://www.google.com/maps/place/Haewoo+One+Stop+Korean+Food+-+Dharmahusada+Indah+1/data=!4m7!3m6!1s0x2dd7fbe265170721:0xf93887d070261e8e!8m2!3d-7.2725651!4d112.773655!16s%2Fg%2F11p61px1gw!19sChIJIQcXZeL71y0Rjh4mcNCHOPk?authuser=0&amp;hl=zh-TW&amp;rclk=1</t>
  </si>
  <si>
    <t>Sate Kambing Cak Lam</t>
  </si>
  <si>
    <t>Kafe ceria spesialis sate kambing khas Jawa di Surabaya Selatan.</t>
  </si>
  <si>
    <t>Sate Kambing, Sate, Kuliner Jawa, Kuliner Lokal, Comfort Food, Makan Siang, Makan Malam, Murah, Halal, Surabaya Selatan</t>
  </si>
  <si>
    <t>-7.3459696, 112.7756144</t>
  </si>
  <si>
    <t>https://www.google.com/maps/place/Sate+Kambing+Cak+Lam/data=!4m7!3m6!1s0x2dd7e532b25e956d:0x810850545206840!8m2!3d-7.3459696!4d112.7756144!16s%2Fg%2F11b7f2pn8_!19sChIJbZVesjLl1y0RQGggRQWFEAg?authuser=0&amp;hl=zh-TW&amp;rclk=1</t>
  </si>
  <si>
    <t>Taman Teratai</t>
  </si>
  <si>
    <t>Taman kota berbentuk daun teratai dengan lapangan futsal, jogging track, kolam air mancur, dan wahana bermain anak.</t>
  </si>
  <si>
    <t>Taman Kota, Park, Outdoor, Lapangan Futsal, Jogging Track, Refleksi Kaki, Kolam Air Mancur, Family Friendly, Kids Friendly, Wisata Gratis, Surabaya Utara, Olahraga, Healing</t>
  </si>
  <si>
    <t>-7.254844069422247, 112.7555437490737</t>
  </si>
  <si>
    <t>-7,254844069422247</t>
  </si>
  <si>
    <t>112,7555437490737</t>
  </si>
  <si>
    <t>https://www.google.com/maps/place/Taman+Teratai/data=!4m2!3m1!1s0x0:0x12e494e676c51fbe?sa=X&amp;ved=1t:2428&amp;ictx=111</t>
  </si>
  <si>
    <t xml:space="preserve">Super Sate </t>
  </si>
  <si>
    <t>Warung sate buka subuh hingga pagi saja di Surabaya Selatan.</t>
  </si>
  <si>
    <t>Sate, Sate Ayam, Sate Kambing, Kuliner Pagi, Buka Subuh, Sarapan, Kuliner Unik, Murah, Halal, Warung, Surabaya Selatan, Hidden Gem</t>
  </si>
  <si>
    <t>-7.312967768773976, 112.76620250674587</t>
  </si>
  <si>
    <t>https://www.google.com/maps/place/SuperSate+%28%E8%B6%85%E7%B4%9A%E6%B2%99%E7%88%B9%EF%BC%89/data=!4m7!3m6!1s0x3442a9af256b6099:0x86963c9a7dd19a68!8m2!3d25.0650803!4d121.5016177!16s%2Fg%2F11rhpqdwxs!19sChIJmWBrJa-pQjQRaJrRfZo8loY?authuser=0&amp;hl=zh-TW&amp;rclk=1</t>
  </si>
  <si>
    <t>Apeng Kwetiau Medan</t>
  </si>
  <si>
    <t>Restoran legendaris menyajikan kwetiau khas Medan dengan pilihan seafood, ayam, maupun sapi.</t>
  </si>
  <si>
    <t>Kwetiau Medan, Chinese Food, Seafood, Kuliner Medan, Mie, Legendaris, Keluarga, Surabaya Pusat, Halal Friendly, Family Friendly, Makan Pagi, Makan Siang, Makan Malam, Porsi Besar, Autentik</t>
  </si>
  <si>
    <t>-7.268218038096425, 112.72940833122168</t>
  </si>
  <si>
    <t>https://www.google.com/maps/place/Apeng+Kwetiau+Medan/data=!4m2!3m1!1s0x2dd7fb94d6e5e18d:0x5014df8369ab113c?sa=X&amp;ved=1t:242&amp;ictx=111</t>
  </si>
  <si>
    <t>Warung H.Mufid (Rawon Balungan Benowo)</t>
  </si>
  <si>
    <t>Warung rawon balungan di kawasan Benowo Surabaya Barat.</t>
  </si>
  <si>
    <t>Rawon, Rawon Balungan, Iga Sapi, Kuliner Lokal, Murah, Terjangkau, Warung, Comfort Food, Sarapan, Makan Siang, Makan Malam, Halal, Surabaya Barat, Hidden Gem</t>
  </si>
  <si>
    <t>-7.235906, 112.6081684</t>
  </si>
  <si>
    <t>https://www.google.com/maps/place/Warung+H.Mufid+%28Rawon+Balungan+Benowo%29/data=!4m7!3m6!1s0x2e780087d166982f:0xe657f872b73de7e0!8m2!3d-7.235906!4d112.6081684!16s%2Fg%2F11b6gpbxx8!19sChIJL5hm0YcAeC4R4Oc9t3L4V-Y?authuser=0&amp;hl=zh-TW&amp;rclk=1</t>
  </si>
  <si>
    <t>Taman Flora Bratang Surabaya</t>
  </si>
  <si>
    <t>Taman Flora adalah fasilitas publik Pemkot Surabaya yang bebas dikunjungi masyarakat umum tanpa biaya masuk.</t>
  </si>
  <si>
    <t>Taman Kota, Taman Flora, Edukasi, Satwa, Keluarga, Anak-anak, Ruang Terbuka Hijau, Fotografi, Santai, Wisata Gratis, Outdoor, Family Friendly, Kids Friendly, Surabaya Timur, Bratang, Healing, Olahraga</t>
  </si>
  <si>
    <t>-7.295409918437255, 112.76169337116418</t>
  </si>
  <si>
    <t>-7,295409918437255</t>
  </si>
  <si>
    <t>112,76169337116418</t>
  </si>
  <si>
    <t>https://www.google.com/maps/place/Taman+Flora+Bratang+Surabaya/data=!4m2!3m1!1s0x2dd7fbb2807f4593:0x51d06bd30548e1d6?sa=X&amp;ved=1t:155783&amp;ictx=111</t>
  </si>
  <si>
    <t>THE SOCIALITE SURABAYA</t>
  </si>
  <si>
    <t>Kafe premium bergaya sosialita di kawasan Surabaya Selatan.</t>
  </si>
  <si>
    <t>Kafe Premium, Mewah, Eksklusif, Sosialita, Instagramable, Aesthetic, Modern, Cozy, Specialty Coffee, Mocktail, Surabaya Selatan</t>
  </si>
  <si>
    <t>-7.2906759, 112.7308801</t>
  </si>
  <si>
    <t>https://www.google.com/maps/place/THE+SOCIALITE+SURABAYA/data=!4m7!3m6!1s0x2dd7fb93a5777e8f:0x302d356d422c95c5!8m2!3d-7.2906759!4d112.7308801!16s%2Fg%2F11c2nc6p6l!19sChIJj353pZP71y0RxZUsQm01LTA?authuser=0&amp;hl=zh-TW&amp;rclk=1</t>
  </si>
  <si>
    <t>Boncafe - Pregolan</t>
  </si>
  <si>
    <t>Menyediakan aneka menu steak dengan berbagai pilihan jenis daging termasuk ayam. Cocok untuk keluarga.</t>
  </si>
  <si>
    <t>Steak, Steakhouse, Western Food, Daging Sapi, Ayam Panggang, Kuliner Western, Family Friendly, Makan Siang, Makan Malam, Premium, Surabaya Pusat, Pregolan, Couple Friendly, Restoran, Halal</t>
  </si>
  <si>
    <t>-7.2661868, 112.7397954</t>
  </si>
  <si>
    <t>https://www.google.com/maps/place/Boncaf%C3%A9+-+Pregolan/data=!4m7!3m6!1s0x2dd7fbdff0da1b6b:0x8445a0ff1627a868!8m2!3d-7.2661868!4d112.7397954!16s%2Fg%2F1tfvw7xk!19sChIJaxva8N_71y0RaKgnFv-gRYQ?authuser=0&amp;hl=zh-TW&amp;rclk=1</t>
  </si>
  <si>
    <t>Bakso Bonnet</t>
  </si>
  <si>
    <t>Warung bakso populer di kawasan Surabaya Timur dengan ribuan ulasan positif.</t>
  </si>
  <si>
    <t>Bakso, Bakso Sapi, Kuliner Lokal, Murah, Terjangkau, Warung, Comfort Food, Makan Siang, Makan Malam, Halal, Surabaya Timur</t>
  </si>
  <si>
    <t>-7.2784272, 112.765886</t>
  </si>
  <si>
    <t>https://www.google.com/maps/place/Bakso+Bonnet/data=!4m7!3m6!1s0x2dd7fa33aae5fb87:0xc0c9d00394e86c4f!8m2!3d-7.2784272!4d112.765886!16s%2Fg%2F11cn92z8pg!19sChIJh_vlqjP61y0RT2zolAPQycA?authuser=0&amp;hl=zh-TW&amp;rclk=1</t>
  </si>
  <si>
    <t>Sentra Wisata Kuliner Convention Hall</t>
  </si>
  <si>
    <t>Sentra wisata kuliner buka 24 jam di kawasan Convention Hall Surabaya Timur.</t>
  </si>
  <si>
    <t>Sentra Kuliner, Food Court, Kuliner Murah, Terjangkau, Beragam Pilihan, Buka 24 Jam, Family Friendly, Surabaya Timur, Convention Hall, Halal</t>
  </si>
  <si>
    <t>-7.2893635, 112.7834711</t>
  </si>
  <si>
    <t>https://www.google.com/maps/place/Sentra+Wisata+Kuliner+Convention+Hall/data=!4m7!3m6!1s0x2dd7fb6b0433122f:0xedf793a530449c77!8m2!3d-7.2893635!4d112.7834711!16s%2Fg%2F11grpqy1x3!19sChIJLxIzBGv71y0Rd5xEMKWT9-0?authuser=0&amp;hl=zh-TW&amp;rclk=1</t>
  </si>
  <si>
    <t>Bakso Pratama</t>
  </si>
  <si>
    <t>Restoran pesan di konter dengan menu bakso, tahu isi, dan pangsit di Surabaya Barat.</t>
  </si>
  <si>
    <t>Bakso, Tahu, Pangsit, Kuliner Lokal, Murah, Terjangkau, Restoran, Comfort Food, Makan Siang, Makan Malam, Halal, Surabaya Barat</t>
  </si>
  <si>
    <t>-7.2842517, 112.7082558</t>
  </si>
  <si>
    <t>https://www.google.com/maps/place/Bakso+Pratama/data=!4m7!3m6!1s0x2dd7fc0c69ecde97:0x55c1d3294be8442e!8m2!3d-7.2842517!4d112.7082558!16s%2Fg%2F1hm5_182t!19sChIJl97saQz81y0RLkToSynTwVU?authuser=0&amp;hl=zh-TW&amp;rclk=1</t>
  </si>
  <si>
    <t>Taman Kunang-Kunang</t>
  </si>
  <si>
    <t>Taman seluas 400 m² diresmikan 2010 di Rungkut, dilengkapi lapangan futsal, lapangan basket, dan area bermain anak.</t>
  </si>
  <si>
    <t>Taman Kota, Taman Tematik, Outdoor, Night View, Aesthetic, Instagramable, Spot Foto, Wisata Malam, Family Friendly, Kids Friendly, Couple Friendly, Healing, Santai, Ruang Terbuka Hijau, Wisata Gratis, Surabaya Selatan, Rungkut, Lapangan Futsal, Lapangan Basket, Buka 24 Jam</t>
  </si>
  <si>
    <t>-7.318220199999999, 112.7842405</t>
  </si>
  <si>
    <t>-7,318220199999999</t>
  </si>
  <si>
    <t>112,7842405</t>
  </si>
  <si>
    <t>https://www.google.com/maps?vet=10CAAQoqAOahcKEwi45af0zqiVAxUAAAAAHQAAAAAQBQ..i&amp;pvq=Cg0vZy8xMWI2Y3Bod2hyIhkKE1RhbWFuIEt1bmFuZy1LdW5hbmcQAhgD&amp;lqi=ChNUYW1hbiBLdW5hbmctS3VuYW5nSPfb37qZqoCACFohEAAQARACGAAYARgCIhN0YW1hbiBrdW5hbmcga3VuYW5nkgEEcGFyaw&amp;fvr=1&amp;cs=1&amp;um=1&amp;ie=UTF-8&amp;fb=1&amp;gl=id&amp;sa=X&amp;ftid=0x2dd7faecf437a521:0xc20515bde56f72ce</t>
  </si>
  <si>
    <t>Pecel Rawon Tetelan Gapuro</t>
  </si>
  <si>
    <t>Warung dengan menu unik pecel, rawon, dan tetelan sapi di Surabaya Selatan.</t>
  </si>
  <si>
    <t>Pecel, Rawon, Tetelan Sapi, Kuliner Unik, Kuliner Jawa Timur, Makan Malam, Buka Sore, Murah, Halal, Warung, Surabaya Selatan</t>
  </si>
  <si>
    <t>-7.3113632, 112.7354573</t>
  </si>
  <si>
    <t>https://www.google.com/maps/place/Pecel+Rawon+Tetelan+Gapuro/data=!4m7!3m6!1s0x2dd7fb00627790a3:0xecfd8f0e3dd8fb39!8m2!3d-7.3113632!4d112.7354573!16s%2Fg%2F11y37ql3kl!19sChIJo5B3YgD71y0ROfvYPQ6P_ew?authuser=0&amp;hl=zh-TW&amp;rclk=1</t>
  </si>
  <si>
    <t>Warung Bebek Kanwa 24</t>
  </si>
  <si>
    <t>Warung bebek buka siang hingga malam di kawasan Surabaya Selatan.</t>
  </si>
  <si>
    <t>Bebek Goreng, Nasi Bebek, Sambal, Kuliner Lokal, Warung, Comfort Food, Makan Siang, Makan Malam, Murah, Halal, Surabaya Selatan</t>
  </si>
  <si>
    <t>-7.2846788, 112.7305273</t>
  </si>
  <si>
    <t>https://www.google.com/maps/place/Warung+Bebek+Kanwa+24/data=!4m7!3m6!1s0x2dd7fb751083d98f:0x7b4643e49564d937!8m2!3d-7.2846788!4d112.7305273!16s%2Fg%2F11v0ytbfr_!19sChIJj9mDEHX71y0RN9lkleRDRns?authuser=0&amp;hl=zh-TW&amp;rclk=1</t>
  </si>
  <si>
    <t>Nur Pacific Restaurant Gubeng</t>
  </si>
  <si>
    <t>Restoran besar di kawasan Gubeng Surabaya Pusat dengan menu masakan Indonesia dan Eropa.</t>
  </si>
  <si>
    <t>Restoran, Kuliner Indonesia, Western, Pasta, Seafood, Steak, Family Friendly, Makan Pagi, Makan Siang, Makan Malam, Surabaya Pusat, Gubeng</t>
  </si>
  <si>
    <t>-7.2727093, 112.7480262</t>
  </si>
  <si>
    <t>https://www.google.com/maps/place/Nur+Pacific+Restaurant/data=!4m7!3m6!1s0x2dd7fbdbb51a2e07:0xc1d347d40fc6ed69!8m2!3d-7.2727093!4d112.7480262!16s%2Fg%2F1tkn52v9!19sChIJBy4atdv71y0Rae3GD9RH08E?authuser=0&amp;hl=zh-TW&amp;rclk=1</t>
  </si>
  <si>
    <t>Sate Pak Amad - Suket Bunder Food And Drink</t>
  </si>
  <si>
    <t>Warung sate di kawasan Suket Bunder food area Surabaya Utara, buka sore hingga malam.</t>
  </si>
  <si>
    <t>Sate, Sate Ayam, Bumbu Kacang, Kuliner Lokal, Murah, Terjangkau, Warung, Comfort Food, Makan Malam, Halal, Surabaya Utara</t>
  </si>
  <si>
    <t>-7.2391381, 112.7328311</t>
  </si>
  <si>
    <t>https://www.google.com/maps/place/Sate+Pak+Amad+-+Suket+Bunder+Food+And+Drink/data=!4m7!3m6!1s0x2dd7f9a4096411c9:0x9d96dfd504976edf!8m2!3d-7.2391381!4d112.7328311!16s%2Fg%2F11j086yy26!19sChIJyRFkCaT51y0R326XBNXflp0?authuser=0&amp;hl=zh-TW&amp;rclk=1</t>
  </si>
  <si>
    <t>Soto Ayam Cak Sidik</t>
  </si>
  <si>
    <t>Warung soto ayam buka siang hingga sore di kawasan Surabaya Pusat.</t>
  </si>
  <si>
    <t>Soto Ayam, Kuliner Lokal, Comfort Food, Makan Siang, Halal, Murah, Warung, Surabaya Pusat</t>
  </si>
  <si>
    <t>-7.2543375, 112.75477</t>
  </si>
  <si>
    <t>https://www.google.com/maps/place/Soto+Ayam+Cak+Sidik/data=!4m7!3m6!1s0x2dd7f970e59a32cf:0x19af5f7e1dfd95c5!8m2!3d-7.2543375!4d112.75477!16s%2Fg%2F11f57j6k4_!19sChIJzzKa5XD51y0RxZX9HX5frxk?authuser=0&amp;hl=zh-TW&amp;rclk=1</t>
  </si>
  <si>
    <t>SOTO AYAM LAMONGAN PAK RADEN D.K</t>
  </si>
  <si>
    <t>Warung soto ayam Lamongan buka siang hingga malam di kawasan Surabaya Pusat.</t>
  </si>
  <si>
    <t>Soto Ayam, Soto Lamongan, Khas Lamongan, Kuliner Jawa Timur, Comfort Food, Makan Siang, Makan Malam, Murah, Halal, Surabaya Pusat</t>
  </si>
  <si>
    <t>-7.263641, 112.7517293</t>
  </si>
  <si>
    <t>https://www.google.com/maps/place/SOTO+AYAM+LAMONGAN+PAK+RADEN+D.K/data=!4m7!3m6!1s0x2dd7f9007185bab7:0xea808747e2298234!8m2!3d-7.263641!4d112.7517293!16s%2Fg%2F11mczss_v_!19sChIJt7qFcQD51y0RNIIp4keHgOo?authuser=0&amp;hl=zh-TW&amp;rclk=1</t>
  </si>
  <si>
    <t>Bakso Barokah Cak Topo Pulo</t>
  </si>
  <si>
    <t>Warung bakso buka pagi hingga tengah malam di kawasan Surabaya Selatan.</t>
  </si>
  <si>
    <t>Bakso, Bakso Sapi, Kuliner Lokal, Murah, Terjangkau, Warung, Comfort Food, Makan Pagi, Makan Siang, Makan Malam, Buka Larut, Halal, Surabaya Selatan</t>
  </si>
  <si>
    <t>-7.300796, 112.7360432</t>
  </si>
  <si>
    <t>https://www.google.com/maps/place/Bakso+Barokah+Cak+Topo+Pulo/data=!4m7!3m6!1s0x2dd7fb991d894433:0x7f42f51cdd97bcfd!8m2!3d-7.300796!4d112.7360432!16s%2Fg%2F11cmc915wm!19sChIJM0SJHZn71y0R_byX3Rz1Qn8?authuser=0&amp;hl=zh-TW&amp;rclk=1</t>
  </si>
  <si>
    <t>Warung Bagus</t>
  </si>
  <si>
    <t>Warung dengan rating sangat tinggi di kawasan Surabaya Timur.</t>
  </si>
  <si>
    <t>Warung, Kuliner Indonesia, Masakan Indonesia, Murah, Terjangkau, Makan Pagi, Makan Siang, Makan Malam, Halal, Surabaya Timur</t>
  </si>
  <si>
    <t>-7.2660114, 112.7906514</t>
  </si>
  <si>
    <t>https://www.google.com/maps/place/Warung+Bagus/data=!4m7!3m6!1s0x2dd7fb7bc6b8feb1:0x1af9e9c9ffc5502!8m2!3d-7.2660114!4d112.7906514!16s%2Fg%2F11szd1nqr7!19sChIJsf64xnv71y0RAlX8n5yerwE?authuser=0&amp;hl=zh-TW&amp;rclk=1</t>
  </si>
  <si>
    <t>Soto Madura Tapak Siring</t>
  </si>
  <si>
    <t>Warung soto Madura di kawasan Tapak Siring Surabaya Pusat.</t>
  </si>
  <si>
    <t>Soto Madura, Kuliner Madura, Kuliner Jawa Timur, Comfort Food, Sarapan, Makan Siang, Murah, Halal, Warung, Surabaya Pusat</t>
  </si>
  <si>
    <t>-7.2602079, 112.7538874</t>
  </si>
  <si>
    <t>https://www.google.com/maps/place/Soto+Madura+Tapak+Siring/data=!4m7!3m6!1s0x2dd7f97b75d76e43:0x79181c9cf469095a!8m2!3d-7.2602079!4d112.7538874!16s%2Fg%2F11cmczww5p!19sChIJQ27XdXv51y0RWglp9JwcGHk?authuser=0&amp;hl=zh-TW&amp;rclk=1</t>
  </si>
  <si>
    <t>Bebek Goreng Harissa</t>
  </si>
  <si>
    <t>Ruang simpel dengan dinding bata ekspos terkenal dengan bebek goreng renyah di Surabaya Selatan.</t>
  </si>
  <si>
    <t>Bebek Goreng, Nasi Bebek, Sambal Harissa, Dinding Bata, Renyah, Industrial, Kuliner Lokal, Murah, Comfort Food, Makan Pagi, Makan Siang, Makan Malam, Halal, Surabaya Selatan</t>
  </si>
  <si>
    <t>-7.3257377, 112.7814338</t>
  </si>
  <si>
    <t>https://www.google.com/maps/place/Bebek+Goreng+Harissa/data=!4m7!3m6!1s0x2dd7fa9494f9529d:0xa53975432b1b2888!8m2!3d-7.3257377!4d112.7814338!16s%2Fg%2F11b6sx31r_!19sChIJnVL5lJT61y0RiCgbK0N1OaU?authuser=0&amp;hl=zh-TW&amp;rclk=1</t>
  </si>
  <si>
    <t>Ultra Coffee</t>
  </si>
  <si>
    <t>Kafe kopi premium dengan specialty coffee dan menu makanan beragam, interior modern dan nyaman.</t>
  </si>
  <si>
    <t>Specialty Coffee, Kafe, Coffee Shop, Premium, Nongkrong, Hangout, Aesthetic, Instagramable, Cozy, Work From Cafe, WFC, Makanan, Minuman Kopi, Modern, Indoor, Lifestyle, Surabaya Pusat</t>
  </si>
  <si>
    <t>-7.291404800581804, 112.72960753558195</t>
  </si>
  <si>
    <t>https://www.google.com/maps/place/Ultra+Coffee/data=!4m2!3m1!1s0x2dd7fbbc74716d63:0x4189e257d0a96962?sa=X&amp;ved=1t:242&amp;ictx=111</t>
  </si>
  <si>
    <t>Sentra Wisata Kuliner Indrapura</t>
  </si>
  <si>
    <t>Sentra wisata kuliner buka 24 jam di kawasan bersejarah Indrapura Surabaya Utara.</t>
  </si>
  <si>
    <t>Sentra Kuliner, Food Court, Kuliner Murah, Terjangkau, Buka 24 Jam, Surabaya Utara, Indrapura, Heritage, Kota Lama, Family Friendly, Halal</t>
  </si>
  <si>
    <t>-7.2438092, 112.7364089</t>
  </si>
  <si>
    <t>https://www.google.com/maps/place/Sentra+Wisata+Kuliner+Indrapura/data=!4m7!3m6!1s0x2dd7f93eea7b3f93:0xcc4ae4320a69f8c0!8m2!3d-7.2438092!4d112.7364089!16s%2Fg%2F11cp7lth17!19sChIJkz976j751y0RwPhpCjLkSsw?authuser=0&amp;hl=zh-TW&amp;rclk=1</t>
  </si>
  <si>
    <t>Warung Mejoyo</t>
  </si>
  <si>
    <t>Warung di kawasan Mejoyo Surabaya Selatan buka pagi hingga sore.</t>
  </si>
  <si>
    <t>Warung, Kuliner Indonesia, Masakan Indonesia, Murah, Terjangkau, Sarapan, Makan Siang, Halal, Surabaya Selatan</t>
  </si>
  <si>
    <t>-7.3190959, 112.7693638</t>
  </si>
  <si>
    <t>https://www.google.com/maps/place/Warung+Mejoyo/data=!4m7!3m6!1s0x2dd7fae470be2a6b:0x3de794bbe9816ad0!8m2!3d-7.3190959!4d112.7693638!16s%2Fg%2F11b76d0gmw!19sChIJayq-cOT61y0R0GqB6buU5z0?authuser=0&amp;hl=zh-TW&amp;rclk=1</t>
  </si>
  <si>
    <t>Mashu - All You Can Eat Restaurant</t>
  </si>
  <si>
    <t>Restoran all you can eat (AYCE) dengan harga fixed di kawasan Surabaya Selatan.</t>
  </si>
  <si>
    <t>All You Can Eat, AYCE, Makan Sepuasnya, Restoran, Beragam Menu, Masakan Asia, Family Friendly, Group Dining, Makan Siang, Makan Malam, Surabaya Selatan, Halal</t>
  </si>
  <si>
    <t>125000-225000</t>
  </si>
  <si>
    <t>-7.2873119, 112.7327292</t>
  </si>
  <si>
    <t>https://www.google.com/maps/place/Mash%C5%AB+All+You+Can+Eat/data=!4m7!3m6!1s0x2dd7fba0348e9637:0x938cee7509ef775e!8m2!3d-7.2873119!4d112.7327292!16s%2Fg%2F11h76m7j13!19sChIJN5aONKD71y0RXnfvCXXujJM?authuser=0&amp;hl=zh-TW&amp;rclk=1</t>
  </si>
  <si>
    <t>Masjid Muhammad Cheng Hoo</t>
  </si>
  <si>
    <t>Masjid bernuansa Muslim Tionghoa di Jalan Gading, Surabaya, bergaya klenteng didominasi warna merah, hijau, dan kuning.</t>
  </si>
  <si>
    <t>Masjid, Wisata Religi, Arsitektur Tionghoa, Budaya Tionghoa, Sejarah, Ikon Kota, Fotografi, Akulturasi Budaya, Landmark, Heritage, Muslim, Islam, Cheng Ho, Surabaya Pusat, Wisata Gratis, Ibadah, Spot Foto, Instagramable</t>
  </si>
  <si>
    <t>-7.252275399999999, 112.7468796</t>
  </si>
  <si>
    <t>-7,252275399999999</t>
  </si>
  <si>
    <t>112,7468796</t>
  </si>
  <si>
    <t>https://www.google.com/maps?vet=10CAAQoqAOahcKEwiA0eLgzqiVAxUAAAAAHQAAAAAQEQ..i&amp;pvq=Cg0vZy8xMWI2Z3FmNXpi&amp;fvr=1&amp;cs=1&amp;um=1&amp;ie=UTF-8&amp;fb=1&amp;gl=id&amp;sa=X&amp;ftid=0x2dd7f9b7653c6f77:0x4c32c403f15c5939</t>
  </si>
  <si>
    <t>Soto Madura Cak Ukin</t>
  </si>
  <si>
    <t>Warung soto Madura buka pagi hingga sore di kawasan Surabaya Selatan.</t>
  </si>
  <si>
    <t>Soto Madura, Kuliner Madura, Kuliner Jawa Timur, Comfort Food, Sarapan, Makan Siang, Murah, Halal, Warung, Surabaya Selatan</t>
  </si>
  <si>
    <t>-7.3066167, 112.7292337</t>
  </si>
  <si>
    <t>https://www.google.com/maps/place/Soto+Madura+Cak+Ukin/data=!4m7!3m6!1s0x2dd7fb9d12cd8ea3:0x965e3d5011bcf695!8m2!3d-7.3066167!4d112.7292337!16s%2Fg%2F11b6bpz1m2!19sChIJo47NEp371y0Rlfa8EVA9XpY?authuser=0&amp;hl=zh-TW&amp;rclk=1</t>
  </si>
  <si>
    <t>Restoran Merr Kayu Manis</t>
  </si>
  <si>
    <t>Restoran di kawasan MERR Surabaya Selatan dengan masakan Indonesia dan rempah Kayu Manis.</t>
  </si>
  <si>
    <t>Restoran, Kuliner Indonesia, Masakan Nusantara, Chinese Food, Makan Siang, Makan Malam, Family Friendly, Surabaya Selatan, MERR, Halal</t>
  </si>
  <si>
    <t>-7.3208463, 112.7806342</t>
  </si>
  <si>
    <t>https://www.google.com/maps/place/Merr+Kayu+Manis+Restaurant/data=!4m7!3m6!1s0x2dd7fae957c32d3f:0x2851c489b2a5ec3b!8m2!3d-7.3208463!4d112.7806342!16s%2Fg%2F11b6wh6rpz!19sChIJPy3DV-n61y0RO-ylsonEUSg?authuser=0&amp;hl=zh-TW&amp;rclk=1</t>
  </si>
  <si>
    <t>Rawon Pak Ndut</t>
  </si>
  <si>
    <t>Warung rawon buka sore hingga dini hari di kawasan Surabaya Selatan.</t>
  </si>
  <si>
    <t>Rawon, Rawon Sapi, Kuliner Malam, Buka Malam, Buka Dini Hari, Khas Surabaya, Comfort Food, Makan Malam, Murah, Halal, Surabaya Selatan</t>
  </si>
  <si>
    <t>-7.3565652, 112.7355748</t>
  </si>
  <si>
    <t>https://www.google.com/maps/place/Rawon+Pak+Ndut/data=!4m7!3m6!1s0x2dd7e4b715823477:0x238549c7db1e6153!8m2!3d-7.3565652!4d112.7355748!16s%2Fg%2F11fzfdbkjj!19sChIJdzSCFbfk1y0RU2Ee28dJhSM?authuser=0&amp;hl=zh-TW&amp;rclk=1</t>
  </si>
  <si>
    <t>RUF Coffee &amp; Eatery</t>
  </si>
  <si>
    <t>Kafe dengan rating sempurna di kawasan Surabaya Timur.</t>
  </si>
  <si>
    <t>Kafe, Coffee Shop, Specialty Coffee, Eatery, Cozy, Aesthetic, Instagramable, WFC, Hangout, Nongkrong, Surabaya Timur</t>
  </si>
  <si>
    <t>-7.2893767, 112.7758843</t>
  </si>
  <si>
    <t>https://www.google.com/maps/place/RUF+Coffee+%26+Eatery/data=!4m7!3m6!1s0x2dd7fbd215d53419:0x4dc2253792fc58c0!8m2!3d-7.2893767!4d112.7758843!16s%2Fg%2F11v3npjwwg!19sChIJGTTVFdL71y0RwFj8kjclwk0?authuser=0&amp;hl=zh-TW&amp;rclk=1</t>
  </si>
  <si>
    <t>Indragiri Seafood &amp; Resto</t>
  </si>
  <si>
    <t>Menu spesial tradisional &amp; jus buah disajikan di tempat bergaya kuno.</t>
  </si>
  <si>
    <t>Seafood, Restoran, Masakan Tradisional, Jus Buah, Bergaya Kuno, Vintage, Antik, Family Friendly, Makan Siang, Makan Malam, Surabaya Selatan, Halal</t>
  </si>
  <si>
    <t>-7.2885492, 112.7312356</t>
  </si>
  <si>
    <t>https://www.google.com/maps/place/Indragiri+Resto+-+Racikan+Nusantara+Surabaya/data=!4m7!3m6!1s0x2dd7fb93bbd5ac7f:0xf33abba5a7afff3b!8m2!3d-7.2885492!4d112.7312356!16s%2Fg%2F1hc21v53c!19sChIJf6zVu5P71y0RO_-vp6W7OvM?authuser=0&amp;hl=zh-TW&amp;rclk=1</t>
  </si>
  <si>
    <t>Pangsit Mie Ayam Jakarta Cak To Tuban</t>
  </si>
  <si>
    <t>Warung mie ayam pangsit bergaya Jakarta berasal dari Tuban.</t>
  </si>
  <si>
    <t>Mie Ayam, Pangsit, Mie Ayam Jakarta, Kuliner Tuban, Murah, Terjangkau, Warung, Comfort Food, Makan Siang, Makan Malam, Halal, Surabaya Pusat</t>
  </si>
  <si>
    <t>Kamis - Senin</t>
  </si>
  <si>
    <t>-7.2865218, 112.7448904</t>
  </si>
  <si>
    <t>https://www.google.com/maps/place/Pangsit+Mie+Ayam+Jakarta+Cak+To+Tuban/data=!4m7!3m6!1s0x2dd7fbf5cfef79e7:0xc5b22a5d502bb9ef!8m2!3d-7.2865218!4d112.7448904!16s%2Fg%2F11klrhhh1p!19sChIJ53nvz_X71y0R77krUF0qssU?authuser=0&amp;hl=zh-TW&amp;rclk=1</t>
  </si>
  <si>
    <t>Blue Doors Surabaya</t>
  </si>
  <si>
    <t>Cabang coffee shop premium asal Bandung di bangunan bersejarah 1930-an dengan konsep open bar.</t>
  </si>
  <si>
    <t>Coffee Shop, Specialty Coffee, Aesthetic, Instagramable, Vintage Heritage, Open Bar, Pastry, Croissant, Spot Foto, Hangout, WFC, Surabaya Pusat, Bangunan Bersejarah, 1930-an, Premium, Cozy, Couple Friendly</t>
  </si>
  <si>
    <t>-7.277553524730722, 112.73566496441804</t>
  </si>
  <si>
    <t>-7,277553524730722</t>
  </si>
  <si>
    <t>112,73566496441804</t>
  </si>
  <si>
    <t>https://www.google.com/maps/place/Blue+Doors+Surabaya/data=!4m2!3m1!1s0x2dd7fbdef5aee58f:0x22bf0875498e0124?sa=X&amp;ved=1t:242&amp;ictx=111</t>
  </si>
  <si>
    <t>LONTONG BALAP PAK GENDUT PKL SURABAYA</t>
  </si>
  <si>
    <t>Warung lontong balap khas Surabaya yang menyajikan hidangan ikonik Surabaya.</t>
  </si>
  <si>
    <t>Lontong Balap, Kuliner Khas Surabaya, Petis, Tahu, Tauge, Lento, Kuliner Ikonik, Kuliner Lokal, Murah, Terjangkau, PKL, Makan Siang, Makan Malam, Halal, Surabaya Pusat</t>
  </si>
  <si>
    <t>1 - 25000</t>
  </si>
  <si>
    <t>-7.2560633, 112.7315719</t>
  </si>
  <si>
    <t>https://www.google.com/maps/place/LONTONG+BALAP+PAK+GENDUT+PKL+SURABAYA/data=!4m7!3m6!1s0x2dd7f9f44fff6a47:0x715b863c22ef94eb!8m2!3d-7.2560633!4d112.7315719!16s%2Fg%2F11cfgh64_!19sChIJR2r_T_T51y0R65TvIjyGW3E?authuser=0&amp;hl=zh-TW&amp;rclk=1</t>
  </si>
  <si>
    <t>Sentra Wisata Kuliner Bentul</t>
  </si>
  <si>
    <t>Sentra wisata kuliner di kawasan Bentul Surabaya Selatan.</t>
  </si>
  <si>
    <t>Sentra Kuliner, Food Court, Kuliner Murah, Terjangkau, Surabaya Selatan, Bentul, Family Friendly, Sarapan, Makan Siang, Kuliner Lokal, Halal</t>
  </si>
  <si>
    <t>-7.3056356, 112.7419023</t>
  </si>
  <si>
    <t>https://www.google.com/maps/place/Sentra+Wisata+Kuliner+Bentul/data=!4m7!3m6!1s0x2dd7fb8f12d1e0b9:0x76de744ea45a0c15!8m2!3d-7.3056356!4d112.7419023!16s%2Fg%2F11f7bqd42l!19sChIJueDREo_71y0RFQxapE503nY?authuser=0&amp;hl=zh-TW&amp;rclk=1</t>
  </si>
  <si>
    <t>Bakso Solo Pak Sentot</t>
  </si>
  <si>
    <t>Warung bakso khas Solo di kawasan Surabaya Timur.</t>
  </si>
  <si>
    <t>Bakso, Bakso Solo, Kuliner Solo, Kuliner Jawa, Comfort Food, Murah, Terjangkau, Warung, Makan Siang, Makan Malam, Halal, Surabaya Timur</t>
  </si>
  <si>
    <t>-7.2517863, 112.7671219</t>
  </si>
  <si>
    <t>https://www.google.com/maps/place/Bakso+Solo+Pak+Sentot/data=!4m7!3m6!1s0x2dd7f99c4744cd3b:0x6aa72fc629dde2fa!8m2!3d-7.2517863!4d112.7671219!16s%2Fg%2F11c6fbn16j!19sChIJO81ER5z51y0R-uLdKcYvp2o?authuser=0&amp;hl=zh-TW&amp;rclk=1</t>
  </si>
  <si>
    <t>Mie Ayam Jamboel "Spesial : Telur, Ceker , Kepala ".</t>
  </si>
  <si>
    <t>Warung mie ayam spesialis dengan topping telur, ceker, dan kepala ayam di Surabaya Selatan.</t>
  </si>
  <si>
    <t>Mie Ayam, Ceker Ayam, Kepala Ayam, Telur, Kuliner Unik, Murah, Terjangkau, Warung, Comfort Food, Makan Siang, Makan Malam, Halal, Surabaya Selatan</t>
  </si>
  <si>
    <t>-7.300121, 112.7678766</t>
  </si>
  <si>
    <t>https://www.google.com/maps/place/Mie+Ayam+Jamboel+%22Spesial+:+Telur,+Ceker+,+Kepala+%22./data=!4m7!3m6!1s0x2dd7fa53ee8d007b:0xe8aa1aaf683e8836!8m2!3d-7.300121!4d112.7678766!16s%2Fg%2F1hm1v4bbp!19sChIJewCN7lP61y0RNog-aK8aqug?authuser=0&amp;hl=zh-TW&amp;rclk=1</t>
  </si>
  <si>
    <t>Pangsit Mie Ayam Jakarta AsemRowo</t>
  </si>
  <si>
    <t>Warung mie ayam pangsit bergaya Jakarta di kawasan AsemRowo Surabaya Barat.</t>
  </si>
  <si>
    <t>Mie Ayam, Pangsit, Mie Ayam Jakarta, Murah, Terjangkau, Warung, Comfort Food, Sarapan, Makan Siang, Halal, Surabaya Barat, AsemRowo</t>
  </si>
  <si>
    <t>25000 - 50000</t>
  </si>
  <si>
    <t>-7.2518862, 112.7137412</t>
  </si>
  <si>
    <t>https://www.google.com/maps/place/Pangsit+Mie+Ayam+Jakarta+AsemRowo/data=!4m7!3m6!1s0x2dd7feb4c051e9f5:0x7e8371b2283c90c4!8m2!3d-7.2518862!4d112.7137412!16s%2Fg%2F11bc7mz78x!19sChIJ9elRwLT-1y0RxJA8KLJxg34?authuser=0&amp;hl=zh-TW&amp;rclk=1</t>
  </si>
  <si>
    <t>Taman Intan Nginden</t>
  </si>
  <si>
    <t>Taman kota populer di kawasan Nginden Surabaya Selatan.</t>
  </si>
  <si>
    <t>Taman Kota, Ruang Terbuka Hijau, Outdoor, Olahraga, Santai, Healing, Family Friendly, Kids Friendly, Wisata Gratis, Buka 24 Jam, Surabaya Selatan, Nginden</t>
  </si>
  <si>
    <t>-7.306881, 112.7685263</t>
  </si>
  <si>
    <t>https://www.google.com/maps/place/Taman+Nginden/data=!4m7!3m6!1s0x2dd7fa55fd0df0a9:0x2d9fbf9a5019e441!8m2!3d-7.306881!4d112.7685263!16s%2Fg%2F11cnc9d_7h!19sChIJqfAN_VX61y0RQeQZUJq_ny0?authuser=0&amp;hl=zh-TW&amp;rclk=1</t>
  </si>
  <si>
    <t>Taman Kendangsari</t>
  </si>
  <si>
    <t>Taman kota terawat di kawasan Kendangsari Surabaya Selatan.</t>
  </si>
  <si>
    <t>Taman Kota, Ruang Terbuka Hijau, Outdoor, Olahraga, Santai, Healing, Family Friendly, Kids Friendly, Wisata Gratis, Buka 24 Jam, Surabaya Selatan, Kendangsari</t>
  </si>
  <si>
    <t>-7.3269242, 112.7460052</t>
  </si>
  <si>
    <t>https://www.google.com/maps/place/Taman+Kendangsari/data=!4m7!3m6!1s0x2dd7fbf9e0adbe41:0xe64df22b4286b553!8m2!3d-7.3269242!4d112.7460052!16s%2Fg%2F11h1g23kh6!19sChIJQb6t4Pn71y0RU7WGQivyTeY?authuser=0&amp;hl=zh-TW&amp;rclk=1</t>
  </si>
  <si>
    <t>Taman Mayangkara</t>
  </si>
  <si>
    <t>Taman kota asri dengan pepohonan rindang dan mini lapangan sepak bola buatan.</t>
  </si>
  <si>
    <t>Taman Kota, City Park, Outdoor, Ruang Terbuka Hijau, Olahraga, Lapangan Sepak Bola, Family Friendly, Kids Friendly, Rekreasi, Wisata Gratis, Surabaya Barat, Rindang, Healing</t>
  </si>
  <si>
    <t>-7.306734380693251, 112.735530138022</t>
  </si>
  <si>
    <t>-7,306734380693251</t>
  </si>
  <si>
    <t>112,735530138022</t>
  </si>
  <si>
    <t>https://www.google.com/maps/place/Taman+Mayangkara/data=!4m2!3m1!1s0x2dd7fb9e2e33845f:0x455409e45d94f7da?sa=X&amp;ved=1t:155783&amp;ictx=111</t>
  </si>
  <si>
    <t>Nasi Bebek Tugu Pahlawan Asli</t>
  </si>
  <si>
    <t>Warung nasi bebek dekat Tugu Pahlawan Surabaya Utara.</t>
  </si>
  <si>
    <t>Nasi Bebek, Bebek Goreng, Sambal, Kuliner Legendaris, Tugu Pahlawan, Khas Surabaya, Kuliner Lokal, Warung, Comfort Food, Makan Siang, Makan Malam, Murah, Halal, Surabaya Utara</t>
  </si>
  <si>
    <t>-7.2452688, 112.7369513</t>
  </si>
  <si>
    <t>https://www.google.com/maps/place/Nasi+Bebek+Tugu+Pahlawan+Asli/data=!4m7!3m6!1s0x2dd7f9400b122a33:0xecd781a4b7470fc8!8m2!3d-7.2452688!4d112.7369513!16s%2Fg%2F11b77dsm56!19sChIJMyoSC0D51y0RyA9Ht6SB1-w?authuser=0&amp;hl=zh-TW&amp;rclk=1</t>
  </si>
  <si>
    <t>Museum TNI AL Loka Jala Crana</t>
  </si>
  <si>
    <t>Museum Angkatan Laut Indonesia dengan koleksi sejarah dan peralatan militer TNI AL.</t>
  </si>
  <si>
    <t>Museum, TNI AL, Angkatan Laut, Sejarah Militer, Edukasi, Wisata Sejarah, Senjata, Kapal Perang, Indoor, Family Friendly, Surabaya Utara, Nasionalisme</t>
  </si>
  <si>
    <t>-7.227185, 112.718997</t>
  </si>
  <si>
    <t>https://www.google.com/maps/place/Museum+TNI+AL+Loka+Jala+Crana/data=!4m7!3m6!1s0x2dd7f92a55555555:0x26519de6b6dac08!8m2!3d-7.227185!4d112.718997!16s%2Fg%2F1pzq39nbs!19sChIJVVVVVSr51y0RCKxta94ZZQI?authuser=0&amp;hl=zh-TW&amp;rclk=1</t>
  </si>
  <si>
    <t>Depot Mie Pangsit Sejahtera</t>
  </si>
  <si>
    <t>Depot mie pangsit di kawasan Surabaya Selatan buka Sabtu hingga Kamis.</t>
  </si>
  <si>
    <t>Mie Pangsit, Pangsit, Mie, Depot, Kuliner Lokal, Murah, Terjangkau, Warung, Comfort Food, Makan Siang, Makan Malam, Halal, Surabaya Selatan</t>
  </si>
  <si>
    <t>-7.3205511, 112.7610212</t>
  </si>
  <si>
    <t>https://www.google.com/maps/place/Depot+Mie+Pangsit+Sejahtera/data=!4m7!3m6!1s0x2dd7fb1e0e697d1f:0x5f82d4d108dbf641!8m2!3d-7.3205511!4d112.7610212!16s%2Fg%2F11c3tqbc4p!19sChIJH31pDh771y0RQfbbCNHUgl8?authuser=0&amp;hl=zh-TW&amp;rclk=1</t>
  </si>
  <si>
    <t>Rawon Kimlek</t>
  </si>
  <si>
    <t>Warung rawon buka siang hingga dini hari (jam 4 pagi) di kawasan Surabaya Selatan.</t>
  </si>
  <si>
    <t>Rawon, Rawon Sapi, Kuliner Malam, Buka Larut, Buka Dini Hari, Khas Surabaya, Comfort Food, Makan Siang, Makan Malam, Murah, Halal, Surabaya Selatan</t>
  </si>
  <si>
    <t>-7.3287592, 112.7402674</t>
  </si>
  <si>
    <t>https://www.google.com/maps/place/Rawon+Kimlek/data=!4m7!3m6!1s0x2dd7fb40299a9131:0x5391ee13f01bd3fa!8m2!3d-7.3287592!4d112.7402674!16s%2Fg%2F11clsz4rft!19sChIJMZGaKUD71y0R-tMb8BPukVM?authuser=0&amp;hl=zh-TW&amp;rclk=1</t>
  </si>
  <si>
    <t>Breeze Bean Coffee Pandegling</t>
  </si>
  <si>
    <t>Kafe specialty coffee di kawasan Pandegling Surabaya Pusat.</t>
  </si>
  <si>
    <t>Coffee Shop, Specialty Coffee, Kafe, Cozy, Aesthetic, Instagramable, WFC, Work From Cafe, Hangout, Nongkrong, Surabaya Pusat</t>
  </si>
  <si>
    <t>-7.276916873006993, 112.73951190674588</t>
  </si>
  <si>
    <t>https://www.google.com/maps/place/Breeze+Bean+Coffee/data=!4m7!3m6!1s0x2dd7fb9a222e9453:0x24f17a14fac10598!8m2!3d-7.2773!4d112.739528!16s%2Fg%2F11pcprqr26!19sChIJU5QuIpr71y0RmAXB-hR68SQ?authuser=0&amp;hl=zh-TW&amp;rclk=1</t>
  </si>
  <si>
    <t>Depot Penyetan Cak Herry</t>
  </si>
  <si>
    <t>Depot penyetan buka Senin-Sabtu di kawasan Surabaya Timur.</t>
  </si>
  <si>
    <t>Penyetan, Ayam Penyet, Lele Penyet, Tempe Penyet, Sambal, Depot, Kuliner Jawa Timur, Murah, Terjangkau, Makan Siang, Makan Malam, Halal, Surabaya Timur</t>
  </si>
  <si>
    <t>-7.2887861, 112.768027</t>
  </si>
  <si>
    <t>https://www.google.com/maps/place/Depot+Penyetan+Cak+Herry/data=!4m7!3m6!1s0x2dd7fa4a54f63e67:0x1ddb3ee5883988be!8m2!3d-7.2887861!4d112.768027!16s%2Fg%2F11dfh35y2d!19sChIJZz72VEr61y0Rvog5iOU-2x0?authuser=0&amp;hl=zh-TW&amp;rclk=1</t>
  </si>
  <si>
    <t>Aucafe Specialty Coffee - Manyar Kertoarjo 3</t>
  </si>
  <si>
    <t>Kafe specialty coffee di kawasan Manyar Kertoarjo Surabaya Timur buka pagi hingga sore.</t>
  </si>
  <si>
    <t>Coffee Shop, Specialty Coffee, Kafe, Cozy, Aesthetic, Barista, WFC, Hangout, Nongkrong, Surabaya Timur, Manyar Kertoarjo, Sarapan, Buka Pagi</t>
  </si>
  <si>
    <t>-7.2804783, 112.7647157</t>
  </si>
  <si>
    <t>https://www.google.com/maps/place/Aucafe+Specialty+Coffee+-+Manyar+Kertoarjo+3/data=!4m7!3m6!1s0x2dd7fb63ca20ea05:0xf9ea0b7af3fbd529!8m2!3d-7.2804783!4d112.7647157!16s%2Fg%2F11j9dbfplj!19sChIJBeogymP71y0RKdX783oL6vk?authuser=0&amp;hl=zh-TW&amp;rclk=1</t>
  </si>
  <si>
    <t>Bakso Chukul</t>
  </si>
  <si>
    <t>Warung bakso di kawasan Surabaya Pusat dengan nama yang mudah diingat.</t>
  </si>
  <si>
    <t>Bakso, Bakso Sapi, Kuliner Lokal, Murah, Terjangkau, Warung, Comfort Food, Makan Siang, Makan Malam, Halal, Surabaya Pusat</t>
  </si>
  <si>
    <t>-7.2679211, 112.7373578</t>
  </si>
  <si>
    <t>https://www.google.com/maps/place/Bakso+Chukul/data=!4m7!3m6!1s0x2dd7fb1d3aa72665:0xf8f476910d17e63b!8m2!3d-7.2679211!4d112.7373578!16s%2Fg%2F11q35_8s88!19sChIJZSanOh371y0RO-YXDZF29Pg?authuser=0&amp;hl=zh-TW&amp;rclk=1</t>
  </si>
  <si>
    <t>Pangsit Mie Ayam Tuban Ronggolawe</t>
  </si>
  <si>
    <t>Warung mie ayam pangsit dengan resep khas Tuban menggunakan nama Ronggolawe.</t>
  </si>
  <si>
    <t>Mie Ayam, Pangsit, Kuliner Tuban, Ronggolawe, Murah, Terjangkau, Warung, Comfort Food, Makan Siang, Makan Malam, Halal, Surabaya Barat</t>
  </si>
  <si>
    <t>-7.2807822, 112.7790755</t>
  </si>
  <si>
    <t>https://www.google.com/maps/place/Pangsit+Mie+Ayam+Tuban+Ronggolawe/data=!4m7!3m6!1s0x2dd7fda5ca27ee8f:0x48517eee9258f43c!8m2!3d-7.3056625!4d112.6529933!16s%2Fg%2F11b67lb_m5!19sChIJj-4nyqX91y0RPPRYku5-UUg?authuser=0&amp;hl=zh-TW&amp;rclk=1</t>
  </si>
  <si>
    <t>Warung Rawon 48</t>
  </si>
  <si>
    <t>Warung rawon buka Senin-Sabtu dari pagi hingga sore di kawasan Surabaya Timur.</t>
  </si>
  <si>
    <t>Rawon, Rawon Sapi, Kuliner Jawa Timur, Khas Surabaya, Comfort Food, Sarapan, Makan Siang, Murah, Halal, Warung, Surabaya Timur</t>
  </si>
  <si>
    <t>-7.281273, 112.7582204</t>
  </si>
  <si>
    <t>https://www.google.com/maps/place/WARUNG+RAWON+48+-+BU+TIN/data=!4m7!3m6!1s0x2dd7fbcbf381e607:0xa4e5a13e795f1dd5!8m2!3d-7.281273!4d112.7582204!16s%2Fg%2F11cn9n1sjm!19sChIJB-aB88v71y0R1R1feT6h5aQ?authuser=0&amp;hl=zh-TW&amp;rclk=1</t>
  </si>
  <si>
    <t>PEMPEK SILAMPARI, SURABAYA</t>
  </si>
  <si>
    <t>Warung pempek khas Palembang dengan cita rasa autentik di Surabaya Selatan.</t>
  </si>
  <si>
    <t>Pempek, Pempek Palembang, Kuliner Palembang, Cuko, Pempek Kapal Selam, Kuliner Nusantara, Kuliner Sumatera, Murah, Terjangkau, Halal, Surabaya Selatan</t>
  </si>
  <si>
    <t>-7.3183761, 112.715751</t>
  </si>
  <si>
    <t>https://www.google.com/maps/place/PEMPEK+SILAMPARI,+SURABAYA/data=!4m7!3m6!1s0x2dd7fd9b658f0597:0xcd58dd1c782a253e!8m2!3d-7.3183761!4d112.715751!16s%2Fg%2F11xm_mpc5d!19sChIJlwWPZZv91y0RPiUqeBzdWM0?authuser=0&amp;hl=zh-TW&amp;rclk=1</t>
  </si>
  <si>
    <t>Penyetan Cak Di</t>
  </si>
  <si>
    <t>Warung penyetan di kawasan Surabaya Selatan buka siang hingga malam.</t>
  </si>
  <si>
    <t>Penyetan, Ayam Penyet, Tempe Penyet, Sambal, Kuliner Jawa Timur, Murah, Terjangkau, Warung, Comfort Food, Makan Siang, Makan Malam, Halal, Surabaya Selatan</t>
  </si>
  <si>
    <t>-7.3365032, 112.7378343</t>
  </si>
  <si>
    <t>https://www.google.com/maps/place/Penyetan+Cak+Di/data=!4m7!3m6!1s0x2dd7fb47ebb98511:0x8d7a0b67c370d770!8m2!3d-7.3365032!4d112.7378343!16s%2Fg%2F11bxfjxf4m!19sChIJEYW560f71y0RcNdww2cLeo0?authuser=0&amp;hl=zh-TW&amp;rclk=1</t>
  </si>
  <si>
    <t>Kollabora</t>
  </si>
  <si>
    <t>Kafe tematik berganti tema musiman buka 24 jam di Surabaya Barat, dengan promo Buy 1 Get 1 Midnight Coffee.</t>
  </si>
  <si>
    <t>Cafe, Restaurant, Thematic, 24 Jam, Coffee, Pasta, Dessert, Tiramisu, Instagramable, Spot Foto, Hangout, WFC, Surabaya Barat, Promo Malam, Buy 1 Get 1, Midnight, Seasonal Theme, Aesthetic, Couple Friendly</t>
  </si>
  <si>
    <t>-7.277586079149046, 112.7079781797624</t>
  </si>
  <si>
    <t>-7,277586079149046</t>
  </si>
  <si>
    <t>112,7079781797624</t>
  </si>
  <si>
    <t>https://www.google.com/maps/place/Kollabora/data=!4m2!3m1!1s0x2dd7fd25a3422c69:0xea8ba33292973f52?sa=X&amp;ved=1t:242&amp;ictx=111</t>
  </si>
  <si>
    <t>Spesial Soto Boyolali (SSB) Hj. Hesti Widodo</t>
  </si>
  <si>
    <t>Restoran yang menyajikan Soto Seger khas Boyolali dengan cita rasa autentik dan porsi yang cukup besar.</t>
  </si>
  <si>
    <t>Soto Boyolali, Soto Seger, Kuliner Jawa Tengah, Family Friendly, Comfort Food, Sarapan, Makan Siang, Kuliner Nusantara, Halal, Murah, Warung, Kuliner Lokal, Surabaya Pusat, Kuah Bening, Ayam Empuk, Autentik</t>
  </si>
  <si>
    <t>-7.256033479887709, 112.74855446955257</t>
  </si>
  <si>
    <t>-7,256033479887709</t>
  </si>
  <si>
    <t>112,74855446955257</t>
  </si>
  <si>
    <t>https://www.google.com/search?q=Spesial+Soto+Boyolali+(SSB)+Hj.+Hesti+Widodo&amp;oq=Spesial+Soto+Boyolali+(SSB)+Hj.+Hesti+Widodo&amp;gs_lcrp=EgZjaHJvbWUyBggAEEUYOTINCAEQLhivARjHARiABDIHCAIQABiABDIHCAMQABiABDIHCAQQABiABDIHCAUQABiABDIHCAYQABiABDIHCAcQABiABDIHCAgQABiABDIHCAkQABiABNIBBzM2OWowajeoAgCwAgA&amp;sourceid=chrome&amp;ie=UTF-8#sv=CAwS_QMKBmxjbF9wdhJhCgNwdnESWkNnMHZaeTh4TVhFNU5URTVlSEIwSWpJS0xGTndaWE5wWVd3Z1UyOTBieUJDYjNsdmJHRnNhU0FvVTFOQ0tTQklhaTRnU0dWemRHa2dWMmxrYjJSdkVBSVlBdxK0AgoDbHFpEqwCQ2l4VGNHVnphV0ZzSUZOdmRHOGdRbTk1YjJ4aGJHa2dLRk5UUWlrZ1NHb3VJRWhsYzNScElGZHBaRzlrYjBpNTVkUFFwTGFBZ0FoYVJ4QUFFQUVRQWhBREVBUVFCUkFHR0FBWUFSZ0NHQU1ZQkJnRkdBWWlLWE53WlhOcFlXd2djMjkwYnlCaWIzbHZiR0ZzYVNCemMySWdhR29nYUdWemRHa2dkMmxrYjJSdmtnRVBjMjkwYjE5eVpYTjBZWFZ5WVc1MG1nRkVRMms1UkZGVmJGSlJWVTUyV2tWT2IyUkliR3BTYW14MlZESndiMkp0UlhoYVNFWlRWbGhuTVZSdE5VTmtSazV6VTJwYVUyRXdjSGxXTUZwaFlWWm5lRkpTUVVMNkFRUUlBQkFwEhIKA3RicxILbHJmOiEzc0lBRT0SMQoBcRIsU3Blc2lhbCBTb3RvIEJveW9sYWxpIChTU0IpIEhqLiBIZXN0aSBXaWRvZG8aEmxvY2FsLXBsYWNlLXZpZXdlchgKIO7_o7wK</t>
  </si>
  <si>
    <t>Depot Gang Djangkrik Mayjend Sungkono Surabaya</t>
  </si>
  <si>
    <t>Depot di gang kecil kawasan Mayjend Sungkono Surabaya Barat dengan nama unik Djangkrik.</t>
  </si>
  <si>
    <t>Depot, Kuliner Indonesia, Seafood, Masakan Indonesia, Murah, Terjangkau, Makan Siang, Makan Malam, Family Friendly, Halal, Surabaya Barat, Hidden Gem</t>
  </si>
  <si>
    <t>-7.2886942, 112.7091512</t>
  </si>
  <si>
    <t>https://www.google.com/maps/place/Depot+Gang+Djangkrik/data=!4m7!3m6!1s0x2dd7fc0caa5ea0cd:0xaec6f5048ddc71ae!8m2!3d-7.2886942!4d112.7091512!16s%2Fg%2F1hc2mnvt0!19sChIJzaBeqgz81y0RrnHcjQT1xq4?authuser=0&amp;hl=zh-TW&amp;rclk=1</t>
  </si>
  <si>
    <t>Seafood Bintang Lima</t>
  </si>
  <si>
    <t>Restoran seafood berklaim kualitas bintang lima buka siang hingga dini hari di Surabaya Pusat.</t>
  </si>
  <si>
    <t>Seafood, Bintang Lima, Kepiting, Udang, Ikan, Cumi, Kerang, Makan Siang, Makan Malam, Buka Larut, Family Friendly, Surabaya Pusat</t>
  </si>
  <si>
    <t>-7.2887909, 112.7555506</t>
  </si>
  <si>
    <t>https://www.google.com/maps/place/Seafood+Bintang+Lima/data=!4m7!3m6!1s0x2dd7fb004c043809:0x70bf611954911492!8m2!3d-7.2887909!4d112.7555506!16s%2Fg%2F11m5vr_zwt!19sChIJCTgETAD71y0RkhSRVBlhv3A?authuser=0&amp;hl=zh-TW&amp;rclk=1</t>
  </si>
  <si>
    <t>Mbok Sil Penyetan Sambel Tempong</t>
  </si>
  <si>
    <t>Warung penyetan spesialis sambel tempong (sambal ekstra pedas khas Banyuwangi).</t>
  </si>
  <si>
    <t>Penyetan, Sambel Tempong, Sambal Pedas, Kuliner Banyuwangi, Pedas Ekstrem, Kuliner Lokal, Murah, Terjangkau, Warung, Comfort Food, Makan Siang, Makan Malam, Halal, Surabaya Timur</t>
  </si>
  <si>
    <t>-7.277629, 112.755673</t>
  </si>
  <si>
    <t>https://www.google.com/maps/place/Mbok+Sil+Penyetan+Sambel+Tempong/data=!4m7!3m6!1s0x2dd7fb878a886bb1:0xe9224547a852f773!8m2!3d-7.277629!4d112.755673!16s%2Fg%2F11shm5ntc9!19sChIJsWuIiof71y0Rc_dSqEdFIuk?authuser=0&amp;hl=zh-TW&amp;rclk=1</t>
  </si>
  <si>
    <t>Warung Taburai - Surabaya Mulyosari</t>
  </si>
  <si>
    <t>Warung di kawasan Mulyosari Surabaya Timur buka siang hingga dini hari.</t>
  </si>
  <si>
    <t>Warung, Kuliner Indonesia, Masakan Indonesia, Murah, Terjangkau, Makan Siang, Makan Malam, Buka Larut, Halal, Surabaya Timur, Mulyosari</t>
  </si>
  <si>
    <t>-7.264601, 112.7959913</t>
  </si>
  <si>
    <t>https://www.google.com/maps/place/Warung+Taburai+-+Surabaya+Mulyosari/data=!4m7!3m6!1s0x2dd7fb7a0ff110bb:0x9ac9e3a2845f194!8m2!3d-7.264601!4d112.7959913!16s%2Fg%2F11xh1vb515!19sChIJuxDxD3r71y0RlPFFKDqerAk?authuser=0&amp;hl=zh-TW&amp;rclk=1</t>
  </si>
  <si>
    <t>Taman Air Mancur</t>
  </si>
  <si>
    <t>Taman dengan air mancur di kawasan Surabaya Pusat dekat area perkantoran dan perbelanjaan.</t>
  </si>
  <si>
    <t>Taman Kota, Air Mancur, Ruang Terbuka Hijau, Outdoor, Santai, Healing, Family Friendly, Wisata Gratis, Buka 24 Jam, Surabaya Pusat</t>
  </si>
  <si>
    <t>-7.2644593, 112.7456248</t>
  </si>
  <si>
    <t>https://www.google.com/maps/place/Fountain+Park/data=!4m7!3m6!1s0x2dd7f9622dbbd3c1:0xa20bc44e6774704c!8m2!3d-7.2644593!4d112.7456248!16s%2Fg%2F11f11psh4h!19sChIJwdO7LWL51y0RTHB0Z07EC6I?authuser=0&amp;hl=zh-TW&amp;rclk=1</t>
  </si>
  <si>
    <t>Taman Ekspresi Dan Perpustakaan</t>
  </si>
  <si>
    <t>Ruang publik unik yang menggabungkan taman kota dengan perpustakaan terbuka di Surabaya Pusat.</t>
  </si>
  <si>
    <t>Taman Kota, Perpustakaan, Literasi, Edukasi, Outdoor, Ruang Terbuka Hijau, Family Friendly, Kids Friendly, Wisata Gratis, Surabaya Pusat, Baca Buku, Santai, Urban Space</t>
  </si>
  <si>
    <t>-7.2573072, 112.7437199</t>
  </si>
  <si>
    <t>https://www.google.com/maps/place/Taman+Ekspresi+Dan+Perpustakaan/data=!4m7!3m6!1s0x2dd7f966192051db:0x73421d48f52c1f0f!8m2!3d-7.2573072!4d112.7437199!16s%2Fg%2F11bwh9_1gl!19sChIJ21EgGWb51y0RDx8s9UgdQnM?authuser=0&amp;hl=zh-TW&amp;rclk=1</t>
  </si>
  <si>
    <t>Museum Nahdlatul Ulama</t>
  </si>
  <si>
    <t>Museum menyimpan koleksi bersejarah organisasi Islam terbesar di Indonesia, Nahdlatul Ulama.</t>
  </si>
  <si>
    <t>Museum, Sejarah Islam, Nahdlatul Ulama, NU, Edukasi, Religi, Cagar Budaya, Wisata Sejarah, Dokumen Sejarah, Resolusi Jihad, Kitab Kuno, Ulama, Surabaya Selatan, Wisata Gratis, Indoor, Family Friendly</t>
  </si>
  <si>
    <t>-7.3377731938597055, 112.7238045625654</t>
  </si>
  <si>
    <t>-7,3377731938597055</t>
  </si>
  <si>
    <t>112,7238045625654</t>
  </si>
  <si>
    <t>https://www.google.com/maps/place/Museum+Nahdlatul+Ulama/data=!4m2!3m1!1s0x2dd7fb508223f375:0x33ca3810ad3ad698?sa=X&amp;ved=1t:155783&amp;ictx=111</t>
  </si>
  <si>
    <t>Food Legacy</t>
  </si>
  <si>
    <t>Warung kuliner pelestari warisan kuliner tradisional Indonesia di kawasan Surabaya Timur.</t>
  </si>
  <si>
    <t>Kuliner Tradisional, Warisan Kuliner, Masakan Indonesia, Autentik, Murah, Terjangkau, Warung, Comfort Food, Makan Siang, Makan Malam, Halal, Surabaya Timur</t>
  </si>
  <si>
    <t>-7.2478838, 112.7795224</t>
  </si>
  <si>
    <t>https://www.google.com/maps/place/Food+Legacy/data=!4m7!3m6!1s0x2dd7f9df045e2c6f:0x4482f925bf5b1510!8m2!3d-7.2478838!4d112.7795224!16s%2Fg%2F11fl3yjmym!19sChIJbyxeBN_51y0REBVbvyX5gkQ?authuser=0&amp;hl=zh-TW&amp;rclk=1</t>
  </si>
  <si>
    <t>Warung Bu Mar (Ibuk Marsiati)</t>
  </si>
  <si>
    <t>Warung masakan rumahan Ibu Marsiati di Surabaya Timur.</t>
  </si>
  <si>
    <t>Warung, Masakan Rumahan, Kuliner Indonesia, Murah, Terjangkau, Sarapan, Makan Siang, Makan Malam, Halal, Surabaya Timur</t>
  </si>
  <si>
    <t>-7.2861537, 112.7861373</t>
  </si>
  <si>
    <t>https://www.google.com/maps/place/Warung+Bu+Mar+%28Ibuk+Marsiati%29/data=!4m7!3m6!1s0x2dd7fa40224c325d:0x40798b7569130629!8m2!3d-7.2861537!4d112.7861373!16s%2Fg%2F11d_w7svq7!19sChIJXTJMIkD61y0RKQYTaXWLeUA?authuser=0&amp;hl=zh-TW&amp;rclk=1</t>
  </si>
  <si>
    <t>Kopilaborasi</t>
  </si>
  <si>
    <t>Kafe specialty coffee dengan konsep kolaborasi dan komunitas di kawasan Surabaya Timur.</t>
  </si>
  <si>
    <t>Coffee Shop, Specialty Coffee, Kolaborasi, Komunitas, Cozy, Aesthetic, Instagramable, WFC, Work From Cafe, Hangout, Nongkrong, Surabaya Timur</t>
  </si>
  <si>
    <t>-7.2893849, 112.7573433</t>
  </si>
  <si>
    <t>https://www.google.com/maps/place/Kopilaborasi/data=!4m7!3m6!1s0x2dd7fba920d2eaa1:0xde008d964e51feae!8m2!3d-7.2893849!4d112.7573433!16s%2Fg%2F11qycc3jz_!19sChIJoerSIKn71y0Rrv5RTpaNAN4?authuser=0&amp;hl=zh-TW&amp;rclk=1</t>
  </si>
  <si>
    <t>Penyetan Watu Uleg</t>
  </si>
  <si>
    <t>Warung penyetan unik menggunakan cobek batu (watu uleg) asli untuk sambal tradisional.</t>
  </si>
  <si>
    <t>Penyetan, Watu Uleg, Cobek Batu, Sambal Tradisional, Kuliner Unik, Kuliner Jawa Timur, Murah, Terjangkau, Warung, Comfort Food, Makan Siang, Makan Malam, Halal, Surabaya Timur</t>
  </si>
  <si>
    <t>-7.2775095, 112.7656871</t>
  </si>
  <si>
    <t>https://www.google.com/maps/place/Penyetan+Watu+Uleg/data=!4m7!3m6!1s0x2dd7fb36625e83a5:0x1ed0d3f296f559e7!8m2!3d-7.2775095!4d112.7656871!16s%2Fg%2F11tn8gl589!19sChIJpYNeYjb71y0R51n1lvLT0B4?authuser=0&amp;hl=zh-TW&amp;rclk=1</t>
  </si>
  <si>
    <t>Taman Araya</t>
  </si>
  <si>
    <t>Taman kota di kawasan perumahan Araya Surabaya Timur dengan rating sempurna.</t>
  </si>
  <si>
    <t>Taman Kota, Ruang Terbuka Hijau, Outdoor, Olahraga, Santai, Healing, Family Friendly, Kids Friendly, Wisata Gratis, Buka 24 Jam, Surabaya Timur, Araya</t>
  </si>
  <si>
    <t>-7.2908996, 112.786073</t>
  </si>
  <si>
    <t>https://www.google.com/maps/place/Taman+Araya/data=!4m7!3m6!1s0x2dd7fa420d0a937d:0x9560d218e65fb8cd!8m2!3d-7.2908996!4d112.786073!16s%2Fg%2F11g9jyrh06!19sChIJfZMKDUL61y0Rzbhf5hjSYJU?authuser=0&amp;hl=zh-TW&amp;rclk=1</t>
  </si>
  <si>
    <t>Danau Unesa Lidah Wetan</t>
  </si>
  <si>
    <t>Kedai makanan di tepi danau tenang milik UNESA, spot favorit mahasiswa dan warga sekitar.</t>
  </si>
  <si>
    <t>Danau, Wisata Alam, Outdoor, Jogging Track, Olahraga, Kuliner Pinggir Danau, Mahasiswa, Surabaya Barat, UNESA, Lidah Wetan, Healing, Santai, City View, Family Friendly</t>
  </si>
  <si>
    <t>-7.3014893, 112.6749246</t>
  </si>
  <si>
    <t>https://www.google.com/maps/place/Unesa+Lake/data=!4m7!3m6!1s0x2dd7fc51bf64abdb:0x455426ee1e347d5f!8m2!3d-7.3014893!4d112.6749246!16s%2Fg%2F11c60jpp5v!19sChIJ26tkv1H81y0RX300Hu4mVEU?authuser=0&amp;hl=zh-TW&amp;rclk=1</t>
  </si>
  <si>
    <t>Taman Buah</t>
  </si>
  <si>
    <t>Taman kota dengan koleksi tanaman buah tropis di kawasan Surabaya Timur.</t>
  </si>
  <si>
    <t>Taman Kota, Taman Buah, Ruang Terbuka Hijau, Edukasi, Outdoor, Family Friendly, Kids Friendly, Wisata Gratis, Tanaman Buah, Botani, Surabaya Timur</t>
  </si>
  <si>
    <t>-7.2662139, 112.795281</t>
  </si>
  <si>
    <t>https://www.google.com/maps/place/Taman+Buah/data=!4m7!3m6!1s0x2dd7fa1daed3496f:0x56f16ff0753bd4db!8m2!3d-7.2662139!4d112.795281!16s%2Fg%2F11cjhbpr36!19sChIJb0nTrh361y0R29Q7dfBv8VY?authuser=0&amp;hl=zh-TW&amp;rclk=1</t>
  </si>
  <si>
    <t>Rawon Mbak Pad</t>
  </si>
  <si>
    <t>Warung rawon dengan rating sangat tinggi di kawasan Surabaya Pusat buka pagi hingga sore.</t>
  </si>
  <si>
    <t>Rawon, Rawon Sapi, Kuliner Jawa Timur, Khas Surabaya, Comfort Food, Sarapan, Makan Siang, Murah, Halal, Warung, Surabaya Pusat</t>
  </si>
  <si>
    <t>-7.2789121, 112.7543596</t>
  </si>
  <si>
    <t>https://www.google.com/maps/place/Rawon+Mbak+Pad/data=!4m7!3m6!1s0x2dd7fbcef8af717d:0x76f5ca981c3dff65!8m2!3d-7.2789121!4d112.7543596!16s%2Fg%2F11b7yps3f2!19sChIJfXGv-M771y0RZf89HJjK9XY?authuser=0&amp;hl=zh-TW&amp;rclk=1</t>
  </si>
  <si>
    <t>Soto Otot Jimerto</t>
  </si>
  <si>
    <t>Warung soto spesialis soto otot (urat sapi) di kawasan Jimerto Surabaya Pusat, buka pagi hingga sekitar jam 10.30.</t>
  </si>
  <si>
    <t>Soto, Soto Otot, Urat Sapi, Kuliner Unik, Kuliner Khas Surabaya, Sarapan, Buka Pagi, Cepat Habis, Murah, Halal, Warung, Surabaya Pusat</t>
  </si>
  <si>
    <t>-7.2579295, 112.7459538</t>
  </si>
  <si>
    <t>https://www.google.com/maps/place/Soto+Otot+Jimerto/data=!4m7!3m6!1s0x2dd7f9650a60d449:0xb5e71c241bf1444!8m2!3d-7.2579295!4d112.7459538!16s%2Fg%2F1pzr7xp93!19sChIJSdRgCmX51y0RRBS_QcJxXgs?authuser=0&amp;hl=zh-TW&amp;rclk=1</t>
  </si>
  <si>
    <t>Rawon Empal Bu Enny</t>
  </si>
  <si>
    <t>Warung rawon yang memadukan rawon dengan empal sapi di Surabaya Timur.</t>
  </si>
  <si>
    <t>Rawon, Empal Sapi, Kuliner Unik, Kuliner Jawa Timur, Khas Surabaya, Comfort Food, Sarapan, Makan Siang, Murah, Halal, Warung, Surabaya Timur</t>
  </si>
  <si>
    <t>-7.2407334, 112.7695376</t>
  </si>
  <si>
    <t>https://www.google.com/maps/place/Rawon+Empal+Bu+Enny/data=!4m7!3m6!1s0x2dd7f9a3e42c3d79:0xc2bf4a6a39210764!8m2!3d-7.2407334!4d112.7695376!16s%2Fg%2F11b6c2sk0r!19sChIJeT0s5KP51y0RZAchOWpKv8I?authuser=0&amp;hl=zh-TW&amp;rclk=1</t>
  </si>
  <si>
    <t>Sate Ayam Madura Pak Roib</t>
  </si>
  <si>
    <t>Warung sate ayam khas Madura buka sore hingga malam.</t>
  </si>
  <si>
    <t>Sate, Sate Ayam Madura, Bumbu Kacang, Kuliner Madura, Makan Malam, Buka Sore, Murah, Halal, Warung, Surabaya Pusat</t>
  </si>
  <si>
    <t>-7.2676691, 112.7296346</t>
  </si>
  <si>
    <t>https://www.google.com/maps/place/Sate+Ayam+Madura+Pak+Roib/data=!4m7!3m6!1s0x2dd7fbe282f285ed:0xf04494f81d997250!8m2!3d-7.2676691!4d112.7296346!16s%2Fg%2F11c6rtftd9!19sChIJ7YXyguL71y0RUHKZHfiURPA?authuser=0&amp;hl=zh-TW&amp;rclk=1</t>
  </si>
  <si>
    <t>Warung Ibu Asrep</t>
  </si>
  <si>
    <t>Warung buka Senin-Sabtu di kawasan Surabaya Timur, masakan Indonesia harian.</t>
  </si>
  <si>
    <t>Warung, Masakan Rumahan, Kuliner Indonesia, Murah, Terjangkau, Sarapan, Makan Siang, Halal, Surabaya Timur</t>
  </si>
  <si>
    <t>-7.2401301, 112.7510069</t>
  </si>
  <si>
    <t>https://www.google.com/maps/place/Warung+Ibu+Asrep/data=!4m7!3m6!1s0x2dd7f991de2b0341:0x3f1c3c9a23d91478!8m2!3d-7.2401301!4d112.7510069!16s%2Fg%2F11m3980yym!19sChIJQQMr3pH51y0ReBTZI5o8HD8?authuser=0&amp;hl=zh-TW&amp;rclk=1</t>
  </si>
  <si>
    <t>Fifteenth Cafe by Mark Design</t>
  </si>
  <si>
    <t>Kafe bergaya industrial semi-vintage di Kota Lama Surabaya dengan rooftop pemandangan senja.</t>
  </si>
  <si>
    <t>Cafe, Coffee, Kota Lama, Heritage, Rooftop, Senja, Spot Foto, Instagramable, Aesthetic, Hangout, Sejarah, Surabaya Utara, Industrial, Vintage, Sunset View, Couple Friendly, WFC</t>
  </si>
  <si>
    <t>Senin - Kamis</t>
  </si>
  <si>
    <t>-7.277914244832332, 112.74660696007949</t>
  </si>
  <si>
    <t>-7,277914244832332</t>
  </si>
  <si>
    <t>112,74660696007949</t>
  </si>
  <si>
    <t>https://www.google.com/maps/place/Fifteenth+Cafe+by+Mark+Design/data=!4m2!3m1!1s0x2dd7fb058f8b2b57:0xa650e8fa56becfa7?sa=X&amp;ved=1t:242&amp;ictx=111</t>
  </si>
  <si>
    <t>Warung 75 Nasi Bebek Bu Nur</t>
  </si>
  <si>
    <t>Warung nasi bebek buka sore hingga malam di kawasan Surabaya Pusat.</t>
  </si>
  <si>
    <t>Nasi Bebek, Bebek Goreng, Sambal, Kuliner Legendaris, Kuliner Lokal, Warung, Comfort Food, Makan Malam, Buka Sore, Murah, Halal, Surabaya Pusat</t>
  </si>
  <si>
    <t>-7.2973269, 112.7473791</t>
  </si>
  <si>
    <t>https://www.google.com/maps/place/Warung+75+Nasi+Bebek+Bu+Nur/data=!4m7!3m6!1s0x2dd7fba4d1bb674f:0x64d56a624745c712!8m2!3d-7.2973269!4d112.7473791!16s%2Fg%2F11b6bw1fm4!19sChIJT2e70aT71y0REsdFR2Jq1WQ?authuser=0&amp;hl=zh-TW&amp;rclk=1</t>
  </si>
  <si>
    <t>Taman Husada Graha Famili</t>
  </si>
  <si>
    <t>Taman kota di kawasan perumahan Graha Famili, Surabaya Barat, dengan jogging track dan area bermain.</t>
  </si>
  <si>
    <t>Taman Kota, Outdoor, Ruang Terbuka Hijau, Family Friendly, Kids Friendly, Jogging, Walking Track, Rekreasi, Healing, Santai, Area Bermain Anak, Wisata Gratis, Surabaya Barat, Graha Famili</t>
  </si>
  <si>
    <t>-7.303257601463253, 112.68686682883533</t>
  </si>
  <si>
    <t>https://www.google.com/maps/place/Taman+Husada+Graha+Famili'/data=!4m2!3m1!1s0x2dd7fc5c69efebf7:0xcd9c0fd37e2fee07?sa=X&amp;ved=1t:155783&amp;ictx=111</t>
  </si>
  <si>
    <t>Soto Banjar Pak Kumis</t>
  </si>
  <si>
    <t>Warung soto Banjar dari Kalimantan Selatan di Surabaya Pusat.</t>
  </si>
  <si>
    <t>Soto Banjar, Kuliner Banjar, Kalimantan Selatan, Kuliner Nusantara, Comfort Food, Sarapan, Makan Siang, Murah, Halal, Warung, Surabaya Pusat</t>
  </si>
  <si>
    <t>-7.288827, 112.752195</t>
  </si>
  <si>
    <t>https://www.google.com/maps/place/Soto+Banjar+Pak+Kumis/data=!4m7!3m6!1s0x2dd7fbcf2dbef5b3:0xe26d767bdebc46c8!8m2!3d-7.288827!4d112.752195!16s%2Fg%2F11b6s19srs!19sChIJs_W-Lc_71y0RyEa83nt2beI?authuser=0&amp;hl=zh-TW&amp;rclk=1</t>
  </si>
  <si>
    <t>NELAYAN SEAFOOD SURABAYA</t>
  </si>
  <si>
    <t>Restoran seafood dengan rating sempurna di Surabaya Selatan.</t>
  </si>
  <si>
    <t>Seafood, Nelayan, Premium, Rating Sempurna, Kepiting, Udang, Ikan, Cumi, Kerang, Makan Siang, Makan Malam, Family Friendly, Surabaya Selatan, Halal</t>
  </si>
  <si>
    <t>5000-100000</t>
  </si>
  <si>
    <t>-7.3127654, 112.7804565</t>
  </si>
  <si>
    <t>https://www.google.com/maps/place/NELAYAN+SEAFOOD+SURABAYA/data=!4m7!3m6!1s0x2dd7fbcc5a1d1a21:0x45c838b7f0b4b6fa!8m2!3d-7.3127654!4d112.7804565!16s%2Fg%2F11npcq_gx5!19sChIJIRodWsz71y0R-ra08Lc4yEU?authuser=0&amp;hl=zh-TW&amp;rclk=1</t>
  </si>
  <si>
    <t>Bebek Sinjay - Sawahan</t>
  </si>
  <si>
    <t>Restoran simpel dengan hidangan lokal spesial bebek goreng yang disajikan dengan nasi dan saus sambal.</t>
  </si>
  <si>
    <t>Bebek Goreng, Nasi Bebek, Sambal, Bebek Sinjay, Kuliner Madura, Kuliner Khas Surabaya, Murah, Comfort Food, Makan Pagi, Makan Siang, Makan Malam, Halal, Surabaya Pusat</t>
  </si>
  <si>
    <t>-7.2585255, 112.7325961</t>
  </si>
  <si>
    <t>https://www.google.com/maps/place/Bebek+Sinjay+Tidar/data=!4m7!3m6!1s0x2dd7f95b5bc53595:0x217712a51cef984b!8m2!3d-7.2585255!4d112.7325961!16s%2Fg%2F11c5rv44bx!19sChIJlTXFW1v51y0RS5jvHKUSdyE?authuser=0&amp;hl=zh-TW&amp;rclk=1</t>
  </si>
  <si>
    <t>Mie Kedondong Soerabaja 1977</t>
  </si>
  <si>
    <t>Restoran mie nostalgia Surabaya tempo dulu sejak 1977 dengan menu unik mie kedondong.</t>
  </si>
  <si>
    <t>Mie Kedondong, Kuliner Legendaris, Kuliner Nostalgik, Soerabaja, 1977, Kuliner Unik, Khas Surabaya, Murah, Warung, Comfort Food, Makan Pagi, Makan Siang, Makan Malam, Halal, Surabaya Pusat</t>
  </si>
  <si>
    <t>-7.2698359, 112.7396575</t>
  </si>
  <si>
    <t>https://www.google.com/maps/place/Mie+Kedondong+Soerabaja+1977/data=!4m7!3m6!1s0x2dd7fbde2c902b73:0xe63b9e25a104734b!8m2!3d-7.2698359!4d112.7396575!16s%2Fg%2F1hm1pwmbk!19sChIJcyuQLN771y0RS3MEoSWeO-Y?authuser=0&amp;hl=zh-TW&amp;rclk=1</t>
  </si>
  <si>
    <t>Coffee Breng And Lounge</t>
  </si>
  <si>
    <t>Kafe lounge buka 24 jam di kawasan Surabaya Pusat.</t>
  </si>
  <si>
    <t>Kafe, Lounge, Coffee Shop, Buka 24 Jam, Nongkrong, Hangout, Cozy, Nightlife, Kuliner Malam, Surabaya Pusat</t>
  </si>
  <si>
    <t>-7.2601566, 112.7307898</t>
  </si>
  <si>
    <t>https://www.google.com/maps/place/Coffee+Breng+And+Lounge/data=!4m7!3m6!1s0x2dd7f95ba7a6e419:0x419aab0713ad2b17!8m2!3d-7.2601566!4d112.7307898!16s%2Fg%2F11bwqq0g0r!19sChIJGeSmp1v51y0RFyutEwermkE?authuser=0&amp;hl=zh-TW&amp;rclk=1</t>
  </si>
  <si>
    <t>De'Oasis Cafe Eatery</t>
  </si>
  <si>
    <t>Kafe dan eatery dengan konsep oasis di kawasan Surabaya Timur.</t>
  </si>
  <si>
    <t>Kafe, Eatery, Coffee Shop, Cozy, Aesthetic, Instagramable, Hangout, Nongkrong, WFC, Surabaya Timur</t>
  </si>
  <si>
    <t>-7.2629966, 112.7645719</t>
  </si>
  <si>
    <t>https://www.google.com/maps/place/De%27Oasis+Cafe+Eatery/data=!4m7!3m6!1s0x2dd7f92375ba161d:0xf18309d2c115d2f6!8m2!3d-7.2629966!4d112.7645719!16s%2Fg%2F11v9z7qjgz!19sChIJHRa6dSP51y0R9tIVwdIJg_E?authuser=0&amp;hl=zh-TW&amp;rclk=1</t>
  </si>
  <si>
    <t>Wisata Kuliner Jajar Tunggal Surabaya</t>
  </si>
  <si>
    <t>Wisata kuliner di kawasan Jajar Tunggal Surabaya Barat.</t>
  </si>
  <si>
    <t>Wisata Kuliner, Food Area, Kuliner Murah, Terjangkau, Beragam Pilihan, Surabaya Barat, Family Friendly, Sarapan, Makan Siang, Makan Malam, Kuliner Lokal, Halal</t>
  </si>
  <si>
    <t>-7.3138735, 112.7006293</t>
  </si>
  <si>
    <t>https://www.google.com/maps/place/Wisata+Kuliner+Jajar+Tunggal+Surabaya/data=!4m7!3m6!1s0x2dd7fc8b73ebe583:0xebfbce1eacc9db20!8m2!3d-7.3138735!4d112.7006293!16s%2Fg%2F11bx4bcq6z!19sChIJg-Xrc4v81y0RINvJrB7O--s?authuser=0&amp;hl=zh-TW&amp;rclk=1</t>
  </si>
  <si>
    <t>Bakso Barokah cabang CAK TOPO pulo</t>
  </si>
  <si>
    <t>Cabang bakso Barokah dari Cak Topo di kawasan pulo Surabaya Selatan.</t>
  </si>
  <si>
    <t>-7.3077402, 112.725849</t>
  </si>
  <si>
    <t>https://www.google.com/maps/place/Bakso+Barokah+cabang+CAK+TOPO+pulo/data=!4m7!3m6!1s0x2dd7fb82a1642da7:0x1f9eb8f3b2bb93cc!8m2!3d-7.3077402!4d112.725849!16s%2Fg%2F11gf4nbp1h!19sChIJpy1koYL71y0RzJO7svO4nh8?authuser=0&amp;hl=zh-TW&amp;rclk=1</t>
  </si>
  <si>
    <t>WARUNG SEAFOOD</t>
  </si>
  <si>
    <t>Warung seafood buka sore hingga dini hari di kawasan pesisir Surabaya Timur.</t>
  </si>
  <si>
    <t>Seafood, Warung, Tepi Laut, Pesisir, Murah, Terjangkau, Kepiting, Udang, Ikan, Cumi, Makan Malam, Buka Sore, Buka Malam, Halal, Surabaya Timur</t>
  </si>
  <si>
    <t>-7.2565761, 112.7957716</t>
  </si>
  <si>
    <t>https://www.google.com/maps/place/WARUNG+SEAFOOD/data=!4m7!3m6!1s0x2dd7f9710889466d:0xa5c711a2cc8f434d!8m2!3d-7.2565761!4d112.7957716!16s%2Fg%2F11nfmg8fyh!19sChIJbUaJCHH51y0RTUOPzKIRx6U?authuser=0&amp;hl=zh-TW&amp;rclk=1</t>
  </si>
  <si>
    <t>Rumah Makan Layar Seafood Manyar</t>
  </si>
  <si>
    <t>Rumah Makan Layar Seafood Manyar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</si>
  <si>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Restoran Seafood, Kuliner Laut, Seafood Segar, Ikan Bakar, Udang, Cumi, Kepiting, Menu Bakar Goreng, Sambal Khas, Makan Keluarga, Harga Terjangkau, Kuliner Malam, Surabaya.</t>
  </si>
  <si>
    <t>75000-250000</t>
  </si>
  <si>
    <t>Senin-Minggu</t>
  </si>
  <si>
    <t>-7.2794916, 112.7665996</t>
  </si>
  <si>
    <t>https://www.google.com/maps/place/Layar+Seafood+Manyar+Kertoarjo/data=!4m7!3m6!1s0x2dd7fbd2330b9919:0x9b82ea9e3b785a9a!8m2!3d-7.2794916!4d112.7665996!16s%2Fg%2F11rfcvqdl3!19sChIJGZkLM9L71y0Rmlp4O57qgps?authuser=0&amp;hl=zh-TW&amp;rclk=1</t>
  </si>
  <si>
    <t>Depot Soto Banjar Achmad Jais</t>
  </si>
  <si>
    <t>Depot Soto Banjar Achmad Jais menghadirkan hidangan soto khas dengan kuah gurih berempah yang menjadi favorit warga Surabaya. Menu ini cocok dinikmati saat sarapan maupun makan siang bersama nasi hangat dan pelengkap khasnya. Tempat ini dikenal karena cita rasanya yang autentik dan konsisten.</t>
  </si>
  <si>
    <t>Restoran soto, Soto Nusantara, Kuah Gurih, Kuliner Tradisional, Sarapan, Warung Legendaris, Rempah Khas, Surabaya.</t>
  </si>
  <si>
    <t>-7.2554039, 112.7423416</t>
  </si>
  <si>
    <t>https://www.google.com/maps/place/Depot+Soto+Banjar+Achmad+Jais/data=!4m7!3m6!1s0x2dd7f968f4382329:0x1fa090f0238b6351!8m2!3d-7.2554039!4d112.7423416!16s%2Fg%2F1hc8gf32r!19sChIJKSM49Gj51y0RUWOLI_CQoB8?authuser=0&amp;hl=zh-TW&amp;rclk=1</t>
  </si>
  <si>
    <t>Coffeetorium Cafe &amp; Roastwork</t>
  </si>
  <si>
    <t>Coffeetorium Cafe &amp; Roastwork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</si>
  <si>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Kedai Kopi, Kopi Susu, Ngopi, Nongkrong, Work From Cafe, Aesthetic, Hangout, Indoor, Minuman Kekinian, Surabaya.</t>
  </si>
  <si>
    <t>-7.3214809, 112.7737687</t>
  </si>
  <si>
    <t>https://www.google.com/maps/place/Coffeetorium+Cafe+%26+Roastwork/data=!4m7!3m6!1s0x2dd7fb4d3d086167:0xd800f58b606fcb68!8m2!3d-7.3214809!4d112.7737687!16s%2Fg%2F11wg94yy_v!19sChIJZ2EIPU371y0RaMtvYIv1ANg?authuser=0&amp;hl=zh-TW&amp;rclk=1</t>
  </si>
  <si>
    <t>Pasar Atom Food Court</t>
  </si>
  <si>
    <t>Pasar Atom Food Court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</si>
  <si>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Pujasera, Food Court, Aneka Kuliner, Pusat Jajanan, Makan Bersama, Banyak Pilihan Menu, Keluarga, Surabaya.</t>
  </si>
  <si>
    <t>-7.240779, 112.7442568</t>
  </si>
  <si>
    <t>https://www.google.com/maps/place/Food+Court+Pasar+Atom/data=!4m7!3m6!1s0x2dd7f916b9f87cdb:0x1c4a50704b54d551!8m2!3d-7.240779!4d112.7442568!16s%2Fg%2F11g8y12vw6!19sChIJ23z4uRb51y0RUdVUS3BQShw?authuser=0&amp;hl=zh-TW&amp;rclk=1</t>
  </si>
  <si>
    <t>Soto Banjar Alalak</t>
  </si>
  <si>
    <t>Soto Banjar Alalak menghadirkan hidangan soto khas dengan kuah gurih berempah yang menjadi favorit warga Surabaya. Menu ini cocok dinikmati saat sarapan maupun makan siang bersama nasi hangat dan pelengkap khasnya. Tempat ini dikenal karena cita rasanya yang autentik dan konsisten.</t>
  </si>
  <si>
    <t>-7.2775233, 112.7527633</t>
  </si>
  <si>
    <t>https://www.google.com/maps/place/Soto+Banjar+Alalak+Surabaya/data=!4m7!3m6!1s0x2dd7fb42a3ea3db7:0x6c6c8ab31e57fb3c!8m2!3d-7.2775233!4d112.7527633!16s%2Fg%2F11h9h8vnhf!19sChIJtz3qo0L71y0RPPtXHrOKbGw?authuser=0&amp;hl=zh-TW&amp;rclk=1</t>
  </si>
  <si>
    <t>Taman Surya</t>
  </si>
  <si>
    <t>Taman Surya merupakan taman yang terletak tepat di depan Balai Kota Surabaya, menjadikannya salah satu ruang hijau terpenting di pusat kota. Taman ini sering digunakan sebagai tempat upacara, kegiatan publik, dan acara perayaan kota. Dikelilingi pohon-pohon rindang dan dilengkapi fasilitas bangku serta jalur pejalan kaki, Taman Surya menjadi tempat favorit warga untuk bersantai, berolahraga pagi, dan menikmati suasana pusat pemerintahan Kota Surabaya.</t>
  </si>
  <si>
    <t>Taman Kota, Balai Kota, Pusat Kota, Outdoor, Ruang Terbuka Hijau, Family Friendly, Kids Friendly, Jogging, Walking Track, Rekreasi, Healing, Santai, Aesthetic, Instagramable, Spot Foto, Fotografi, Community Space, City Park, Wisata Gratis, Landmark Surabaya, Urban Tourism, Surabaya.</t>
  </si>
  <si>
    <t>-7.2600797, 112.7468615</t>
  </si>
  <si>
    <t>https://www.google.com/maps/place/Taman+Surya/@-7.2600797,112.7468615,17z/data=!3m1!4b1!4m6!3m5!1s0x2dd7f92df3b563db:0x1b4e0c7350f21299!8m2!3d-7.2600797!4d112.7468615!16s%2Fg%2F11fgj63frd?entry=ttu&amp;g_ep=EgoyMDI2MDYyOS4wIKXMDSoASAFQAw%3D%3D</t>
  </si>
  <si>
    <t>Entertainment Town Center (ETC) - Kampoeng kuliner wiyung</t>
  </si>
  <si>
    <t>Entertainment Town Center (ETC) - Kampoeng kuliner wiyung adalah tempat kuliner yang menyajikan menu andalan dengan cita rasa khas yang digemari warga Surabaya. Tempat ini cocok dijadikan pilihan makan santai bersama keluarga maupun teman. Pelayanan yang ramah dan harga yang terjangkau menjadi daya tarik tersendiri.</t>
  </si>
  <si>
    <t>Restoran, Kuliner Lokal, Warung Makan, Menu Andalan, Harga Terjangkau, Surabaya.</t>
  </si>
  <si>
    <t>10000-50000</t>
  </si>
  <si>
    <t>-7.3129219, 112.7067429</t>
  </si>
  <si>
    <t>https://www.google.com/maps/place/ETC+%28Entertainment+Town+Center%29/data=!4m7!3m6!1s0x2dd7fc868ee38c89:0xbcb1affdceae7e38!8m2!3d-7.3129219!4d112.7067429!16s%2Fg%2F11fd72c34_!19sChIJiYzjjob81y0ROH6uzv2vsbw?authuser=0&amp;hl=zh-TW&amp;rclk=1</t>
  </si>
  <si>
    <t>Museum Mpu Tantular</t>
  </si>
  <si>
    <t>Museum patung &amp; artefak budaya Indonesia, sebagian berasal dari zaman prasejarah.</t>
  </si>
  <si>
    <t>Museum</t>
  </si>
  <si>
    <t>3000-4000</t>
  </si>
  <si>
    <t>-7.4337191, 112.7200357</t>
  </si>
  <si>
    <t>https://www.google.com/maps/place/Museum+Mpu+Tantular/data=!4m7!3m6!1s0x2dd7f963d2d4fb4d:0xfd521173211bad9f!8m2!3d-7.4333832!4d112.7198449!16s%2Fg%2F12203whl!19sChIJTfvU0mP51y0Rn60bIXMRUv0?authuser=0&amp;hl=zh-TW&amp;rclk=1</t>
  </si>
  <si>
    <t>Nasi Pecel Madiun Dan Rawon RMI</t>
  </si>
  <si>
    <t>Nasi Pecel Madiun Dan Rawon RMI menghadirkan aneka masakan khas Jawa Timur dengan cita rasa rumahan yang autentik. Menu-menu tradisionalnya menjadi daya tarik bagi pengunjung yang rindu akan cita rasa kuliner lokal di Surabaya. Tempat ini cocok untuk makan siang maupun makan malam bersama keluarga.</t>
  </si>
  <si>
    <t>Restoran Jawa Timur, Kuliner Jawa Timur, Masakan Rumahan, Menu Tradisional, Warung Legendaris, Comfort Food, Surabaya.</t>
  </si>
  <si>
    <t>20000-27000</t>
  </si>
  <si>
    <t>-7.2968498, 112.7600703</t>
  </si>
  <si>
    <t>https://www.google.com/maps/place/Nasi+Pecel+Madiun+Dan+Rawon+RMI/data=!4m7!3m6!1s0x2dd7fbad78608ad3:0x75e4b4279f2a3c5d!8m2!3d-7.2968498!4d112.7600703!16s%2Fg%2F11gmb4h1v6!19sChIJ04pgeK371y0RXTwqnye05HU?authuser=0&amp;hl=zh-TW&amp;rclk=1</t>
  </si>
  <si>
    <t>Danau Angsa Pakuwon City</t>
  </si>
  <si>
    <t>Danau Angsa Pakuwon City merupakan ruang terbuka hijau yang menjadi tempat favorit warga Surabaya untuk bersantai, berolahraga ringan, maupun menghabiskan waktu bersama keluarga. Suasana yang asri dan udara segar menjadikan taman ini cocok untuk healing di tengah kesibukan kota. Tempat ini juga sering dimanfaatkan sebagai spot foto dan area bermain anak.</t>
  </si>
  <si>
    <t>Taman, Taman Kota, Ruang Terbuka Hijau, Outdoor, Family Friendly, Santai, Healing, Wisata Gratis, Spot Foto, Jogging, Surabaya.</t>
  </si>
  <si>
    <t>-7.2728801, 112.8066985</t>
  </si>
  <si>
    <t>https://www.google.com/maps/place/Danau+Angsa+Pakuwon+City/data=!4m7!3m6!1s0x2dd7fa063bb30d4f:0x8158254a0cb4357c!8m2!3d-7.2728801!4d112.8066985!16s%2Fg%2F11clyt0ghk!19sChIJTw2zOwb61y0RfDW0DEolWIE?authuser=0&amp;hl=zh-TW&amp;rclk=1</t>
  </si>
  <si>
    <t>Bakso asli solo Pak Tono</t>
  </si>
  <si>
    <t>Bakso asli solo Pak Tono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</si>
  <si>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Restoran Bakso, Bakso Sapi, Kuah Kaldu, Mie Bakso, Jajanan Legendaris, Kuliner Kaki Lima, Warung Sederhana, Harga Murah, Semangkuk Hangat, Comfort Food, Surabaya.</t>
  </si>
  <si>
    <t>10000-25000</t>
  </si>
  <si>
    <t>-7.2812233, 112.7873977</t>
  </si>
  <si>
    <t>https://www.google.com/maps/place/Bakso+asli+solo+Pak+Tono/data=!4m7!3m6!1s0x2dd7fa1592e94ecb:0x76cfc9c7e54c90f6!8m2!3d-7.2812233!4d112.7873977!16s%2Fg%2F11bxdzh6bb!19sChIJy07pkhX61y0R9pBM5cfJz3Y?authuser=0&amp;hl=zh-TW&amp;rclk=1</t>
  </si>
  <si>
    <t>Bakso Daging Sapi P.Sabar</t>
  </si>
  <si>
    <t>Bakso Daging Sapi P.Sabar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</si>
  <si>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-7.291741, 112.761856</t>
  </si>
  <si>
    <t>https://www.google.com/maps/place/Bakso+Daging+Sapi+P.Sabar/data=!4m7!3m6!1s0x2dd7fbd37cf37f97:0xf2a87e6343240ea9!8m2!3d-7.27131!4d112.760384!16s%2Fg%2F1pzt2_6rq!19sChIJl3_zfNP71y0RqQ4kQ2N-qPI?authuser=0&amp;hl=zh-TW&amp;rclk=1</t>
  </si>
  <si>
    <t>Xiang Fu Hai Cuisine</t>
  </si>
  <si>
    <t>Xiang Fu Hai Cuisine menyajikan hidangan khas Tionghoa dengan cita rasa gurih dan autentik, mulai dari olahan mie, nasi, hingga aneka lauk khas oriental. Tempat ini menjadi pilihan favorit warga Surabaya yang menyukai masakan Chinese food. Suasana tempatnya nyaman untuk makan bersama keluarga maupun rekan kerja.</t>
  </si>
  <si>
    <t>Restoran China, Kuliner China, Masakan Oriental, Menu Chinese Food, Cita Rasa Autentik, Surabaya.</t>
  </si>
  <si>
    <t>-7.2861622, 112.6993178</t>
  </si>
  <si>
    <t>https://www.google.com/maps/place/Xiang+Fu+Hai+Cuisine/data=!4m7!3m6!1s0x2dd7fd5f04548265:0x66eab3a88e0c137c!8m2!3d-7.2861622!4d112.6993178!16s%2Fg%2F11gh9568wx!19sChIJZYJUBF_91y0RfBMMjqiz6mY?authuser=0&amp;hl=zh-TW&amp;rclk=1</t>
  </si>
  <si>
    <t>Bakso Kikil Sapi Asli Manunggal Cak Mat</t>
  </si>
  <si>
    <t>Bakso Kikil Sapi Asli Manunggal Cak Mat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</si>
  <si>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-7.2567877, 112.7591215</t>
  </si>
  <si>
    <t>https://www.google.com/maps/place/Bakso+Kikil+Sapi+Asli+Manunggal+Cak+Mat/data=!4m7!3m6!1s0x2dd7f979c91fc90d:0xf8e4834fc7791716!8m2!3d-7.2567877!4d112.7591215!16s%2Fg%2F11cm4485nb!19sChIJDckfyXn51y0RFhd5x0-D5Pg?authuser=0&amp;hl=zh-TW&amp;rclk=1</t>
  </si>
  <si>
    <t>SIA COFFEE</t>
  </si>
  <si>
    <t>SIA COFFEE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</si>
  <si>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-7.288321, 112.7088618</t>
  </si>
  <si>
    <t>https://www.google.com/maps/place/SIA+COFFEE/data=!4m7!3m6!1s0x2dd7fd76ab275a47:0x6555b8a370311d3!8m2!3d-7.288321!4d112.7088618!16s%2Fg%2F11lt9ntjmh!19sChIJR1onq3b91y0R0xEDN4pbVQY?authuser=0&amp;hl=zh-TW&amp;rclk=1</t>
  </si>
  <si>
    <t>Graha Natura Park</t>
  </si>
  <si>
    <t>Graha Natura Park merupakan taman terbuka hijau yang berada di kawasan Surabaya Barat dengan suasana asri, danau buatan, hamparan rumput luas, serta jalur pedestrian yang nyaman. Tempat ini menjadi pilihan favorit untuk bersantai, berolahraga ringan, piknik, maupun menikmati pemandangan alam di tengah kota. Dengan lanskap yang tertata rapi dan berbagai spot menarik untuk berfoto, Graha Natura Park menawarkan suasana tenang yang cocok untuk melepas penat bersama keluarga, teman, maupun pasangan.</t>
  </si>
  <si>
    <t>Outdoor, Nature, Family Friendly, Instagramable, Aesthetic, Picnic Spot, Jogging, Danau, Gratis, Healing, Santai, Couple Friendly, Kids Friendly, Photography Spot, Green Space.</t>
  </si>
  <si>
    <t>-7.2755677, 112.6671294</t>
  </si>
  <si>
    <t>https://www.google.com/maps/place/Graha+Natura+Park/data=!4m7!3m6!1s0x2dd7fd3ebd0d4a13:0xbbeee0f669e1c0c5!8m2!3d-7.2755677!4d112.6671294!16s%2Fg%2F11hm70gc79!19sChIJE0oNvT791y0RxcDhafbg7rs?authuser=0&amp;hl=zh-TW&amp;rclk=1</t>
  </si>
  <si>
    <t>Warung Rawon Bu Tami ( Mbah Saodah)</t>
  </si>
  <si>
    <t>Warung Rawon Bu Tami ( Mbah Saodah) menyajikan hidangan khas Jawa dengan cita rasa gurih dan rempah yang autentik. Menu-menunya menjadi favorit warga Surabaya yang mencari cita rasa masakan tradisional. Suasana warungnya yang sederhana membuat pengunjung merasa nyaman menikmati hidangan seperti di rumah.</t>
  </si>
  <si>
    <t>Restoran Jawa, Kuliner Jawa, Masakan Rumahan, Menu Tradisional, Warung Legendaris, Comfort Food, Surabaya.</t>
  </si>
  <si>
    <t>Kamis-Minggu</t>
  </si>
  <si>
    <t>Senin-Rabu</t>
  </si>
  <si>
    <t>-7.3038768, 112.6638241</t>
  </si>
  <si>
    <t>https://www.google.com/maps/place/Warung+Rawon+Bu+Saodah/data=!4m7!3m6!1s0x2dd7fdadb4dadefb:0x591209ac299c91a3!8m2!3d-7.3038768!4d112.6638241!16s%2Fg%2F11b6__9kl_!19sChIJ-97atK391y0Ro5GcKawJElk?authuser=0&amp;hl=zh-TW&amp;rclk=1</t>
  </si>
  <si>
    <t>Monumen Bambu Runcing</t>
  </si>
  <si>
    <t>Monumen terkenal dengan pilar yang menyerupai tombak bambu, dikelilingi air mancur &amp; taman bunga.</t>
  </si>
  <si>
    <t>Monumen</t>
  </si>
  <si>
    <t>-7.2677780, 112.7443989</t>
  </si>
  <si>
    <t>https://www.google.com/maps/place/Monumen+Bambu+Runcing/data=!4m7!3m6!1s0x2dd7fbddb2a74839:0x88761ff5fd601d21!8m2!3d-7.267778!4d112.7443989!16s%2Fg%2F1pzt98g9p!19sChIJOUinst371y0RIR1g_fUfdog?authuser=0&amp;hl=zh-TW&amp;rclk=1</t>
  </si>
  <si>
    <t>Caturra Espresso</t>
  </si>
  <si>
    <t>Caturra Espresso adalah kafe berbasis espresso yang menghadirkan pengalaman minum kopi autentik dengan teknik penyeduhan yang tepat. Nama Caturra diambil dari varietas kopi arabika, mencerminkan komitmen kafe ini terhadap kualitas biji kopi pilihan. Suasana kafe yang bersih, minimalis, dan penuh kehangatan menjadikannya tempat yang nyaman untuk menikmati kopi sambil bekerja atau bertemu teman.</t>
  </si>
  <si>
    <t>Espresso Bar, Specialty Coffee, Kafe, Coffee Shop, Kopi Arabika, Pour Over, Barista, Nongkrong, Hangout, Aesthetic, Minimalis, Cozy, Work From Cafe, WFC, Instagramable, Indoor, Coffee Enthusiast, Third Wave Coffee, Lifestyle, Surabaya Pusat.</t>
  </si>
  <si>
    <t>-7.2582493, 112.7295048</t>
  </si>
  <si>
    <t>https://www.google.com/maps/place/Caturra+Espresso/@-7.2582493,112.7295048,17z/data=!3m1!4b1!4m6!3m5!1s0x2dd7f95ad04d011f:0xa79c2c899ffa251!8m2!3d-7.2582493!4d112.7295048!16s%2Fg%2F11btxklh9h?entry=ttu&amp;g_ep=EgoyMDI2MDYyOS4wIKXMDSoASAFQAw%3D%3D</t>
  </si>
  <si>
    <t>Pangsit Mie Ayam Ronggolawe</t>
  </si>
  <si>
    <t>Pangsit Mie Ayam Ronggolawe menawarkan hidangan mie ayam dengan pangsit khas yang menjadi favorit banyak pelanggan setianya. Racikan bumbu dan kuahnya yang gurih membuat tempat ini selalu ramai dikunjungi warga Surabaya. Cocok dijadikan pilihan makan siang atau malam dengan harga yang bersahabat.</t>
  </si>
  <si>
    <t>Restoran Mie, Mie Ayam, Pangsit, Kuliner Legendaris, Warung Sederhana, Comfort Food, Harga Terjangkau, Kuliner Kaki Lima, Menu Andalan, Surabaya.</t>
  </si>
  <si>
    <t>-7.278504, 112.736912</t>
  </si>
  <si>
    <t>https://www.google.com/maps/place/Ronggolawe+Chicken+Noodles/data=!4m7!3m6!1s0x2dd7fb5929e0b2df:0xe952791c05771478!8m2!3d-7.2807822!4d112.7790755!16s%2Fg%2F11fhqrqmwt!19sChIJ37LgKVn71y0ReBR3BRx5Uuk?authuser=0&amp;hl=zh-TW&amp;rclk=1</t>
  </si>
  <si>
    <t>Tera Coffee Society</t>
  </si>
  <si>
    <t>Coffee shop cozy bertema industrial dengan menu mocktail kreatif, specialty coffee, dan makanan. Buka lebih larut di akhir pekan hingga tengah malam. Berlokasi di kawasan Darmo yang strategis. Mengusung tagline 'Mocktails • Coffee • Meals &amp; Everything Nice'.</t>
  </si>
  <si>
    <t>Coffee Shop, Mocktail, Specialty Coffee, Industrial, Aesthetic, Cozy, Hangout, WFC, Surabaya Selatan</t>
  </si>
  <si>
    <t>-7.2943175, 112.7410265</t>
  </si>
  <si>
    <t>https://www.google.com/maps/place/Tera+Coffee+Society/@-7.2943175,112.7410265,17z/data=!3m1!4b1!4m6!3m5!1s0x2dd7fb4b75078c1d:0x53178d6fe49bacc5!8m2!3d-7.2943175!4d112.7410265!16s%2Fg%2F11kr8ptjvk?entry=ttu&amp;g_ep=EgoyMDI2MDYyOS4wIKXMDSoASAFQAw%3D%3D</t>
  </si>
  <si>
    <t>Bakso Depan Bonet</t>
  </si>
  <si>
    <t>Bakso Depan Bonet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</si>
  <si>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-7.2839081, 112.7578706</t>
  </si>
  <si>
    <t>https://www.google.com/maps/place/Bakso+Depan+Bonet/data=!4m7!3m6!1s0x2dd7fbca32523789:0xa467d34bddc97d04!8m2!3d-7.2839081!4d112.7578706!16s%2Fg%2F11c0xjnd5j!19sChIJiTdSMsr71y0RBH3J3UvTZ6Q?authuser=0&amp;hl=zh-TW&amp;rclk=1</t>
  </si>
  <si>
    <t>Pasar Ikan Pabean</t>
  </si>
  <si>
    <t>Pasar Ikan Pabean merupakan pasar yang menjual berbagai jenis ikan dan hasil laut segar langsung dari nelayan maupun distributor lokal. Tempat ini menjadi tujuan warga Surabaya yang ingin mendapatkan bahan seafood segar dengan harga bersaing. Suasana pasar yang khas mencerminkan aktivitas jual beli hasil laut sehari-hari.</t>
  </si>
  <si>
    <t>Pasar ikan, Pasar Tradisional, Ikan Segar, Hasil Laut, Kuliner Lokal, Surabaya.</t>
  </si>
  <si>
    <t>-7.2344314, 112.7397358</t>
  </si>
  <si>
    <t>https://www.google.com/maps/place/Pasar+Ikan+Pabean/data=!4m7!3m6!1s0x2dd7f922a6cbb375:0x8b1ee57b384568f4!8m2!3d-7.2344314!4d112.7397358!16s%2Fg%2F1hm36dzb5!19sChIJdbPLpiL51y0R9GhFOHvlHos?authuser=0&amp;hl=zh-TW&amp;rclk=1</t>
  </si>
  <si>
    <t>Monumen Gubernur Suryo</t>
  </si>
  <si>
    <t>Monumen Gubernur Suryo merupakan salah satu monumen bersejarah di Kota Surabaya yang didedikasikan untuk mengenang jasa R.M.T. Ario Soerjo, Gubernur Jawa Timur pertama yang gugur dalam mempertahankan kemerdekaan Indonesia. Monumen ini terletak di kawasan pusat kota dan menjadi simbol kepahlawanan serta semangat perjuangan rakyat Jawa Timur. Pengunjung dapat menikmati suasana taman di sekitar monumen sambil mengenal lebih dalam sejarah perjuangan bangsa.</t>
  </si>
  <si>
    <t>Monumen, Sejarah, Pahlawan, Gubernur Suryo, Wisata Sejarah, Heritage, Landmark Surabaya, Edukasi, Nasionalisme, Outdoor, Cagar Budaya, Perjuangan Kemerdekaan, Fotografi, Spot Foto, Instagramable, Family Friendly, Wisata Gratis, Urban Tourism, Pusat Kota, Surabaya.</t>
  </si>
  <si>
    <t>-7.2637159, 112.7428224</t>
  </si>
  <si>
    <t>https://www.google.com/maps/place/Monumen+Gubernur+Suryo/@-7.2637159,112.7428224,17z/data=!3m1!4b1!4m6!3m5!1s0x2dd7f961127d890d:0xce9f58c317788b59!8m2!3d-7.2637159!4d112.7428224!16s%2Fg%2F1hm6d55m6?entry=ttu&amp;g_ep=EgoyMDI2MDYyOS4wIKXMDSoASAFQAw%3D%3D</t>
  </si>
  <si>
    <t>Penyetan Murmer Kranggan</t>
  </si>
  <si>
    <t>Penyetan Murmer Kranggan adalah tempat kuliner yang menyajikan menu andalan dengan cita rasa khas yang digemari warga Surabaya. Tempat ini cocok dijadikan pilihan makan santai bersama keluarga maupun teman. Pelayanan yang ramah dan harga yang terjangkau menjadi daya tarik tersendiri.</t>
  </si>
  <si>
    <t>-7.255943, 112.7315939</t>
  </si>
  <si>
    <t>https://www.google.com/maps/place/Penyetan+Murmer+Kranggan/data=!4m7!3m6!1s0x2dd7f99ce094537f:0xca1eeb5d385931b6!8m2!3d-7.255943!4d112.7315939!16s%2Fg%2F11h2fqh6vl!19sChIJf1OU4Jz51y0RtjFZOF3rHso?authuser=0&amp;hl=zh-TW&amp;rclk=1</t>
  </si>
  <si>
    <t>Saga Japanese Restaurant - Darmo Park 2</t>
  </si>
  <si>
    <t>Saga Japanese Restaurant - Darmo Park 2 menyajikan hidangan khas Jepang dengan cita rasa autentik, mulai dari menu berbahan dasar nasi hingga mie ala Jepang. Tempat ini menjadi pilihan bagi pencinta kuliner oriental di Surabaya yang ingin menikmati suasana dan rasa khas Negeri Sakura. Konsep penyajiannya yang rapi menambah pengalaman bersantap yang menyenangkan.</t>
  </si>
  <si>
    <t>Restoran Jepang, Kuliner Jepang, Sushi, Ramen, Menu Oriental, Cita Rasa Autentik, Surabaya.</t>
  </si>
  <si>
    <t>-7.2920203, 112.7169736</t>
  </si>
  <si>
    <t>https://www.google.com/maps/place/Saga+Japanese+Restaurant/data=!4m7!3m6!1s0x2dd7fb8a4088c60d:0x7c45af545b4e96a1!8m2!3d-7.2920203!4d112.7169736!16s%2Fg%2F1pzr449_9!19sChIJDcaIQIr71y0RoZZOW1SvRXw?authuser=0&amp;hl=zh-TW&amp;rclk=1</t>
  </si>
  <si>
    <t>Sky 36 Rooftop Dining</t>
  </si>
  <si>
    <t>Tempat makan nyaman &amp; elegan dengan pemandangan kota Surabaya, menyajikan menu lezat &amp; unik.</t>
  </si>
  <si>
    <t>Restoran</t>
  </si>
  <si>
    <t>-7.269212, 112.749755</t>
  </si>
  <si>
    <t>https://www.google.com/maps/place/Sky+36+Restaurant/data=!4m7!3m6!1s0x2dd7fbd8359cb981:0x84cea495f21be5c1!8m2!3d-7.269212!4d112.749755!16s%2Fg%2F11b7ys8t_z!19sChIJgbmcNdj71y0RweUb8pWkzoQ?authuser=0&amp;hl=zh-TW&amp;rclk=1</t>
  </si>
  <si>
    <t>Trimurti Restaurant</t>
  </si>
  <si>
    <t>Restoran hotel yang menawarkan menu Indonesia dan internasional dalam suasana elegan. Cocok untuk sarapan, makan siang, maupun makan malam bersama keluarga.</t>
  </si>
  <si>
    <t>Hotel Restaurant, Fine Dining, Masakan Indonesia, International Food, Keluarga, Surabaya</t>
  </si>
  <si>
    <t>-7.284928, 112.739425</t>
  </si>
  <si>
    <t>https://www.google.com/maps/place/Trimurti+Restaurant/@-7.284928,112.739425,17z/data=!3m1!4b1!4m6!3m5!1s0x2dd7fbc1d347cbcb:0xd1a97a5e642c66!8m2!3d-7.284928!4d112.739425!16s%2Fg%2F1pzq94l4w?entry=ttu&amp;g_ep=EgoyMDI2MDYyOS4wIKXMDSoASAFQAw%3D%3D</t>
  </si>
  <si>
    <t>Bakso bratang Pindahan (ITATS)</t>
  </si>
  <si>
    <t>Bakso bratang Pindahan (ITATS)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</si>
  <si>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-7.3001846, 112.7716963</t>
  </si>
  <si>
    <t>https://www.google.com/maps/place/Bakso+bratang+Pindahan+%28ITATS%29/data=!4m7!3m6!1s0x2dd7fa5129afafa7:0x70256566d43e94da!8m2!3d-7.3001846!4d112.7716963!16s%2Fg%2F11gfn417t9!19sChIJp6-vKVH61y0R2pQ-1GZlJXA?authuser=0&amp;hl=zh-TW&amp;rclk=1</t>
  </si>
  <si>
    <t>Doux Butter</t>
  </si>
  <si>
    <t>Doux Butter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</si>
  <si>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Kafe, Cafe, Coffee Shop, Nongkrong, Hangout, Work From Cafe, Aesthetic, Indoor, Menu Kekinian, Surabaya.</t>
  </si>
  <si>
    <t>-7.2658557, 112.7961571</t>
  </si>
  <si>
    <t>https://www.google.com/maps/place/Doux+Butter/data=!4m7!3m6!1s0x2dd7fbb9dd356deb:0x59c1bd9699c07642!8m2!3d-7.2658557!4d112.7961571!16s%2Fg%2F11k520pqdq!19sChIJ62013bn71y0RQnbAmZa9wVk?authuser=0&amp;hl=zh-TW&amp;rclk=1</t>
  </si>
  <si>
    <t>LITTLE CAVE hidden coffee bar</t>
  </si>
  <si>
    <t>Coffee bar berkonsep hidden gem dengan suasana tenang dan fokus pada penyajian kopi berkualitas tinggi.</t>
  </si>
  <si>
    <t>Hidden Gem, Specialty Coffee, Coffee Bar, Minimalist, Aesthetic, Quiet Place, Work From Cafe, Instagramable</t>
  </si>
  <si>
    <t>-7.290993, 112.7350497</t>
  </si>
  <si>
    <t>google.com/maps/place/LITTLE+CAVE+hidden+coffee+bar/@-7.284928,112.739425,17z/data=!4m6!3m5!1s0x2dd7fbad28ab64e3:0xda56da5e25ff17b1!8m2!3d-7.290993!4d112.7350497!16s%2Fg%2F11qy723dkk?entry=ttu&amp;g_ep=EgoyMDI2MDYyOS4wIKXMDSoASAFQAw%3D%3D</t>
  </si>
  <si>
    <t>PENYETAN PAK USTADZ "KHAS PONDOK"</t>
  </si>
  <si>
    <t>PENYETAN PAK USTADZ "KHAS PONDOK" adalah tempat kuliner yang menyajikan menu andalan dengan cita rasa khas yang digemari warga Surabaya. Tempat ini cocok dijadikan pilihan makan santai bersama keluarga maupun teman. Pelayanan yang ramah dan harga yang terjangkau menjadi daya tarik tersendiri.</t>
  </si>
  <si>
    <t>-7.2948976, 112.7339537</t>
  </si>
  <si>
    <t>https://www.google.com/maps/place/PENYETAN+PAK+USTADZ+%22KHAS+PONDOK%22/data=!4m7!3m6!1s0x2dd7fbb7bbdfea2b:0x73a6332d469e9d6e!8m2!3d-7.2948976!4d112.7339537!16s%2Fg%2F11t7cw38kt!19sChIJK-rfu7f71y0Rbp2eRi0zpnM?authuser=0&amp;hl=zh-TW&amp;rclk=1</t>
  </si>
  <si>
    <t>Sentra Wisata Kuliner Terminal Manukan</t>
  </si>
  <si>
    <t>Sentra Wisata Kuliner Terminal Manukan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</si>
  <si>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-7.268225, 112.6662802</t>
  </si>
  <si>
    <t>https://www.google.com/maps/place/Sentra+Wisata+Kuliner+Terminal+Manukan/data=!4m7!3m6!1s0x2dd7fe7e33880247:0x301235ccc237160a!8m2!3d-7.268225!4d112.6662802!16s%2Fg%2F11c58tfh5h!19sChIJRwKIM37-1y0RChY3wsw1EjA?authuser=0&amp;hl=zh-TW&amp;rclk=1</t>
  </si>
  <si>
    <t>Sate Klopo Kak Mad</t>
  </si>
  <si>
    <t>Sate Klopo Kak Mad menyajikan sate dengan bumbu kacang khas yang gurih, dipanggang di atas bara hingga aromanya menggugah selera. Menu ini menjadi favorit warga Surabaya untuk santap malam maupun acara kumpul bersama. Cita rasa dan kualitas dagingnya menjadikan tempat ini banyak direkomendasikan pencinta kuliner sate.</t>
  </si>
  <si>
    <t>Restoran Sate, Sate Ayam, Sate Kambing, Bumbu Kacang, Kuliner Bakar, Kuliner Nusantara, Warung Legendaris, Surabaya.</t>
  </si>
  <si>
    <t>-7.2826313, 112.7560031</t>
  </si>
  <si>
    <t>https://www.google.com/maps/place/Sate+Klopo+Kak+Mad/data=!4m7!3m6!1s0x2dd7fbc968337c37:0x5e22b4b2a9c3415a!8m2!3d-7.2826313!4d112.7560031!16s%2Fg%2F11c2pd7q29!19sChIJN3wzaMn71y0RWkHDqbK0Il4?authuser=0&amp;hl=zh-TW&amp;rclk=1</t>
  </si>
  <si>
    <t>Toko Kopi Padma Tunjungan</t>
  </si>
  <si>
    <t>Cafe modern di kawasan Tunjungan yang menawarkan berbagai pilihan kopi dan suasana nyaman untuk bekerja maupun bersantai.</t>
  </si>
  <si>
    <t>Coffee Shop, Tunjungan, Work From Cafe, Hangout, Aesthetic, Modern Cafe, Indoor, Instagramable</t>
  </si>
  <si>
    <t>-7.2586409, 112.7383817</t>
  </si>
  <si>
    <t>https://www.google.com/maps/place/Toko+Kopi+Padma/@-7.2586356,112.7358068,17z/data=!3m1!4b1!4m6!3m5!1s0x2dd7f9a0eac9e03d:0xacbd48350bef8d43!8m2!3d-7.2586409!4d112.7383817!16s%2Fg%2F11t3fc2mx4?entry=ttu&amp;g_ep=EgoyMDI2MDYyOS4wIKXMDSoASAFQAw%3D%3D</t>
  </si>
  <si>
    <t>Nasi Jagung Khas Madura</t>
  </si>
  <si>
    <t>Warung makan yang menyajikan nasi jagung khas Madura dengan berbagai lauk tradisional dan cita rasa autentik.</t>
  </si>
  <si>
    <t>Nasi Jagung, Kuliner Madura, Tradisional, Kuliner Nusantara, Family Friendly, Kuliner Lokal, Hidden Gem</t>
  </si>
  <si>
    <t>-7.2269964, 112.7455875</t>
  </si>
  <si>
    <t>https://www.google.com/maps/place/Nasi+Jagung+Khas+Madura/@-7.2269964,112.7455875,17z/data=!3m1!4b1!4m6!3m5!1s0x2dd7f91df9900001:0x9a2efc279eb74131!8m2!3d-7.2269964!4d112.7455875!16s%2Fg%2F11f03m_n2q?entry=ttu&amp;g_ep=EgoyMDI2MDYyOS4wIKXMDSoASAFQAw%3D%3D</t>
  </si>
  <si>
    <t>Taman 10 Nopember Surabaya</t>
  </si>
  <si>
    <t>Taman 10 Nopember Surabaya merupakan taman peringatan yang didedikasikan untuk mengenang Pertempuran 10 November 1945, salah satu momen paling heroik dalam sejarah perjuangan kemerdekaan Indonesia. Berlokasi strategis di pusat kota, taman ini menjadi simbol keberanian arek-arek Suroboyo dalam melawan penjajah. Pengunjung dapat menikmati suasana taman yang rindang sambil meresapi nilai-nilai perjuangan bangsa.</t>
  </si>
  <si>
    <t>Taman Kota, Sejarah, 10 November, Pertempuran Surabaya, Kemerdekaan, Nasionalisme, Monumen, Heritage, Edukasi, Wisata Sejarah, Outdoor, Ruang Terbuka Hijau, Family Friendly, Landmark Surabaya, Fotografi, Spot Foto, Rekreasi, Wisata Gratis, Community Space, Pusat Kota, Urban Tourism, Surabaya.</t>
  </si>
  <si>
    <t>-7.2516880, 112.7550740</t>
  </si>
  <si>
    <t>https://www.google.com/maps/place/Taman+10+Nopember+Surabaya/@-7.251688,112.755074,17z/data=!3m1!4b1!4m6!3m5!1s0x2dd7f9bfecefb21f:0x5bfbfdcec3cdcdd5!8m2!3d-7.251688!4d112.755074!16s%2Fg%2F11flrmydg2?entry=ttu&amp;g_ep=EgoyMDI2MDYyOS4wIKXMDSoASAFQAw%3D%3D</t>
  </si>
  <si>
    <t>Kenjeran Park Outbound</t>
  </si>
  <si>
    <t>Kenjeran Park Outbound adalah area kegiatan outbound dan petualangan yang terletak di kawasan wisata Kenjeran, Surabaya. Fasilitas outbound yang tersedia meliputi berbagai wahana permainan outdoor yang menantang dan menyenangkan, cocok untuk kegiatan team building, outing kantor, maupun rekreasi keluarga. Dengan latar belakang suasana pesisir Kenjeran, tempat ini menjadi pilihan seru untuk mengisi hari libur dengan aktivitas fisik yang menyenangkan.</t>
  </si>
  <si>
    <t>Outbound, Wahana Permainan, Outdoor, Adventure, Team Building, Outing, Family Friendly, Kids Friendly, Rekreasi, Hiburan, Aktif, Petualangan, Kenjeran, Pesisir, Group Activity, Entertainment, Wisata Keluarga, Kids Zone, Fun, Surabaya Timur.</t>
  </si>
  <si>
    <t>150000-250000</t>
  </si>
  <si>
    <t>-7.2473195, 112.8017382</t>
  </si>
  <si>
    <t>https://www.google.com/maps/place/Kenjeran+Park+Outbound/@-7.2473195,112.8017382,17z/data=!3m1!4b1!4m6!3m5!1s0x2dd7f9e46123ab51:0xdb1a1fc07205073!8m2!3d-7.2473195!4d112.8017382!16s%2Fg%2F11c6f5gfcr?entry=ttu&amp;g_ep=EgoyMDI2MDYyOS4wIKXMDSoASAFQAw%3D%3D</t>
  </si>
  <si>
    <t>Coste Coffee</t>
  </si>
  <si>
    <t>Coste Coffee adalah kafe kopi yang menawarkan pengalaman ngopi yang nyaman dan berkualitas dengan jam operasional hingga larut malam. Sajian kopi yang konsisten dan suasana kafe yang relaxed menjadikannya tempat yang tepat untuk menutup hari dengan menikmati secangkir kopi terbaik. Menu yang variatif dengan harga yang terjangkau semakin memperkuat posisi Coste Coffee sebagai destinasi nongkrong favorit di Surabaya.</t>
  </si>
  <si>
    <t>Kafe, Coffee Shop, Late Night, Nongkrong, Hangout, Aesthetic, Cozy, Instagramable, Kopi, Makanan Ringan, Affordable, Indoor, Work From Cafe, WFC, Couple Friendly, Friend Gathering, Night Out, Lifestyle, Surabaya Pusat.</t>
  </si>
  <si>
    <t>-7.2862409, 112.7561595</t>
  </si>
  <si>
    <t>https://www.google.com/maps/place/Coste+Coffee/@-7.2862409,112.7561595,17z/data=!3m1!4b1!4m6!3m5!1s0x2dd7fbae16ba6159:0xb106b6dc19401000!8m2!3d-7.2862409!4d112.7561595!16s%2Fg%2F11rzgwj_bd?entry=ttu&amp;g_ep=EgoyMDI2MDYyOS4wIKXMDSoASAFQAw%3D%3D</t>
  </si>
  <si>
    <t>Mie Ayam Cak AL Suroboyo</t>
  </si>
  <si>
    <t>Mie Ayam Cak AL Suroboyo menawarkan hidangan mie ayam dengan pangsit khas yang menjadi favorit banyak pelanggan setianya. Racikan bumbu dan kuahnya yang gurih membuat tempat ini selalu ramai dikunjungi warga Surabaya. Cocok dijadikan pilihan makan siang atau malam dengan harga yang bersahabat.</t>
  </si>
  <si>
    <t>-7.24932, 112.7311548</t>
  </si>
  <si>
    <t>https://www.google.com/maps/place/Mie+Ayam+Cak+AL+Suroboyo/data=!4m7!3m6!1s0x2dd7f999d2a66677:0xdfeecf31983ee8a7!8m2!3d-7.24932!4d112.7311548!16s%2Fg%2F11sg68jf5g!19sChIJd2am0pn51y0Rp-g-mDHP7t8?authuser=0&amp;hl=zh-TW&amp;rclk=1</t>
  </si>
  <si>
    <t>Seafood Rock n Roll</t>
  </si>
  <si>
    <t>Seafood Rock n Roll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</si>
  <si>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-7.2596792, 112.717104</t>
  </si>
  <si>
    <t>https://www.google.com/maps/place/Seafood+Rock+n+Roll/data=!4m7!3m6!1s0x2dd7f9bd28907755:0xefeaaf3a0637d044!8m2!3d-7.2596792!4d112.717104!16s%2Fg%2F11m60dc_fj!19sChIJVXeQKL351y0RRNA3Bjqv6u8?authuser=0&amp;hl=zh-TW&amp;rclk=1</t>
  </si>
  <si>
    <t>Cw Coffee &amp; Eatery Surabaya</t>
  </si>
  <si>
    <t>Cw Coffee &amp; Eatery Surabaya adalah kafe yang buka 24 jam, menjadikannya pilihan utama bagi yang membutuhkan tempat nongkrong atau bekerja kapan saja. Menyajikan menu kopi, minuman, dan makanan berat maupun ringan dengan harga terjangkau, kafe ini cocok untuk berbagai suasana mulai dari meeting hingga mengerjakan tugas tengah malam. Konsep eatery-nya yang lengkap menjadi daya tarik tersendiri.</t>
  </si>
  <si>
    <t>Kafe, Eatery, 24 Jam, Coffee Shop, Nongkrong, Hangout, Work From Cafe, WFC, Makanan Berat, Makanan Ringan, Kopi, Affordable, Indoor, Late Night, All Day Dining, Couple Friendly, Friend Gathering, Lifestyle, Surabaya Pusat.</t>
  </si>
  <si>
    <t>-7.2689088, 112.7385203</t>
  </si>
  <si>
    <t>https://www.google.com/maps/place/Cw+Coffee+%26+Eatery+Surabaya/@-7.2689088,112.4583689,10z/data=!4m10!1m2!2m1!1scw+coffee!3m6!1s0x2dd7fb004f7274eb:0x1954f84eea9f98d0!8m2!3d-7.2689088!4d112.7385203!15sCgljdyBjb2ZmZWVaCyIJY3cgY29mZmVlkgELY29mZmVlX3Nob3CaASRDaGREU1VoTk1HOW5TMFZKUTBGblNVTklkbVIyWm05UlJSQULgAQD6AQQIcxA9!16s%2Fg%2F11w1qg_4st?entry=ttu&amp;g_ep=EgoyMDI2MDYyOS4wIKXMDSoASAFQAw%3D%3D</t>
  </si>
  <si>
    <t>The Gade Coffee &amp; Gold Surabaya Dinoyo</t>
  </si>
  <si>
    <t>The Gade Coffee &amp; Gold Surabaya Dinoyo merupakan kafe milik Pegadaian yang mengusung konsep unik menggabungkan layanan keuangan dengan pengalaman ngopi yang menyenangkan. Berlokasi di kawasan Dinoyo, kafe ini menawarkan menu kopi dan makanan berkualitas dalam suasana yang elegan namun bersahabat. Konsep bisnis yang inovatif ini menjadikan The Gade sebagai destinasi berbeda yang menarik minat berbagai kalangan pelanggan.</t>
  </si>
  <si>
    <t>Kafe, Coffee Shop, The Gade, Pegadaian, BUMN, Unik, Nongkrong, Hangout, Aesthetic, Instagramable, Cozy, Kopi, Makanan, Indoor, Family Friendly, Couple Friendly, Work From Cafe, WFC, Lifestyle, Dinoyo, Surabaya Pusat.</t>
  </si>
  <si>
    <t>-7.2834071, 112.7463577</t>
  </si>
  <si>
    <t>https://www.google.com/maps/place/The+Gade+Coffee+%26+Gold+Surabaya/@-7.2834071,112.7463577,17z/data=!3m1!4b1!4m6!3m5!1s0x2dd7fb511fe5f48b:0x8a0303b1679bdccc!8m2!3d-7.2834071!4d112.7463577!16s%2Fg%2F11gy3hx2s5?entry=ttu&amp;g_ep=EgoyMDI2MDYyOS4wIKXMDSoASAFQAw%3D%3D</t>
  </si>
  <si>
    <t>Spesial Belut Surabaya H Poer</t>
  </si>
  <si>
    <t>Spesial Belut Surabaya H Poer adalah tempat kuliner yang menyajikan menu andalan dengan cita rasa khas yang digemari warga Surabaya. Tempat ini cocok dijadikan pilihan makan santai bersama keluarga maupun teman. Pelayanan yang ramah dan harga yang terjangkau menjadi daya tarik tersendiri.</t>
  </si>
  <si>
    <t>-7.2730234, 112.7812138</t>
  </si>
  <si>
    <t>https://www.google.com/maps/place/Spesial+Belut+Surabaya+-+H.+Poer/data=!4m7!3m6!1s0x2dd7fa1d06582eff:0xb46f0cc6f11bdd65!8m2!3d-7.2730234!4d112.7812138!16s%2Fg%2F1hm6c7x23!19sChIJ_y5YBh361y0RZd0b8cYMb7Q?authuser=0&amp;hl=zh-TW&amp;rclk=1</t>
  </si>
  <si>
    <t>Tahu Campur H. ABD. Mahfud Asli Kalasan</t>
  </si>
  <si>
    <t>Tahu Campur H. ABD. Mahfud Asli Kalasan menghadirkan aneka masakan khas Jawa Timur dengan cita rasa rumahan yang autentik. Menu-menu tradisionalnya menjadi daya tarik bagi pengunjung yang rindu akan cita rasa kuliner lokal di Surabaya. Tempat ini cocok untuk makan siang maupun makan malam bersama keluarga.</t>
  </si>
  <si>
    <t>-7.258714, 112.7573433</t>
  </si>
  <si>
    <t>https://www.google.com/maps/place/Tahu+Campur+H.+ABD.+Mahfud+Asli+Kalasan/data=!4m7!3m6!1s0x2dd7f9797f4ba83f:0xec4587e11bcf800a!8m2!3d-7.258714!4d112.7573433!16s%2Fg%2F11b69v7p5p!19sChIJP6hLf3n51y0RCoDPG-GHRew?authuser=0&amp;hl=zh-TW&amp;rclk=1</t>
  </si>
  <si>
    <t>Pusat Oleh-oleh Bu Rudy</t>
  </si>
  <si>
    <t>Pusat Oleh-oleh Bu Rudy adalah tempat kuliner yang menyajikan menu andalan dengan cita rasa khas yang digemari warga Surabaya. Tempat ini cocok dijadikan pilihan makan santai bersama keluarga maupun teman. Pelayanan yang ramah dan harga yang terjangkau menjadi daya tarik tersendiri.</t>
  </si>
  <si>
    <t>-7.2674232, 112.7700636</t>
  </si>
  <si>
    <t>https://www.google.com/maps/place/Pusat+Oleh-oleh+Bu+Rudy/data=!4m7!3m6!1s0x2dd7fbc4094feab7:0x70ff179b409f816a!8m2!3d-7.2674232!4d112.7700636!16s%2Fg%2F11flv8d1xz!19sChIJt-pPCcT71y0RaoGfQJsX_3A?authuser=0&amp;hl=zh-TW&amp;rclk=1</t>
  </si>
  <si>
    <t>Sate Asin Merapi Ngagel</t>
  </si>
  <si>
    <t>Sate Asin Merapi Ngagel menyajikan sate dengan bumbu kacang khas yang gurih, dipanggang di atas bara hingga aromanya menggugah selera. Menu ini menjadi favorit warga Surabaya untuk santap malam maupun acara kumpul bersama. Cita rasa dan kualitas dagingnya menjadikan tempat ini banyak direkomendasikan pencinta kuliner sate.</t>
  </si>
  <si>
    <t>-7.281022, 112.746797</t>
  </si>
  <si>
    <t>https://www.google.com/maps/place/Sate+Asin+Merapi+Ngagel/data=!4m7!3m6!1s0x2dd7fba0fbcddb23:0x78af841af86f91c0!8m2!3d-7.281022!4d112.746797!16s%2Fg%2F11rtsm50xj!19sChIJI9vN-6D71y0RwJFv-BqEr3g?authuser=0&amp;hl=zh-TW&amp;rclk=1</t>
  </si>
  <si>
    <t>Pangsit Mie Ayam Mila</t>
  </si>
  <si>
    <t>Pangsit Mie Ayam Mila menawarkan hidangan mie ayam dengan pangsit khas yang menjadi favorit banyak pelanggan setianya. Racikan bumbu dan kuahnya yang gurih membuat tempat ini selalu ramai dikunjungi warga Surabaya. Cocok dijadikan pilihan makan siang atau malam dengan harga yang bersahabat.</t>
  </si>
  <si>
    <t>-7.2820461, 112.7176963</t>
  </si>
  <si>
    <t>https://www.google.com/maps/place/Pangsit+Mie+Ayam+Mila/data=!4m7!3m6!1s0x2dd7fbf6677a1d39:0xac122a9420e054e0!8m2!3d-7.2820461!4d112.7176963!16s%2Fg%2F11bwf7gfwq!19sChIJOR16Z_b71y0R4FTgIJQqEqw?authuser=0&amp;hl=zh-TW&amp;rclk=1</t>
  </si>
  <si>
    <t>Pangsit Mie Ayam Tuban (Sentra PKL Indrapura)</t>
  </si>
  <si>
    <t>Pangsit Mie Ayam Tuban (Sentra PKL Indrapura) menawarkan hidangan mie ayam dengan pangsit khas yang menjadi favorit banyak pelanggan setianya. Racikan bumbu dan kuahnya yang gurih membuat tempat ini selalu ramai dikunjungi warga Surabaya. Cocok dijadikan pilihan makan siang atau malam dengan harga yang bersahabat.</t>
  </si>
  <si>
    <t>-7.2437987, 112.7364346</t>
  </si>
  <si>
    <t>https://www.google.com/maps/place/Pangsit+Mie+Ayam+Tuban+%28Sentra+PKL+Indrapura%29/data=!4m7!3m6!1s0x2dd7f93e507fdb37:0x99e169e619ecd731!8m2!3d-7.2437987!4d112.7364346!16s%2Fg%2F11ckkr6f_2!19sChIJN9t_UD751y0RMdfsGeZp4Zk?authuser=0&amp;hl=zh-TW&amp;rclk=1</t>
  </si>
  <si>
    <t>Bebek Palupi</t>
  </si>
  <si>
    <t>Bebek Palupi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</si>
  <si>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Restoran Indonesia, Kuliner Nusantara, Masakan Indonesia, Menu Tradisional, Warung Keluarga, Comfort Food, Surabaya.</t>
  </si>
  <si>
    <t>-7.3313568, 112.777815</t>
  </si>
  <si>
    <t>https://www.google.com/maps/place/Bebek+Palupi/data=!4m7!3m6!1s0x2dd7fac497ef51ff:0x87ae64621dad830c!8m2!3d-7.3313568!4d112.777815!16s%2Fg%2F1hf6yycnw!19sChIJ_1Hvl8T61y0RDIOtHWJkroc?authuser=0&amp;hl=zh-TW&amp;rclk=1</t>
  </si>
  <si>
    <t>Mie Pangsit Arjuna</t>
  </si>
  <si>
    <t>Mie Pangsit Arjuna menawarkan hidangan mie ayam dengan pangsit khas yang menjadi favorit banyak pelanggan setianya. Racikan bumbu dan kuahnya yang gurih membuat tempat ini selalu ramai dikunjungi warga Surabaya. Cocok dijadikan pilihan makan siang atau malam dengan harga yang bersahabat.</t>
  </si>
  <si>
    <t>-7.3180665, 112.7377257</t>
  </si>
  <si>
    <t>https://www.google.com/maps/place/Mie+Pangsit+Arjuna/data=!4m7!3m6!1s0x2dd7fb6d128e37d5:0xdce2a53816b629a8!8m2!3d-7.3180665!4d112.7377257!16s%2Fg%2F11t5zqnng9!19sChIJ1TeOEm371y0RqCm2Fjil4tw?authuser=0&amp;hl=zh-TW&amp;rclk=1</t>
  </si>
  <si>
    <t>Rawon Pak Pangat Puri Mas</t>
  </si>
  <si>
    <t>Rawon Pak Pangat Puri Mas adalah tempat kuliner yang menyajikan menu andalan dengan cita rasa khas yang digemari warga Surabaya. Tempat ini cocok dijadikan pilihan makan santai bersama keluarga maupun teman. Pelayanan yang ramah dan harga yang terjangkau menjadi daya tarik tersendiri.</t>
  </si>
  <si>
    <t>Senin-minggu</t>
  </si>
  <si>
    <t>-7.3328464, 112.7854082</t>
  </si>
  <si>
    <t>https://www.google.com/maps/place/Rawon+Pak+Pangat+Puri+Mas/data=!4m7!3m6!1s0x2dd7fb1bc081efb5:0x72823df3ece311cc!8m2!3d-7.3328464!4d112.7854082!16s%2Fg%2F11k642lbp4!19sChIJte-BwBv71y0RzBHj7PM9gnI?authuser=0&amp;hl=zh-TW&amp;rclk=1</t>
  </si>
  <si>
    <t>Taman Keputran</t>
  </si>
  <si>
    <t>Taman Keputran merupakan ruang terbuka hijau yang menjadi tempat favorit warga Surabaya untuk bersantai, berolahraga ringan, maupun menghabiskan waktu bersama keluarga. Suasana yang asri dan udara segar menjadikan taman ini cocok untuk healing di tengah kesibukan kota. Tempat ini juga sering dimanfaatkan sebagai spot foto dan area bermain anak.</t>
  </si>
  <si>
    <t>-7.2732153, 112.7441020</t>
  </si>
  <si>
    <t>https://www.google.com/maps/place/Taman+Keputran/data=!4m7!3m6!1s0x2dd7fbdc6d18b9e1:0xb65ab72ac77ca66a!8m2!3d-7.2732153!4d112.744102!16s%2Fg%2F11g9qh8fd1!19sChIJ4bkYbdz71y0RaqZ8xyq3WrY?authuser=0&amp;hl=zh-TW&amp;rclk=1</t>
  </si>
  <si>
    <t>Rumah Makan Handayani</t>
  </si>
  <si>
    <t>Tempat makan tempo dulu dengan sajian menu khas Indonesia yang dimasak berdasarkan resep kuno berkualitas.</t>
  </si>
  <si>
    <t>Restoran Thailand</t>
  </si>
  <si>
    <t>-7.3140330, 112.7560090</t>
  </si>
  <si>
    <t>https://www.google.com/maps/place/Handayani+Garden/data=!4m7!3m6!1s0x2dd7fb0463db3855:0xf278576ae90ad61e!8m2!3d-7.314033!4d112.756009!16s%2Fg%2F1tf138vp!19sChIJVTjbYwT71y0RHtYK6WpXePI?authuser=0&amp;hl=zh-TW&amp;rclk=1</t>
  </si>
  <si>
    <t>Moon Cafe Surabaya</t>
  </si>
  <si>
    <t>Moon Cafe Surabaya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</si>
  <si>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-7.3440274, 112.7800794</t>
  </si>
  <si>
    <t>https://www.google.com/maps/place/Moon+Cafe+Surabaya/data=!4m7!3m6!1s0x2dd7fb09920c0cb5:0x1de63fa8d4f2ed4b!8m2!3d-7.3440274!4d112.7800794!16s%2Fg%2F11rcx1dmwh!19sChIJtQwMkgn71y0RS-3y1Kg_5h0?authuser=0&amp;hl=zh-TW&amp;rclk=1</t>
  </si>
  <si>
    <t>Steak Hut</t>
  </si>
  <si>
    <t>Restoran steak yang menawarkan berbagai pilihan daging sapi, ayam, dan seafood dengan harga terjangkau. Menyediakan suasana nyaman untuk keluarga dan teman.</t>
  </si>
  <si>
    <t>Steak, Western Food, Beef Steak, Chicken Steak, Seafood, Keluarga, Casual Dining, Surabaya</t>
  </si>
  <si>
    <t>75000-125000</t>
  </si>
  <si>
    <t>-7.2805581, 112.7688904</t>
  </si>
  <si>
    <t>https://www.google.com/maps/place/Steak+Hut+-+Manyar+Kertoarjo/@-7.2805581,112.7688904,17z/data=!3m1!4b1!4m6!3m5!1s0x2dd7fa33fe284d53:0x9a47414476a6b583!8m2!3d-7.2805581!4d112.7688904!16s%2Fg%2F1jkxfg17t?entry=ttu&amp;g_ep=EgoyMDI2MDYyOS4wIKXMDSoASAFQAw%3D%3D</t>
  </si>
  <si>
    <t>Pangsit Mie Ayam Jakarta 57</t>
  </si>
  <si>
    <t>Pangsit Mie Ayam Jakarta 57 menawarkan hidangan mie ayam dengan pangsit khas yang menjadi favorit banyak pelanggan setianya. Racikan bumbu dan kuahnya yang gurih membuat tempat ini selalu ramai dikunjungi warga Surabaya. Cocok dijadikan pilihan makan siang atau malam dengan harga yang bersahabat.</t>
  </si>
  <si>
    <t>-7.2688324, 112.7258082</t>
  </si>
  <si>
    <t>https://www.google.com/maps/place/Pangsit+Mie+Ayam+Jakarta+57/data=!4m7!3m6!1s0x2dd7fbfd419060fb:0xa6de00da25b67064!8m2!3d-7.2688324!4d112.7258082!16s%2Fg%2F11b6vd_bcx!19sChIJ-2CQQf371y0RZHC2JdoA3qY?authuser=0&amp;hl=zh-TW&amp;rclk=1</t>
  </si>
  <si>
    <t>Kebun Bibit Wonorejo</t>
  </si>
  <si>
    <t>Hutan kota dengan area piknik tepi sungai &amp; taman bermain anak, serta bumi perkemahan &amp; rusa.</t>
  </si>
  <si>
    <t>Taman Kota</t>
  </si>
  <si>
    <t>-7.3123075, 112.7891727</t>
  </si>
  <si>
    <t>https://www.google.com/maps/place/Kebun+Bibit+Wonorejo/data=!4m7!3m6!1s0x2dd7fa8cf321a5d3:0xa20235fc28e1ca1a!8m2!3d-7.3123075!4d112.7891727!16s%2Fg%2F11b75nr3gh!19sChIJ06Uh84z61y0RGsrhKPw1AqI?authuser=0&amp;hl=zh-TW&amp;rclk=1</t>
  </si>
  <si>
    <t>Bakso Goyang Lidah Cak Su'in</t>
  </si>
  <si>
    <t>Bakso Goyang Lidah Cak Su'in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</si>
  <si>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-7.288167, 112.7201709</t>
  </si>
  <si>
    <t>https://www.google.com/maps/place/Bakso+Goyang+Lidah+Cak+Su%27in/data=!4m7!3m6!1s0x2dd7fbf255555555:0xcf38eef7d617d3bb!8m2!3d-7.288167!4d112.7201709!16s%2Fg%2F1pzs_vc9f!19sChIJVVVVVfL71y0Ru9MX1vfuOM8?authuser=0&amp;hl=zh-TW&amp;rclk=1</t>
  </si>
  <si>
    <t>Nasi Bebek Pak Sayeki</t>
  </si>
  <si>
    <t>Nasi Bebek Pak Sayeki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</si>
  <si>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-7.2659794, 112.7663705</t>
  </si>
  <si>
    <t>https://www.google.com/maps/place/Nasi+Bebek+Pak+Sayeki/data=!4m7!3m6!1s0x2dd7fa2a822f695b:0x929acb77de3c2dc2!8m2!3d-7.2659794!4d112.7663705!16s%2Fg%2F11byp6gg5n!19sChIJW2kvgir61y0Rwi083nfLmpI?authuser=0&amp;hl=zh-TW&amp;rclk=1</t>
  </si>
  <si>
    <t>Ronggolawe Pangsit Mie Ayam Jakarta</t>
  </si>
  <si>
    <t>Ronggolawe Pangsit Mie Ayam Jakarta menawarkan hidangan mie ayam dengan pangsit khas yang menjadi favorit banyak pelanggan setianya. Racikan bumbu dan kuahnya yang gurih membuat tempat ini selalu ramai dikunjungi warga Surabaya. Cocok dijadikan pilihan makan siang atau malam dengan harga yang bersahabat.</t>
  </si>
  <si>
    <t>-7.347493, 112.729714</t>
  </si>
  <si>
    <t>https://www.google.com/maps/place/Ronggolawe+Pangsit+Mie+Ayam+Jakarta/data=!4m7!3m6!1s0x2dd7fbcc8c8fd9c9:0x3a4c83fed30812c0!8m2!3d-7.347493!4d112.729714!16s%2Fg%2F11g19r00xc!19sChIJydmPjMz71y0RwBII0_6DTDo?authuser=0&amp;hl=zh-TW&amp;rclk=1</t>
  </si>
  <si>
    <t>Pangsit Mie Ayam Jakarta Pak Indra</t>
  </si>
  <si>
    <t>Pangsit Mie Ayam Jakarta Pak Indra menawarkan hidangan mie ayam dengan pangsit khas yang menjadi favorit banyak pelanggan setianya. Racikan bumbu dan kuahnya yang gurih membuat tempat ini selalu ramai dikunjungi warga Surabaya. Cocok dijadikan pilihan makan siang atau malam dengan harga yang bersahabat.</t>
  </si>
  <si>
    <t>16000-40000</t>
  </si>
  <si>
    <t>-7.2544212, 112.716809</t>
  </si>
  <si>
    <t>https://www.google.com/maps/place/Pangsit+Mie+Ayam+Jakarta+Pak+Indra/data=!4m7!3m6!1s0x2dd7f94ceb3161eb:0x7a0b5cd604aa4ab0!8m2!3d-7.2544212!4d112.716809!16s%2Fg%2F1pztd4q6p!19sChIJ62Ex60z51y0RsEqqBNZcC3o?authuser=0&amp;hl=zh-TW&amp;rclk=1</t>
  </si>
  <si>
    <t>Taman Bungkul</t>
  </si>
  <si>
    <t>Ruang terbuka hijau yang populer &amp; ramai dengan taman skate, sarana bermain, pohon rindang &amp; penjual makanan.</t>
  </si>
  <si>
    <t>-7.291408, 112.739827</t>
  </si>
  <si>
    <t>https://www.google.com/maps/place/Bungkul+Park/data=!4m7!3m6!1s0x2dd7fbbe1837258d:0x6de4060b6596563f!8m2!3d-7.2913468!4d112.7398218!16s%2Fg%2F121_bvsv!19sChIJjSU3GL771y0RP1aWZQsG5G0?authuser=0&amp;hl=zh-TW&amp;rclk=1</t>
  </si>
  <si>
    <t>Hutan kota balas krumprik</t>
  </si>
  <si>
    <t>Hutan Kota Balas Klumprik merupakan kawasan ruang terbuka hijau yang menawarkan suasana alami dengan pepohonan rindang dan lingkungan yang sejuk di tengah perkotaan Surabaya. Sebagai salah satu area konservasi dan rekreasi, tempat ini cocok untuk berjalan santai, berolahraga, mengamati keanekaragaman hayati, maupun menikmati suasana alam yang tenang. Keasrian lingkungan dan udara yang segar menjadikan Hutan Kota Balas Klumprik sebagai destinasi yang ideal untuk melepas penat dan menikmati wisata alam di dalam kota.</t>
  </si>
  <si>
    <t>Hutan Kota, Wisata Alam, Nature, Outdoor, Ruang Terbuka Hijau, Eco Tourism, Konservasi, Edukasi, Healing, Santai, Sejuk, Jogging, Walking Track, Family Friendly, Kids Friendly, Fotografi Alam, Bird Watching, Keanekaragaman Hayati, Rekreasi, Wisata Edukatif, Green Space, Urban Forest, Wisata Gratis, Surabaya.</t>
  </si>
  <si>
    <t>-7.32967, 112.6912506</t>
  </si>
  <si>
    <t>https://www.google.com/maps/place/Hutan+Kota+Balas+Krumprik/@-7.32967,112.6912506,17z/data=!3m1!4b1!4m6!3m5!1s0x2dd7fceaa8fe41db:0xd46fb7b1208444a4!8m2!3d-7.32967!4d112.6912506!16s%2Fg%2F11bw2gz604?entry=ttu&amp;g_ep=EgoyMDI2MDYyOS4wIKXMDSoASAFQAw%3D%3D</t>
  </si>
  <si>
    <t>Star Seafood Surabaya</t>
  </si>
  <si>
    <t>Star Seafood Surabaya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</si>
  <si>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-7.2592654, 112.8092890</t>
  </si>
  <si>
    <t>https://www.google.com/maps/place/Star+Seafood+Surabaya/data=!4m7!3m6!1s0x2dd7ff75fe4d7305:0xe01aa48e09a1ea66!8m2!3d-7.2592654!4d112.809289!16s%2Fg%2F11wfs4phkg!19sChIJBXNN_nX_1y0RZuqhCY6kGuA?authuser=0&amp;hl=zh-TW&amp;rclk=1</t>
  </si>
  <si>
    <t>Kurnia Seafood Surabaya</t>
  </si>
  <si>
    <t>Kurnia Seafood Surabaya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</si>
  <si>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-7.2684478, 112.7400955</t>
  </si>
  <si>
    <t>https://www.google.com/maps/place/Kurnia+Seafood+Surabaya/data=!4m7!3m6!1s0x2dd7fbc72fb4fd67:0x980039fa230d3f4c!8m2!3d-7.2684478!4d112.7400955!16s%2Fg%2F11w7c8y746!19sChIJZ_20L8f71y0RTD8NI_o5AJg?authuser=0&amp;hl=zh-TW&amp;rclk=1</t>
  </si>
  <si>
    <t>Bubur Ayam Mang Dudung</t>
  </si>
  <si>
    <t>Porsi bubur melimpah dengan ayam disajikan di kedai makanan larut malam bernuansa simpel.</t>
  </si>
  <si>
    <t>Restoran Bubur</t>
  </si>
  <si>
    <t>-7.2617327, 112.7319957</t>
  </si>
  <si>
    <t>https://www.google.com/maps/place/Bubur+Ayam+Mang+Dudung/data=!4m7!3m6!1s0x2dd7f95be8d390f5:0x3700bb19fbf1d6ab!8m2!3d-7.2617327!4d112.7319957!16s%2Fg%2F11btwvfcjl!19sChIJ9ZDT6Fv51y0Rq9bx-xm7ADc?authuser=0&amp;hl=zh-TW&amp;rclk=1</t>
  </si>
  <si>
    <t>Eicy Cafe</t>
  </si>
  <si>
    <t>Kafe bertemakan Korea dengan desain playful penuh kartun karakter warna-warni dan suasana pastel yang ceria. Memiliki dua lantai dengan area indoor dan outdoor. Menu beragam mulai dari makanan berat seperti Nasi Ayam Rempah, Topokki, Ramen, hingga minuman kopi dan mocktail. Kids friendly.</t>
  </si>
  <si>
    <t>Cafe, Korean Cafe, Aesthetic, Instagramable, Colorful, Kids Friendly, Family Friendly, Korean Food, Coffee, Cozy, Surabaya Timur</t>
  </si>
  <si>
    <t>-7.2945429, 112.768385</t>
  </si>
  <si>
    <t>https://www.google.com/maps/place/Eicy+Cafe/@-7.2945429,112.768385,17z/data=!3m1!4b1!4m6!3m5!1s0x2dd7fbfe9188ab43:0x23ce9195cd20d25d!8m2!3d-7.2945429!4d112.768385!16s%2Fg%2F11qh449_hp?entry=ttu&amp;g_ep=EgoyMDI2MDYyOS4wIKXMDSoASAFQAw%3D%3D</t>
  </si>
  <si>
    <t>Sate Kambing Balibul Mas Lana - Surabaya</t>
  </si>
  <si>
    <t>Sate Kambing Balibul Mas Lana - Surabaya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</si>
  <si>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-7.2922352, 112.7333777</t>
  </si>
  <si>
    <t>https://www.google.com/maps/place/Sate+kambing+muda+Balibul/data=!4m7!3m6!1s0x2dd7fb002bde1aa3:0xde153d8078209144!8m2!3d-7.2922352!4d112.7333777!16s%2Fg%2F11vyxpmxgn!19sChIJoxreKwD71y0RRJEgeIA9Fd4?authuser=0&amp;hl=zh-TW&amp;rclk=1</t>
  </si>
  <si>
    <t>Taman Persahabatan</t>
  </si>
  <si>
    <t>Taman kota yang didesain sebagai ruang terbuka hijau untuk warga beristirahat dan bersantai. Dilengkapi dengan area duduk dan tanaman hias yang tertata rapi.</t>
  </si>
  <si>
    <t>Taman Kota, Garden, Outdoor, Ruang Terbuka Hijau, Santai, Wisata Gratis, Family Friendly, Surabaya Pusat</t>
  </si>
  <si>
    <t>-7.2830626, 112.7366007</t>
  </si>
  <si>
    <t>https://www.google.com/maps/place/Korean+Friendship+Park/data=!4m7!3m6!1s0x2dd7fbebcb512fef:0x2907ee34926ba62d!8m2!3d-7.2830626!4d112.7366007!16s%2Fg%2F11cn3sxnvn!19sChIJ7y9Ry-v71y0RLaZrkjTuByk?authuser=0&amp;hl=zh-TW&amp;rclk=1</t>
  </si>
  <si>
    <t>Fourspace Coffee</t>
  </si>
  <si>
    <t>Fourspace Coffee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</si>
  <si>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-7.316752, 112.752843</t>
  </si>
  <si>
    <t>https://www.google.com/maps/place/fourspace/data=!4m2!3m1!1s0x2dd7fb00391f4fb5:0x7b65914ecaea0cff?sa=X&amp;ved=1t:242&amp;ictx=111</t>
  </si>
  <si>
    <t>Penyetan mbak yun</t>
  </si>
  <si>
    <t>Penyetan mbak yun adalah tempat kuliner yang menyajikan menu andalan dengan cita rasa khas yang digemari warga Surabaya. Tempat ini cocok dijadikan pilihan makan santai bersama keluarga maupun teman. Pelayanan yang ramah dan harga yang terjangkau menjadi daya tarik tersendiri.</t>
  </si>
  <si>
    <t>10000-15000</t>
  </si>
  <si>
    <t>-7.2974453, 112.7628114</t>
  </si>
  <si>
    <t>https://www.google.com/maps/place/Penyetan+mbak+yun/data=!4m7!3m6!1s0x2dd7fbe425ec001d:0xb61168c6fc53fbe4!8m2!3d-7.2974453!4d112.7628114!16s%2Fg%2F11lrn_2dbq!19sChIJHQDsJeT71y0R5PtT_MZoEbY?authuser=0&amp;hl=zh-TW&amp;rclk=1</t>
  </si>
  <si>
    <t>Bakso Pak Sarjuk</t>
  </si>
  <si>
    <t>Bakso Pak Sarjuk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</si>
  <si>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-7.2983287, 112.7554751</t>
  </si>
  <si>
    <t>https://www.google.com/maps/place/Bakso+Pak+Sarjuk/data=!4m7!3m6!1s0x2dd7fb5b6887fd95:0xdf896540584d3528!8m2!3d-7.2983287!4d112.7554751!16s%2Fg%2F11qq5rf1tt!19sChIJlf2HaFv71y0RKDVNWEBlid8?authuser=0&amp;hl=zh-TW&amp;rclk=1</t>
  </si>
  <si>
    <t>Kopi Titik Koma Tenggilis</t>
  </si>
  <si>
    <t>Kopi Titik Koma Tenggilis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</si>
  <si>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-7.3203757, 112.7663575</t>
  </si>
  <si>
    <t>https://www.google.com/maps/place/Titik+Koma+Tenggilis/data=!4m7!3m6!1s0x2dd7fbbdc215908f:0x2d074f2a6fe416ae!8m2!3d-7.3203757!4d112.7663575!16s%2Fg%2F11cn9lrgqf!19sChIJj5AVwr371y0RrhbkbypPBy0?authuser=0&amp;hl=zh-TW&amp;rclk=1</t>
  </si>
  <si>
    <t>Soto Ambengan Pak Sadi (Asli)</t>
  </si>
  <si>
    <t>Soto Ambengan Pak Sadi (Asli) menyajikan soto ayam dengan kuah kuning berempah yang gurih dan segar, dilengkapi suwiran ayam serta pelengkap khas Nusantara. Tempat ini menjadi pilihan favorit untuk sarapan maupun makan siang di kawasan Surabaya. Cita rasa rempahnya yang kental membuat pengunjung kerap datang kembali.</t>
  </si>
  <si>
    <t>Restoran Soto Ayam, Soto Ayam, Kuah Kuning, Kuliner Nusantara, Sarapan, Makan Siang, Warung Legendaris, Rempah Khas, Surabaya.</t>
  </si>
  <si>
    <t>Senin-MInggu</t>
  </si>
  <si>
    <t>-7.2855718, 112.6956815</t>
  </si>
  <si>
    <t>https://www.google.com/maps/place/Soto+Ayam+Ambengan+Pak+Sadi/data=!4m7!3m6!1s0x2dd7fc143dbf4af5:0x618e4ded1b465a42!8m2!3d-7.2855718!4d112.6956815!16s%2Fg%2F1hf6h3rbt!19sChIJ9Uq_PRT81y0RQlpGG-1NjmE?authuser=0&amp;hl=zh-TW&amp;rclk=1</t>
  </si>
  <si>
    <t>G-Walk Citraland Surabaya</t>
  </si>
  <si>
    <t>G-Walk Citraland merupakan kawasan kuliner dan ruang publik populer di Surabaya Barat yang menawarkan berbagai pilihan makanan, minuman, serta tempat berkumpul dengan suasana yang hidup dan nyaman. Area pedestrian yang luas, deretan tenant kuliner, serta suasana yang ramai terutama pada malam hari menjadikan G-Walk sebagai destinasi favorit untuk nongkrong, bersantai, maupun menikmati waktu bersama keluarga dan teman. Berbagai acara komunitas dan hiburan juga sering diselenggarakan di kawasan ini, menambah daya tariknya sebagai pusat gaya hidup di Surabaya.</t>
  </si>
  <si>
    <t>Kuliner, Food Street, Nongkrong, Hangout Spot, Lifestyle, Family Friendly, Couple Friendly, Night View, Night Market, Outdoor, City Walk, Instagramable, Aesthetic, Wisata Kuliner, Live Music, Community Space, Rekreasi, Spot Foto, Ramai, Modern, Street Food, Urban Tourism, Surabaya Barat, Entertainment.</t>
  </si>
  <si>
    <t>-7.2920822, 112.6544154</t>
  </si>
  <si>
    <t>https://www.google.com/maps/place/G+-+WALK+Citraland+Surabaya/@-7.2920822,112.6544154,17z/data=!3m1!4b1!4m6!3m5!1s0x2dd7fdc7d4229af3:0x1bd7b8a45f57d063!8m2!3d-7.2920822!4d112.6544154!16s%2Fg%2F11b6xgh6ds?entry=ttu&amp;g_ep=EgoyMDI2MDYyOS4wIKXMDSoASAFQAw%3D%3D</t>
  </si>
  <si>
    <t>Magnolia Restaurant At Westin Surabaya</t>
  </si>
  <si>
    <t>Magnolia Restaurant At Westin Surabaya adalah tempat kuliner yang menyajikan menu andalan dengan cita rasa khas yang digemari warga Surabaya. Tempat ini cocok dijadikan pilihan makan santai bersama keluarga maupun teman. Pelayanan yang ramah dan harga yang terjangkau menjadi daya tarik tersendiri.</t>
  </si>
  <si>
    <t>-7.2901625, 112.6751242</t>
  </si>
  <si>
    <t>https://www.google.com/maps/place/Magnolia+Restaurant+At+Westin+Surabaya/data=!4m7!3m6!1s0x2dd7fdde0a5f0723:0x19bfe1288733e697!8m2!3d-7.2901625!4d112.6751242!16s%2Fg%2F11qqf9vnt1!19sChIJIwdfCt791y0Rl-Yzhyjhvxk?authuser=0&amp;hl=zh-TW&amp;rclk=1</t>
  </si>
  <si>
    <t>Kosaku Coffee Lab</t>
  </si>
  <si>
    <t>Kosaku Coffee Lab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</si>
  <si>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-7.2784189, 112.7649477</t>
  </si>
  <si>
    <t>https://www.google.com/maps/place/Kosaku+Coffee+Lab/data=!4m7!3m6!1s0x2dd7fb6183804d03:0x6ba31702694d3eaf!8m2!3d-7.2784189!4d112.7649477!16s%2Fg%2F11jzmp5kdt!19sChIJA02Ag2H71y0Rrz5NaQIXo2s?authuser=0&amp;hl=zh-TW&amp;rclk=1</t>
  </si>
  <si>
    <t>Taman Tugu Pahlawan Alun-Alun Contong</t>
  </si>
  <si>
    <t>Taman Tugu Pahlawan Alun-Alun Contong merupakan ruang publik bersejarah di kawasan Bubutan, Surabaya, yang berdekatan dengan kompleks Tugu Pahlawan. Taman ini menjadi salah satu spot heritage yang bernilai historis tinggi, dikelilingi bangunan-bangunan bersejarah peninggalan era kolonial. Selain sebagai ruang hijau untuk bersantai, taman ini juga sering dijadikan lokasi kegiatan sosial dan budaya masyarakat Surabaya.</t>
  </si>
  <si>
    <t>Taman Kota, Sejarah, Heritage, Alun-alun, Cagar Budaya, Monumen, Outdoor, Ruang Terbuka Hijau, Family Friendly, Wisata Sejarah, Edukasi, Landmark Surabaya, Fotografi, Spot Foto, Instagramable, Rekreasi, Community Space, Wisata Gratis, Urban Tourism, Pusat Kota, Surabaya.</t>
  </si>
  <si>
    <t>-7.245936, 112.737845</t>
  </si>
  <si>
    <t>https://www.google.com/maps/place/Taman+Tugu+Pahlawan+Alun+Alun+Contong/@-7.246103,112.7377625,17z/data=!3m1!4b1!4m6!3m5!1s0x2dd7f93220ff8eb9:0x27c3aed41c24af72!8m2!3d-7.246103!4d112.7377625!16s%2Fg%2F11g1lm_v0j?entry=ttu&amp;g_ep=EgoyMDI2MDYyOS4wIKXMDSoASAFQAw%3D%3D</t>
  </si>
  <si>
    <t>Devon Cafe Surabaya</t>
  </si>
  <si>
    <t>Devon Cafe Surabaya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</si>
  <si>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-7.2898536, 112.6753665</t>
  </si>
  <si>
    <t>https://www.google.com/maps/place/Devon+Cafe+Surabaya/data=!4m7!3m6!1s0x2dd7fd005c64affd:0x4e357ecd5effe0bd!8m2!3d-7.2898536!4d112.6753665!16s%2Fg%2F11x5hj44dn!19sChIJ_a9kXAD91y0RveD_Xs1-NU4?authuser=0&amp;hl=zh-TW&amp;rclk=1</t>
  </si>
  <si>
    <t>The Good Press and Co</t>
  </si>
  <si>
    <t>The Good Press and Co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</si>
  <si>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-7.266841, 112.7491922</t>
  </si>
  <si>
    <t>https://www.google.com/maps/place/The+Good+Press+and+Co/data=!4m7!3m6!1s0x2dd7fba8c2046ad3:0x2b9373b132d8be13!8m2!3d-7.266841!4d112.7491922!16s%2Fg%2F11tspjm9j1!19sChIJ02oEwqj71y0RE77YMrFzkys?authuser=0&amp;hl=zh-TW&amp;rclk=1</t>
  </si>
  <si>
    <t>Nasi Pecel dan Rawon Bu Yati</t>
  </si>
  <si>
    <t>Nasi Pecel dan Rawon Bu Yati menyajikan hidangan khas Jawa dengan cita rasa gurih dan rempah yang autentik. Menu-menunya menjadi favorit warga Surabaya yang mencari cita rasa masakan tradisional. Suasana warungnya yang sederhana membuat pengunjung merasa nyaman menikmati hidangan seperti di rumah.</t>
  </si>
  <si>
    <t>-7.296886, 112.759711</t>
  </si>
  <si>
    <t>https://www.google.com/maps/place/Nasi+Pecel+dan+Rawon+Bu+Yati/data=!4m7!3m6!1s0x2dd7fbae810d63c9:0xe8982272a294fd04!8m2!3d-7.296886!4d112.759711!16s%2Fg%2F11b6nk_j20!19sChIJyWMNga771y0RBP2UonIimOg?authuser=0&amp;hl=zh-TW&amp;rclk=1</t>
  </si>
  <si>
    <t>Hanamasa - Gubeng Pojok</t>
  </si>
  <si>
    <t>Hanamasa - Gubeng Pojok menyajikan hidangan khas Jepang dengan cita rasa autentik, mulai dari menu berbahan dasar nasi hingga mie ala Jepang. Tempat ini menjadi pilihan bagi pencinta kuliner oriental di Surabaya yang ingin menikmati suasana dan rasa khas Negeri Sakura. Konsep penyajiannya yang rapi menambah pengalaman bersantap yang menyenangkan.</t>
  </si>
  <si>
    <t>175000-250000</t>
  </si>
  <si>
    <t>-7.2658483, 112.7514572</t>
  </si>
  <si>
    <t>https://www.google.com/maps/place/Hanamasa+Gubeng+Surabaya/data=!4m7!3m6!1s0x2dd7fbd9bc33de5b:0xb451f4017cc04153!8m2!3d-7.2658483!4d112.7514572!16s%2Fg%2F1tjwl1bf!19sChIJW94zvNn71y0RU0HAfAH0UbQ?authuser=0&amp;hl=zh-TW&amp;rclk=1</t>
  </si>
  <si>
    <t>Taman Mundu ꦠꦩꦤ꧀ꦩꦸꦤ꧀ꦢꦸ</t>
  </si>
  <si>
    <t>Taman Mundu ꦠꦩꦤ꧀ꦩꦸꦤ꧀ꦢꦸ merupakan ruang terbuka hijau yang menjadi tempat favorit warga Surabaya untuk bersantai, berolahraga ringan, maupun menghabiskan waktu bersama keluarga. Suasana yang asri dan udara segar menjadikan taman ini cocok untuk healing di tengah kesibukan kota. Tempat ini juga sering dimanfaatkan sebagai spot foto dan area bermain anak.</t>
  </si>
  <si>
    <t>Taman Kota, Ruang Terbuka Hijau, Outdoor, Family Friendly, Santai, Healing, Wisata Gratis, Spot Foto, Jogging, Surabaya.</t>
  </si>
  <si>
    <t>-7.2516046, 112.7545983</t>
  </si>
  <si>
    <t>https://www.google.com/maps/place/Taman+Mundu/data=!4m7!3m6!1s0x2dd7f9717b3e06b7:0x597ce3c7f0c8762e!8m2!3d-7.2516046!4d112.7545983!16s%2Fg%2F11b6p30wtr!19sChIJtwY-e3H51y0RLnbI8MfjfFk?authuser=0&amp;hl=zh-TW&amp;rclk=1</t>
  </si>
  <si>
    <t>Sate Ayam Ponorogo Pak Pandi</t>
  </si>
  <si>
    <t>Sate Ayam Ponorogo Pak Pandi menyajikan sate dengan bumbu kacang khas yang gurih, dipanggang di atas bara hingga aromanya menggugah selera. Menu ini menjadi favorit warga Surabaya untuk santap malam maupun acara kumpul bersama. Cita rasa dan kualitas dagingnya menjadikan tempat ini banyak direkomendasikan pencinta kuliner sate.</t>
  </si>
  <si>
    <t>-7.2765687, 112.7547232</t>
  </si>
  <si>
    <t>https://www.google.com/maps/place/Sate+Ayam+Ponorogo+Pak+Pandi/data=!4m7!3m6!1s0x2dd7fbce1a26ff39:0x776933aaf0b0191e!8m2!3d-7.2765687!4d112.7547232!16s%2Fg%2F11bxf_tv8w!19sChIJOf8mGs771y0RHhmw8KozaXc?authuser=0&amp;hl=zh-TW&amp;rclk=1</t>
  </si>
  <si>
    <t>Kopi Bujend</t>
  </si>
  <si>
    <t>Kopi Bujend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</si>
  <si>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Cafe, Coffee Shop, Nongkrong, Hangout, Work From Cafe, Aesthetic, Indoor, Menu Kekinian, Surabaya.</t>
  </si>
  <si>
    <t>-7.2664116, 112.7714516</t>
  </si>
  <si>
    <t>https://www.google.com/maps/place/KOPI+BUJEND/@-7.2664116,112.7714516,17z/data=!3m1!4b1!4m6!3m5!1s0x2dd7fb7cf9a0d44d:0x58c384e76774f49e!8m2!3d-7.2664116!4d112.7714516!16s%2Fg%2F11rydjpsr0?entry=ttu&amp;g_ep=EgoyMDI2MDYyOS4wIKXMDSoASAFQAw%3D%3D</t>
  </si>
  <si>
    <t>Second Cup Coffee Dharmahusada Indah</t>
  </si>
  <si>
    <t>Second Cup Coffee Dharmahusada Indah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</si>
  <si>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Cafe, Coffee, Art Space, Galeri Seni, Industrial, Jawa Vintage, Cozy, Tenang, Es Kopi Sogem, Surabaya Timur, Cafe, Coffee Shop, Nongkrong, Hangout, Work From Cafe, Aesthetic, Indoor, Menu Kekinian, Surabaya.</t>
  </si>
  <si>
    <t>-7.2726221, 112.7821647</t>
  </si>
  <si>
    <t>google.com/maps/place/Second+Cup+Coffee+-+Dharmahusada+Indah+Timur/@-7.2664116,112.7714516,17z/data=!4m6!3m5!1s0x2dd7fbf682798bbf:0xc5cb7f64d78ee70c!8m2!3d-7.2726221!4d112.7821647!16s%2Fg%2F11kr99yx0b?entry=ttu&amp;g_ep=EgoyMDI2MDYyOS4wIKXMDSoASAFQAw%3D%3D</t>
  </si>
  <si>
    <t>Botanika - Kertajaya Indah</t>
  </si>
  <si>
    <t>Menu besar untuk keluarga disajikan di restoran kasual penuh cahaya dengan 2 lantai &amp; dekorasi taman.</t>
  </si>
  <si>
    <t>Restoran Indonesia</t>
  </si>
  <si>
    <t>-7.2801373, 112.7749205</t>
  </si>
  <si>
    <t>https://www.google.com/maps/place/Botanika+-+Kertajaya+Indah/data=!4m7!3m6!1s0x2dd7fa3a005a3f37:0xa8d07d36e28a1151!8m2!3d-7.2801373!4d112.7749205!16s%2Fg%2F11d_bsnb1_!19sChIJNz9aADr61y0RURGK4jZ90Kg?authuser=0&amp;hl=zh-TW&amp;rclk=1</t>
  </si>
  <si>
    <t>Museum De Javasche Bank</t>
  </si>
  <si>
    <t>Bank Neo-Renaisans yang dibangun oleh penjajah Belanda pada 1829, dengan mesin hitung antik &amp; emas batangan.</t>
  </si>
  <si>
    <t>-7.2353939, 112.7367646</t>
  </si>
  <si>
    <t>https://www.google.com/maps/place/De+Javasche+Bank/data=!4m7!3m6!1s0x2dd7f922ef7a959d:0xddbdd454fd8f7afc!8m2!3d-7.2353939!4d112.7367646!16s%2Fm%2F012w498d!19sChIJnZV67yL51y0R_HqP_VTUvd0?authuser=0&amp;hl=zh-TW&amp;rclk=1</t>
  </si>
  <si>
    <t>Sate Posang</t>
  </si>
  <si>
    <t>Sate Posang menyajikan sate dengan bumbu kacang khas yang gurih, dipanggang di atas bara hingga aromanya menggugah selera. Menu ini menjadi favorit warga Surabaya untuk santap malam maupun acara kumpul bersama. Cita rasa dan kualitas dagingnya menjadikan tempat ini banyak direkomendasikan pencinta kuliner sate.</t>
  </si>
  <si>
    <t>-7.2769269, 112.7098654</t>
  </si>
  <si>
    <t>https://www.google.com/maps/place/Sate+Posang/data=!4m7!3m6!1s0x2dd7fc067066bb4d:0xe1d48e4f15acc2fc!8m2!3d-7.2769269!4d112.7098654!16s%2Fg%2F11f3nm42_f!19sChIJTbtmcAb81y0R_MKsFU-O1OE?authuser=0&amp;hl=zh-TW&amp;rclk=1</t>
  </si>
  <si>
    <t>Ria Galeria</t>
  </si>
  <si>
    <t>Ria Galeria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</si>
  <si>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-7.2725329, 112.748591</t>
  </si>
  <si>
    <t>https://www.google.com/maps/place/Ria+Galeria/data=!4m7!3m6!1s0x2dd7fbda310daff1:0xe4dd00b11c394757!8m2!3d-7.2725329!4d112.748591!16s%2Fg%2F1pzrxnvs6!19sChIJ8a8NMdr71y0RV0c5HLEA3eQ?authuser=0&amp;hl=zh-TW&amp;rclk=1</t>
  </si>
  <si>
    <t>Restoran Citrus Lee</t>
  </si>
  <si>
    <t>Restoran Citrus Lee menghadirkan hidangan bergaya Prancis modern dengan sentuhan fusion yang elegan dan menggugah selera. Tempat ini cocok untuk pengalaman bersantap yang lebih istimewa di kawasan Surabaya. Penyajian menu yang detail dan suasana yang nyaman menjadikan tempat ini pilihan untuk momen spesial.</t>
  </si>
  <si>
    <t>Restoran Prancis Modern, Kuliner Barat, Fine Dining, Menu Fusion, Suasana Elegan, Surabaya.</t>
  </si>
  <si>
    <t>-7.2906763, 112.7348857</t>
  </si>
  <si>
    <t>https://www.google.com/maps/place/Restoran+Citrus+Lee/data=!4m7!3m6!1s0x2dd7fb944220534d:0x7fb6cb85ce824e99!8m2!3d-7.2906763!4d112.7348857!16s%2Fg%2F1wfp65gj!19sChIJTVMgQpT71y0RmU6CzoXLtn8?authuser=0&amp;hl=zh-TW&amp;rclk=1</t>
  </si>
  <si>
    <t>Penyetan Bu Yeni</t>
  </si>
  <si>
    <t>Penyetan Bu Yeni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</si>
  <si>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-7.296549, 112.6527154</t>
  </si>
  <si>
    <t>https://www.google.com/maps/place/Penyetan+Bu+Yeni/data=!4m7!3m6!1s0x2dd7fd000bac57f9:0xd3c7e98dac07d08b!8m2!3d-7.296549!4d112.6527154!16s%2Fg%2F11y791rn4l!19sChIJ-VesCwD91y0Ri9AHrI3px9M?authuser=0&amp;hl=zh-TW&amp;rclk=1</t>
  </si>
  <si>
    <t>"Soto Mie Bogor" Warung Makan AA (WMA)</t>
  </si>
  <si>
    <t>"Soto Mie Bogor" Warung Makan AA (WMA) menghadirkan hidangan soto khas dengan kuah gurih berempah yang menjadi favorit warga Surabaya. Menu ini cocok dinikmati saat sarapan maupun makan siang bersama nasi hangat dan pelengkap khasnya. Tempat ini dikenal karena cita rasanya yang autentik dan konsisten.</t>
  </si>
  <si>
    <t>senin</t>
  </si>
  <si>
    <t>-7.2661046, 112.7642002</t>
  </si>
  <si>
    <t>https://www.google.com/maps/place/%22Soto+Mie+Bogor%22+Warung+Makan+AA+%28WMA%29/data=!4m7!3m6!1s0x2dd7fb322baab54d:0x9d367d800aa7f651!8m2!3d-7.2661046!4d112.7642002!16s%2Fg%2F11gsmtnnvq!19sChIJTbWqKzL71y0RUfanCoB9Np0?authuser=0&amp;hl=zh-TW&amp;rclk=1</t>
  </si>
  <si>
    <t>Mohen Coffee &amp; Eatery</t>
  </si>
  <si>
    <t>Mohen Coffee &amp; Eatery adalah kafe yang menawarkan perpaduan kopi berkualitas dan hidangan makanan yang lezat dalam satu tempat. Meski tergolong baru dengan jumlah ulasan yang masih sedikit, kafe ini telah meraih penilaian yang baik dari pelanggannya. Suasana yang nyaman dan menu yang beragam menjadikan Mohen sebagai hidden gem di kawasan Surabaya pusat.</t>
  </si>
  <si>
    <t>Kafe, Eatery, Coffee Shop, Nongkrong, Hangout, Hidden Gem, Aesthetic, Cozy, Instagramable, Kopi, Makanan, Indoor, Work From Cafe, WFC, Couple Friendly, Friend Gathering, Lifestyle, Affordable, Surabaya Pusat.</t>
  </si>
  <si>
    <t>-7.259980929522554, 112.74463290674586</t>
  </si>
  <si>
    <t>https://www.google.com/maps/place/Mohen+Coffee+%26Eatery/@-7.260247,112.744649,17z/data=!3m1!4b1!4m6!3m5!1s0x2dd7f900731de4cd:0x1cb9510f3e3f3e69!8m2!3d-7.260247!4d112.744649!16s%2Fg%2F11mt562435?entry=ttu&amp;g_ep=EgoyMDI2MDYyOS4wIKXMDSoASAFQAw%3D%3D</t>
  </si>
  <si>
    <t>Bebek Goreng Papin</t>
  </si>
  <si>
    <t>Bebek Goreng Papin adalah rumah makan yang menyajikan berbagai menu masakan Nusantara dengan cita rasa rumahan yang gurih dan mengenyangkan. Tempat ini banyak dikunjungi warga Surabaya sebagai pilihan makan siang maupun makan malam bersama keluarga. Suasananya yang sederhana dan pelayanan yang ramah membuat pengunjung merasa betah.</t>
  </si>
  <si>
    <t>Rumah Makan, Masakan Nusantara, Menu Rumahan, Warung Keluarga, Comfort Food, Surabaya.</t>
  </si>
  <si>
    <t>-7.2482689, 112.7471493</t>
  </si>
  <si>
    <t>https://www.google.com/maps/place/Bebek+Goreng+Papin/data=!4m7!3m6!1s0x2dd7f96d0610ebcd:0xbb0e320f86f44a04!8m2!3d-7.2482689!4d112.7471493!16s%2Fg%2F1hc79tvl0!19sChIJzesQBm351y0RBEr0hg8yDrs?authuser=0&amp;hl=zh-TW&amp;rclk=1</t>
  </si>
  <si>
    <t>Depot Bu Rudy Dharmahusada</t>
  </si>
  <si>
    <t>Depot legendaris yang berdiri di kawasan Dharmahusada, terkenal dengan sambal bawang andalannya dan masakan khas Jawa Timur. Menyajikan nasi empal, nasi pecel, rawon, sop buntut, ayam penyet, iga penyet, dan berbagai lauk pauk rumahan. Juga berfungsi sebagai pusat oleh-oleh terbesar di Surabaya.</t>
  </si>
  <si>
    <t>Kuliner Legendaris, Masakan Jawa Timur, Sambal Bawang, Oleh-Oleh, Nasi Empal, Rawon, Soto, Pecel, Family Friendly, Surabaya Timur</t>
  </si>
  <si>
    <t>-7.267227940074393, 112.77006894350687</t>
  </si>
  <si>
    <t>-7,267227940074393</t>
  </si>
  <si>
    <t>112,77006894350687</t>
  </si>
  <si>
    <t>https://www.google.com/maps/place/Depot+Bu+Rudy+-+Dharmahusada/@-7.2674503,112.7700431,17z/data=!3m2!4b1!5s0x2dd7fa2900070f67:0x7b3b78cfbe660a0!4m6!3m5!1s0x2dd7f9fdfa4dc9cd:0x73513935dae2989e!8m2!3d-7.2674503!4d112.7700431!16s%2Fg%2F1hd_3mf8w?entry=ttu&amp;g_ep=EgoyMDI2MDYyOS4wIKXMDSoASAFQAw%3D%3D</t>
  </si>
  <si>
    <t>Bebek Goreng H. Slamet, Ngagel Surabaya by Assalam Group</t>
  </si>
  <si>
    <t>Bebek Goreng H. Slamet, Ngagel Surabaya by Assalam Group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</si>
  <si>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-7.2892522, 112.7531971</t>
  </si>
  <si>
    <t>https://www.google.com/maps/place/Bebek+Goreng+H.+Slamet,+Ngagel+Surabaya+by+Assalam+Group/data=!4m7!3m6!1s0x2dd7fbb708a088d9:0x769bf44d663ffdf0!8m2!3d-7.2892522!4d112.7531971!16s%2Fg%2F11c7t0rxt3!19sChIJ2YigCLf71y0R8P0_Zk30m3Y?authuser=0&amp;hl=zh-TW&amp;rclk=1</t>
  </si>
  <si>
    <t>SPILL Cafe</t>
  </si>
  <si>
    <t>SPILL Cafe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</si>
  <si>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-7.2918455, 112.8123006</t>
  </si>
  <si>
    <t>https://www.google.com/maps/place/SPILL+Cafe/data=!4m7!3m6!1s0x2dd7fb3342ea5dc5:0x277e2ad7bd674179!8m2!3d-7.2918455!4d112.8123006!16s%2Fg%2F11yyzxm87x!19sChIJxV3qQjP71y0ReUFnvdcqfic?authuser=0&amp;hl=zh-TW&amp;rclk=1</t>
  </si>
  <si>
    <t>Sate House Bogowonto</t>
  </si>
  <si>
    <t>Sate House Bogowonto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</si>
  <si>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25.0280665, 121.5512797</t>
  </si>
  <si>
    <t>https://www.google.com/maps/place/%E7%A3%90%E7%9F%B3%E5%9D%8A/data=!4m7!3m6!1s0x3442aa331fe2f86d:0xb0fdd4ef45d6ec3e!8m2!3d25.0280665!4d121.5512797!16s%2Fg%2F1thk6fhm!19sChIJbfjiHzOqQjQRPuzWRe_U_bA?authuser=0&amp;hl=zh-TW&amp;rclk=1</t>
  </si>
  <si>
    <t>Bakso Malang 35 Cak To</t>
  </si>
  <si>
    <t>Bakso Malang 35 Cak To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</si>
  <si>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-7.2833795, 112.7158772</t>
  </si>
  <si>
    <t>https://www.google.com/maps/place/Bakso+Malang+35+Cak+To/data=!4m7!3m6!1s0x2dd7fb11b9bb958f:0xefe901dbc5eca275!8m2!3d-7.2833795!4d112.7158772!16s%2Fg%2F11gxnw0kk5!19sChIJj5W7uRH71y0RdaLsxdsB6e8?authuser=0&amp;hl=zh-TW&amp;rclk=1</t>
  </si>
  <si>
    <t>Taman mozaik</t>
  </si>
  <si>
    <t>Taman Mozaik merupakan salah satu taman tematik di Surabaya yang dikenal dengan desain warna-warni dan ornamen mozaik yang unik. Taman ini menghadirkan suasana yang ceria dengan berbagai instalasi dekoratif, area hijau, serta spot foto yang menarik. Keunikan desainnya menjadikan Taman Mozaik sebagai destinasi favorit untuk bersantai, berekreasi bersama keluarga, maupun mengabadikan momen di ruang terbuka yang estetik.</t>
  </si>
  <si>
    <t>Taman Tematik, Taman Kota, Outdoor, Aesthetic, Instagramable, Spot Foto, Fotografi, Warna-warni, Family Friendly, Kids Friendly, Rekreasi, Santai, Healing, Ruang Terbuka Hijau, Wisata Keluarga, Edukasi, Community Space, Ramah Anak, Wisata Gratis, Urban Tourism, Creative Park, Landmark, Taman Unik, Surabaya.</t>
  </si>
  <si>
    <t>-7.3148799, 112.6899537</t>
  </si>
  <si>
    <t>https://www.google.com/maps/place/Taman+Mozaik/@-7.3148799,112.6899537,17z/data=!3m1!4b1!4m6!3m5!1s0x2dd7fd0d9be2bb81:0x95eabfcee4bd8013!8m2!3d-7.3148799!4d112.6899537!16s%2Fg%2F11h7_7fw_c?entry=ttu&amp;g_ep=EgoyMDI2MDYyOS4wIKXMDSoASAFQAw%3D%3D</t>
  </si>
  <si>
    <t>KAPTEN SEAFOOD SURABAYA BARAT</t>
  </si>
  <si>
    <t>KAPTEN SEAFOOD SURABAYA BARAT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</si>
  <si>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-7.3341376, 112.7047365</t>
  </si>
  <si>
    <t>https://www.google.com/maps/place/KAPTEN+SEAFOOD+SURABAYA+BARAT/data=!4m7!3m6!1s0x2dd7fdec341f426b:0x9077fd5b7aeebcf0!8m2!3d-7.3341376!4d112.7047365!16s%2Fg%2F11ryqyq3yp!19sChIJa0IfNOz91y0R8Lzuelv9d5A?authuser=0&amp;hl=zh-TW&amp;rclk=1</t>
  </si>
  <si>
    <t>Nasi Bebek Cak Sandy</t>
  </si>
  <si>
    <t>Nasi Bebek Cak Sandy menyajikan aneka olahan ayam, mulai dari ayam goreng hingga ayam bakar dengan bumbu khas yang meresap. Tempat ini menjadi pilihan makan favorit warga Surabaya yang menyukai cita rasa gurih ayam berbumbu. Suasana tempatnya nyaman untuk makan bersama keluarga maupun teman.</t>
  </si>
  <si>
    <t>Restoran Masakan Ayam, Ayam Goreng, Ayam Bakar, Kuliner Ayam, Menu Andalan, Warung Keluarga, Surabaya.</t>
  </si>
  <si>
    <t>-7.2590294, 112.7504043</t>
  </si>
  <si>
    <t>https://www.google.com/maps/place/Nasi+Bebek+Cak+Sandy/data=!4m7!3m6!1s0x2dd7f9653c152d59:0xb443716d0b236020!8m2!3d-7.2590294!4d112.7504043!16s%2Fg%2F11g6xs9w9f!19sChIJWS0VPGX51y0RIGAjC21xQ7Q?authuser=0&amp;hl=zh-TW&amp;rclk=1</t>
  </si>
  <si>
    <t>The Gentlepig Porchetta Boss - Loop Graha Famili</t>
  </si>
  <si>
    <t>The Gentlepig Porchetta Boss - Loop Graha Famili adalah tempat kuliner yang menyajikan menu andalan dengan cita rasa khas yang digemari warga Surabaya. Tempat ini cocok dijadikan pilihan makan santai bersama keluarga maupun teman. Pelayanan yang ramah dan harga yang terjangkau menjadi daya tarik tersendiri.</t>
  </si>
  <si>
    <t>-7.2936891, 112.6761626</t>
  </si>
  <si>
    <t>https://www.google.com/maps/place/The+Gentlepig+Porchetta+Boss+-+Loop+Graha+Famili/data=!4m7!3m6!1s0x2dd7fd56073b0a73:0xe364faf364f95e0b!8m2!3d-7.2936891!4d112.6761626!16s%2Fg%2F11m1c4h6kf!19sChIJcwo7B1b91y0RC175ZPP6ZOM?authuser=0&amp;hl=zh-TW&amp;rclk=1</t>
  </si>
  <si>
    <t>Aluama coffee bar</t>
  </si>
  <si>
    <t>Aluama coffee bar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</si>
  <si>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-7.2526441, 112.7446897</t>
  </si>
  <si>
    <t>https://www.google.com/maps/place/Aluama+Coffee+Bar/data=!4m7!3m6!1s0x2dd7f979d17fbd23:0xd550a4b94fc1aee2!8m2!3d-7.2526441!4d112.7446897!16s%2Fg%2F11mpv8qr24!19sChIJI71_0Xn51y0R4q7BT7mkUNU?authuser=0&amp;hl=zh-TW&amp;rclk=1</t>
  </si>
  <si>
    <t>Warung Kuliner Hijau (food Court)</t>
  </si>
  <si>
    <t>Warung Kuliner Hijau (food Court) adalah tempat kuliner yang menyajikan menu andalan dengan cita rasa khas yang digemari warga Surabaya. Tempat ini cocok dijadikan pilihan makan santai bersama keluarga maupun teman. Pelayanan yang ramah dan harga yang terjangkau menjadi daya tarik tersendiri.</t>
  </si>
  <si>
    <t>-7.265323, 112.7270665</t>
  </si>
  <si>
    <t>https://www.google.com/maps/place/Warung+Kuliner+Hijau+%28food+Court%29/data=!4m7!3m6!1s0x2dd7f976a3d876d7:0x6ef8def676495a36!8m2!3d-7.265323!4d112.7270665!16s%2Fg%2F11j5hsybn5!19sChIJ13bYo3b51y0RNlpJdvbe-G4?authuser=0&amp;hl=zh-TW&amp;rclk=1</t>
  </si>
  <si>
    <t>Pecel Bu Kus</t>
  </si>
  <si>
    <t>Restoran bersuasana kasual yang menyajikan hidangan tradisional Jawa di ruang standar yang cerah.</t>
  </si>
  <si>
    <t>Restoran Jawa</t>
  </si>
  <si>
    <t>-7.3048615, 112.7592702</t>
  </si>
  <si>
    <t>https://www.google.com/maps/place/Pecel+Bu+Kus/data=!4m7!3m6!1s0x2dd7fbaba1ae07fb:0xa9afb3a0018ad1b5!8m2!3d-7.3048615!4d112.7592702!16s%2Fg%2F1hc0zq6bh!19sChIJ-weuoav71y0RtdGKAaCzr6k?authuser=0&amp;hl=zh-TW&amp;rclk=1</t>
  </si>
  <si>
    <t>Arumanis Restaurant</t>
  </si>
  <si>
    <t>Restoran all-you-can-eat (AYCE) premium yang berlokasi di Bumi Surabaya City Resort di jantung kota. Menawarkan menu main course, dessert, sushi, jajanan pasar, dan kue dalam suasana alam yang rimbun dan tenang. Konsep interior etnik Jawa dengan nuansa resort menghadirkan pengalaman makan yang berkesan.</t>
  </si>
  <si>
    <t>Restaurant, All You Can Eat, AYCE, Hotel, Nusantara, Western Food, Japanese, Dessert, Family Friendly, Premium, Surabaya Pusat</t>
  </si>
  <si>
    <t>-7.271251806393664, 112.74065449325411</t>
  </si>
  <si>
    <t>-7,271251806393664</t>
  </si>
  <si>
    <t>112,74065449325411</t>
  </si>
  <si>
    <t>https://www.google.com/maps/place/Arumanis+Restaurant/@-7.2714753,112.7406384,17z/data=!3m1!4b1!4m6!3m5!1s0x2dd7fbde78bbd497:0x855e861ef7d59ea6!8m2!3d-7.2714753!4d112.7406384!16s%2Fg%2F1tg841mt?entry=ttu&amp;g_ep=EgoyMDI2MDYyOS4wIKXMDSoASAFQAw%3D%3D</t>
  </si>
  <si>
    <t>MADANI SOCIETY Coffee</t>
  </si>
  <si>
    <t>MADANI SOCIETY Coffee adalah kafe yang mengusung semangat komunitas dan kebersamaan dalam setiap sajian kopinya. Nama 'Madani' yang berarti masyarakat yang beradab dan berperadaban mencerminkan visi kafe ini sebagai ruang perkumpulan yang inklusif dan bermakna. Menu kopi dan makanan yang terjangkau menjadikannya tempat favorit untuk berdiskusi, berkarya, dan membangun koneksi sosial.</t>
  </si>
  <si>
    <t>Kafe, Coffee Shop, Community Space, Komunitas, Nongkrong, Hangout, Aesthetic, Cozy, Instagramable, Kopi, Makanan Ringan, Affordable, Indoor, Work From Cafe, WFC, Couple Friendly, Friend Gathering, Diskusi, Lifestyle, Surabaya Pusat.</t>
  </si>
  <si>
    <t>-7.276577411552014, 112.75816798210771</t>
  </si>
  <si>
    <t>https://www.google.com/maps/place/MADANI+SOCIETY+Coffee+Surabaya/@-7.2768622,112.7581685,17z/data=!3m1!4b1!4m6!3m5!1s0x2dd7fb08a3848f9f:0x8bcb87d577eef5df!8m2!3d-7.2768622!4d112.7581685!16s%2Fg%2F11p0zppj5c?entry=ttu&amp;g_ep=EgoyMDI2MDYyOS4wIKXMDSoASAFQAw%3D%3D</t>
  </si>
  <si>
    <t>Bakso Balungan Cak Nur</t>
  </si>
  <si>
    <t>Bakso Balungan Cak Nur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</si>
  <si>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-7.307765, 112.67602</t>
  </si>
  <si>
    <t>https://www.google.com/maps/place/Bakso+Balungan+Cak+Nur/data=!4m7!3m6!1s0x2dd7fd12ed97d45d:0x6c516da805f779e!8m2!3d-7.307765!4d112.67602!16s%2Fg%2F11fp8fmr_2!19sChIJXdSX7RL91y0RnndfgNoWxQY?authuser=0&amp;hl=zh-TW&amp;rclk=1</t>
  </si>
  <si>
    <t>Boncafe raya gubeng</t>
  </si>
  <si>
    <t>Boncafé Raya Gubeng merupakan salah satu restoran legendaris di Surabaya yang terkenal dengan sajian steak, hidangan western, dan suasana makan yang nyaman. Dengan interior yang elegan serta pelayanan yang baik, tempat ini menjadi pilihan populer untuk makan bersama keluarga, teman, maupun keperluan bisnis. Kualitas makanan yang konsisten dan atmosfer yang hangat menjadikan Boncafé Raya Gubeng sebagai salah satu destinasi kuliner favorit di Surabaya.</t>
  </si>
  <si>
    <t>Restoran, Steakhouse, Western Food, Kuliner, Fine Dining, Casual Dining, Family Friendly, Couple Friendly, Business Meeting, Hangout Spot, Cozy, Elegant, Indoor, Instagramable, Aesthetic, Kuliner Legendaris, Dinner Spot, Lunch Spot, Premium Dining, Wisata Kuliner, Surabaya Pusat.</t>
  </si>
  <si>
    <t>-7.2718687, 112.7483661</t>
  </si>
  <si>
    <t>google.com/maps/place/BONCAFE+RAYA+GUBENG/@-7.2768622,112.7581685,17z/data=!4m6!3m5!1s0x2dd7fbc8566bd81d:0xf74bed2af3c20537!8m2!3d-7.2718687!4d112.7483661!16s%2Fg%2F1thm5yn7?entry=ttu&amp;g_ep=EgoyMDI2MDYyOS4wIKXMDSoASAFQAw%3D%3D</t>
  </si>
  <si>
    <t>Soto Ayam Lamongan Cak Tono</t>
  </si>
  <si>
    <t>Soto Ayam Lamongan Cak Tono menyajikan soto ayam dengan kuah kuning berempah yang gurih dan segar, dilengkapi suwiran ayam serta pelengkap khas Nusantara. Tempat ini menjadi pilihan favorit untuk sarapan maupun makan siang di kawasan Surabaya. Cita rasa rempahnya yang kental membuat pengunjung kerap datang kembali.</t>
  </si>
  <si>
    <t>-7.2785677, 112.758943</t>
  </si>
  <si>
    <t>https://www.google.com/maps/place/Soto+Ayam+Lamongan+Cak+Tono/data=!4m7!3m6!1s0x2dd7fb0d08bf9911:0xf7d5bf39a933ce63!8m2!3d-7.2785677!4d112.758943!16s%2Fg%2F11g4jnccfr!19sChIJEZm_CA371y0RY84zqTm_1fc?authuser=0&amp;hl=zh-TW&amp;rclk=1</t>
  </si>
  <si>
    <t>New Pelabuhan Resto Seafood &amp; Chinese Food Sukomanunggal</t>
  </si>
  <si>
    <t>New Pelabuhan Resto Seafood &amp; Chinese Food Sukomanunggal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</si>
  <si>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-7.2693994, 112.6944568</t>
  </si>
  <si>
    <t>https://www.google.com/maps/place/New+Pelabuhan+Resto+Seafood+%26+Chinese+Food+Sukomanunggal/data=!4m7!3m6!1s0x2dd7fdb4acb25cf7:0x823314725ab3a4f3!8m2!3d-7.2693994!4d112.6944568!16s%2Fg%2F11ryhmty44!19sChIJ91yyrLT91y0R86SzWnIUM4I?authuser=0&amp;hl=zh-TW&amp;rclk=1</t>
  </si>
  <si>
    <t>Sentra Wisata Kuliner Lidah Wetan</t>
  </si>
  <si>
    <t>Sentra Wisata Kuliner Lidah Wetan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</si>
  <si>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-7.3073849, 112.6656085</t>
  </si>
  <si>
    <t>https://www.google.com/maps/place/Sentra+Wisata+Kuliner+Lidah+Wetan/data=!4m7!3m6!1s0x2dd7fd9f163b5ea9:0x6863da8594b7f2f2!8m2!3d-7.3073849!4d112.6656085!16s%2Fg%2F11v0694svv!19sChIJqV47Fp_91y0R8vK3lIXaY2g?authuser=0&amp;hl=zh-TW&amp;rclk=1</t>
  </si>
  <si>
    <t>Soto Ayam H. Khosim</t>
  </si>
  <si>
    <t>Soto Ayam H. Khosim menyajikan soto ayam dengan kuah kuning berempah yang gurih dan segar, dilengkapi suwiran ayam serta pelengkap khas Nusantara. Tempat ini menjadi pilihan favorit untuk sarapan maupun makan siang di kawasan Surabaya. Cita rasa rempahnya yang kental membuat pengunjung kerap datang kembali.</t>
  </si>
  <si>
    <t>-7.2768032, 112.7547234</t>
  </si>
  <si>
    <t>https://www.google.com/maps/place/Soto+Ayam+H.+Khosim/data=!4m7!3m6!1s0x2dd7fbce25762b93:0xba35712275ee608b!8m2!3d-7.2768032!4d112.7547234!16s%2Fg%2F11b6fkd76r!19sChIJkyt2Jc771y0Ri2DudSJxNbo?authuser=0&amp;hl=zh-TW&amp;rclk=1</t>
  </si>
  <si>
    <t>Rawon Soerabaja</t>
  </si>
  <si>
    <t>Rawon Soerabaja menghadirkan aneka masakan khas Jawa Timur dengan cita rasa rumahan yang autentik. Menu-menu tradisionalnya menjadi daya tarik bagi pengunjung yang rindu akan cita rasa kuliner lokal di Surabaya. Tempat ini cocok untuk makan siang maupun makan malam bersama keluarga.</t>
  </si>
  <si>
    <t>-7.3518978, 112.7289576</t>
  </si>
  <si>
    <t>https://www.google.com/maps/place/Rawon+Soerabaja/data=!4m7!3m6!1s0x2dd7e533996b61e5:0x59b20df5ddd9a8f8!8m2!3d-7.3518978!4d112.7289576!16s%2Fg%2F11sqrbj4_l!19sChIJ5WFrmTPl1y0R-KjZ3fUNslk?authuser=0&amp;hl=zh-TW&amp;rclk=1</t>
  </si>
  <si>
    <t>Sentra Wisata Kuliner Dharmahusada</t>
  </si>
  <si>
    <t>Sentra Wisata Kuliner Dharmahusada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</si>
  <si>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-7.2683301, 112.7741892</t>
  </si>
  <si>
    <t>https://www.google.com/maps/place/Sentra+Wisata+Kuliner+Dharmahusada/data=!4m7!3m6!1s0x2dd7fa289d633cf7:0x2415d06a920e042b!8m2!3d-7.2683301!4d112.7741892!16s%2Fg%2F11c1_v2fqh!19sChIJ9zxjnSj61y0RKwQOkmrQFSQ?authuser=0&amp;hl=zh-TW&amp;rclk=1</t>
  </si>
  <si>
    <t>Pondok Kuliner surabaya</t>
  </si>
  <si>
    <t>Pondok Kuliner surabaya adalah tempat kuliner yang menyajikan menu andalan dengan cita rasa khas yang digemari warga Surabaya. Tempat ini cocok dijadikan pilihan makan santai bersama keluarga maupun teman. Pelayanan yang ramah dan harga yang terjangkau menjadi daya tarik tersendiri.</t>
  </si>
  <si>
    <t>-7.2554767, 112.7172477</t>
  </si>
  <si>
    <t>https://www.google.com/maps/place/Pondok+Kuliner+surabaya/data=!4m7!3m6!1s0x2dd7f9e101a55fcd:0x815783317902a354!8m2!3d-7.2554767!4d112.7172477!16s%2Fg%2F11fmc4bvnm!19sChIJzV-lAeH51y0RVKMCeTGDV4E?authuser=0&amp;hl=zh-TW&amp;rclk=1</t>
  </si>
  <si>
    <t>Bebek Goreng H. Slamet (Asli) kayoon</t>
  </si>
  <si>
    <t>Bebek Goreng H. Slamet (Asli) kayoon menghadirkan hidangan bercita rasa Asia dengan racikan bumbu yang autentik dan menggugah selera. Tempat ini menjadi pilihan menarik bagi warga Surabaya yang ingin mencicipi variasi kuliner Asia. Suasana tempatnya nyaman untuk bersantap bersama keluarga maupun teman.</t>
  </si>
  <si>
    <t>Restoran Asia, Kuliner Asia, Menu Oriental, Cita Rasa Autentik, Makan Keluarga, Surabaya.</t>
  </si>
  <si>
    <t>-7.2711255, 112.7458387</t>
  </si>
  <si>
    <t>https://www.google.com/maps/place/Bebek+Goreng+H.+Slamet+%28Asli%29+kayoon/data=!4m7!3m6!1s0x2dd7fbd91644fd1f:0xf74d4b9ff6a62c51!8m2!3d-7.2711255!4d112.7458387!16s%2Fg%2F11bxc7tjtz!19sChIJH_1EFtn71y0RUSym9p9LTfc?authuser=0&amp;hl=zh-TW&amp;rclk=1</t>
  </si>
  <si>
    <t>Taman Kalisari</t>
  </si>
  <si>
    <t>Taman Kalisari merupakan ruang terbuka hijau yang menjadi tempat favorit warga Surabaya untuk bersantai, berolahraga ringan, maupun menghabiskan waktu bersama keluarga. Suasana yang asri dan udara segar menjadikan taman ini cocok untuk healing di tengah kesibukan kota. Tempat ini juga sering dimanfaatkan sebagai spot foto dan area bermain anak.</t>
  </si>
  <si>
    <t>-7.2643734, 112.8003615</t>
  </si>
  <si>
    <t>https://www.google.com/maps/place/Taman+Kalisari/data=!4m7!3m6!1s0x2dd7fa0299a5ebdf:0x376acdb218a8a968!8m2!3d-7.2643734!4d112.8003615!16s%2Fg%2F11gbldlfkz!19sChIJ3-ulmQL61y0RaKmoGLLNajc?authuser=0&amp;hl=zh-TW&amp;rclk=1</t>
  </si>
  <si>
    <t>Taman Grand Harvest - Harvestory park</t>
  </si>
  <si>
    <t>Taman Grand Harvest – Harvestory Park merupakan taman rekreasi terbuka yang menawarkan perpaduan area hijau, danau buatan, serta fasilitas ramah keluarga di kawasan Surabaya Barat. Suasana yang tenang dan tertata membuat taman ini cocok untuk berolahraga, berjalan santai, bermain bersama anak, maupun menikmati waktu luang di ruang terbuka. Keindahan lanskap dan berbagai spot menarik di sekitar danau juga menjadikannya lokasi yang populer untuk fotografi dan bersantai pada sore hari.</t>
  </si>
  <si>
    <t>Taman Kota, Outdoor, Danau, Nature, Family Friendly, Kids Friendly, Aesthetic, Instagramable, Healing, Santai, Jogging, Walking Track, Piknik, Fotografi, Spot Foto, Sunset Spot, Ruang Terbuka Hijau, Rekreasi Keluarga, Community Space, Urban Tourism, Sejuk, Ramah Anak, Wisata Gratis, Surabaya Barat.</t>
  </si>
  <si>
    <t>-7.3311981, 112.6945173</t>
  </si>
  <si>
    <t>https://www.google.com/maps/place/Taman+Grand+Harvest+-+Harvestory+Park/data=!4m7!3m6!1s0x2dd7fd9449f741c7:0x76a8e1c7a7219f1!8m2!3d-7.3311981!4d112.6945173!16s%2Fg%2F11k9mzjnyg!19sChIJx0H3SZT91y0R8RlyehyOagc?authuser=0&amp;hl=zh-TW&amp;rclk=1</t>
  </si>
  <si>
    <t>Kopi Rehat</t>
  </si>
  <si>
    <t>Kopi Rehat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</si>
  <si>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-7.3379189, 112.7140611</t>
  </si>
  <si>
    <t>https://www.google.com/maps/place/Kopi+Rehat/data=!4m7!3m6!1s0x2dd7fb11fbc671d9:0x1ff925f2b0e31b16!8m2!3d-7.3379189!4d112.7140611!16s%2Fg%2F11g4hqn0rz!19sChIJ2XHG-xH71y0RFhvjsPIl-R8?authuser=0&amp;hl=zh-TW&amp;rclk=1</t>
  </si>
  <si>
    <t>Kepiting Sby</t>
  </si>
  <si>
    <t>Kepiting Sby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</si>
  <si>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-7.2673684, 112.680199</t>
  </si>
  <si>
    <t>https://www.google.com/maps/place/Kepiting+Sby/data=!4m7!3m6!1s0x2dd7ffe7f9362387:0x1653c01f7d1993aa!8m2!3d-7.2673684!4d112.680199!16s%2Fg%2F11h371zt7q!19sChIJhyM2-ef_1y0RqpMZfR_AUxY?authuser=0&amp;hl=zh-TW&amp;rclk=1</t>
  </si>
  <si>
    <t>Moengkopi JiwARTspace</t>
  </si>
  <si>
    <t>Kafe unik yang lahir dari bar kecil dalam gedung kerja HNK Arsitektur, kini menjadi destinasi coffee shop artistik di Surabaya Timur. Interior menggabungkan sentuhan Jawa dan industrial modern dengan karya seni dari galeri jiwARTspace. Pengunjung diwajibkan melepas sandal sebagai bagian dari konsep uniknya.</t>
  </si>
  <si>
    <t>Cafe, Coffee, Art Space, Galeri Seni, Industrial, Jawa Vintage, Cozy, Tenang, Es Kopi Sogem, Surabaya Timur</t>
  </si>
  <si>
    <t>-7.324848968068977, 112.79463186441804</t>
  </si>
  <si>
    <t>-7,324848968068977</t>
  </si>
  <si>
    <t>112,79463186441804</t>
  </si>
  <si>
    <t>https://www.google.com/maps/place/Moengkopi+JiwARTspace/@-7.325115,112.7946265,17z/data=!3m1!4b1!4m6!3m5!1s0x2dd7faa4b7138427:0x5d3f0c82d93414dc!8m2!3d-7.325115!4d112.7946265!16s%2Fg%2F11fy4kkx22?entry=ttu&amp;g_ep=EgoyMDI2MDYyOS4wIKXMDSoASAFQAw%3D%3D</t>
  </si>
  <si>
    <t>Chamas Brazilian Churrascaria Surabaya</t>
  </si>
  <si>
    <t>Chamas Brazilian Churrascaria Surabaya menawarkan hidangan bergaya Brasil dengan menu grill dan daging panggang sebagai andalan utamanya. Tempat ini menjadi pilihan unik bagi warga Surabaya yang ingin mencicipi cita rasa internasional. Suasana tempatnya yang nyaman cocok untuk makan bersama keluarga maupun kolega.</t>
  </si>
  <si>
    <t>Restoran Brasil, Kuliner Barat, Grill, Menu Internasional, Suasana Nyaman, Surabaya.</t>
  </si>
  <si>
    <t>-7.286151, 112.6993219</t>
  </si>
  <si>
    <t>https://www.google.com/maps/place/Chamas+Brazilian+Churrascaria+Surabaya/data=!4m7!3m6!1s0x2dd7fdf25edf26bd:0xdaa21bae25492556!8m2!3d-7.286151!4d112.6993219!16s%2Fg%2F11gv0qclvv!19sChIJvSbfXvL91y0RViVJJa4boto?authuser=0&amp;hl=zh-TW&amp;rclk=1</t>
  </si>
  <si>
    <t>Penyetan Joss Kendangsari</t>
  </si>
  <si>
    <t>Penyetan Joss Kendangsari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</si>
  <si>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-7.323501, 112.7450202</t>
  </si>
  <si>
    <t>https://www.google.com/maps/place/Penyetan+Joss+Kendangsari/data=!4m7!3m6!1s0x2dd7fb303bb0376b:0xdab4975afa998b83!8m2!3d-7.323501!4d112.7450202!16s%2Fg%2F11r___9vw_!19sChIJazewOzD71y0Rg4uZ-lqXtNo?authuser=0&amp;hl=zh-TW&amp;rclk=1</t>
  </si>
  <si>
    <t>Ikan Bakar Jimbaran - MERR</t>
  </si>
  <si>
    <t>Ikan Bakar Jimbaran - MERR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</si>
  <si>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-7.2962376, 112.7821927</t>
  </si>
  <si>
    <t>https://www.google.com/maps/place/Ikan+Bakar+Jimbaran+-+MERR/data=!4m7!3m6!1s0x2dd7fb90720c959b:0xd92194c36f0a6f16!8m2!3d-7.2962376!4d112.7821927!16s%2Fg%2F11q4089g96!19sChIJm5UMcpD71y0RFm8Kb8OUIdk?authuser=0&amp;hl=zh-TW&amp;rclk=1</t>
  </si>
  <si>
    <t>Seafood Choy 777 Surabaya</t>
  </si>
  <si>
    <t>Seafood Choy 777 Surabaya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</si>
  <si>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-7.2984099, 112.759588</t>
  </si>
  <si>
    <t>https://www.google.com/maps/place/Seafood+Choy+777+Surabaya/data=!4m7!3m6!1s0x2dd7fb001ed5edc9:0xb75f3c096b4d8d55!8m2!3d-7.2984099!4d112.759588!16s%2Fg%2F11zksnfjk_!19sChIJye3VHgD71y0RVY1Nawk8X7c?authuser=0&amp;hl=zh-TW&amp;rclk=1</t>
  </si>
  <si>
    <t>Cak So Soto Ayam Lamongan</t>
  </si>
  <si>
    <t>Cak So Soto Ayam Lamongan menyajikan soto ayam dengan kuah kuning berempah yang gurih dan segar, dilengkapi suwiran ayam serta pelengkap khas Nusantara. Tempat ini menjadi pilihan favorit untuk sarapan maupun makan siang di kawasan Surabaya. Cita rasa rempahnya yang kental membuat pengunjung kerap datang kembali.</t>
  </si>
  <si>
    <t>-7.2885189, 112.7118234</t>
  </si>
  <si>
    <t>https://www.google.com/maps/place/Cak+So+Soto+Ayam+Lamongan/data=!4m7!3m6!1s0x2dd7fc0b2c95c8b5:0x363d40842c8881f!8m2!3d-7.2885189!4d112.7118234!16s%2Fg%2F11ggr6wd17!19sChIJtciVLAv81y0RH4jIQgjUYwM?authuser=0&amp;hl=zh-TW&amp;rclk=1</t>
  </si>
  <si>
    <t>Penyetan Cak Mas</t>
  </si>
  <si>
    <t>Penyetan Cak Mas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</si>
  <si>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.4.7</t>
  </si>
  <si>
    <t>-7.2907207, 112.7094514</t>
  </si>
  <si>
    <t>https://www.google.com/maps/place/Penyetan+Cak+Mas/data=!4m7!3m6!1s0x2dd7fd1f64130947:0xe28f66938ca48d0a!8m2!3d-7.2907207!4d112.7094514!16s%2Fg%2F11t341vsby!19sChIJRwkTZB_91y0RCo2kjJNmj-I?authuser=0&amp;hl=zh-TW&amp;rclk=1</t>
  </si>
  <si>
    <t>Soto Ayam Lamongan Bu Chamim</t>
  </si>
  <si>
    <t>Soto Ayam Lamongan Bu Chamim menyajikan soto ayam dengan kuah kuning berempah yang gurih dan segar, dilengkapi suwiran ayam serta pelengkap khas Nusantara. Tempat ini menjadi pilihan favorit untuk sarapan maupun makan siang di kawasan Surabaya. Cita rasa rempahnya yang kental membuat pengunjung kerap datang kembali.</t>
  </si>
  <si>
    <t>-7.2848715, 112.7154187</t>
  </si>
  <si>
    <t>https://www.google.com/maps/place/Soto+Ayam+Lamongan+Bu+Chamim/data=!4m7!3m6!1s0x2dd7fbf58bb81353:0x261d30e9975fc94d!8m2!3d-7.2848715!4d112.7154187!16s%2Fg%2F11bz_24xkz!19sChIJUxO4i_X71y0RTclfl-kwHSY?authuser=0&amp;hl=zh-TW&amp;rclk=1</t>
  </si>
  <si>
    <t>Bakso Urat Kikil Pak Kumis Solo</t>
  </si>
  <si>
    <t>Warung simpel yang menyajikan hidangan bakso klasik di tempat minimalis.</t>
  </si>
  <si>
    <t>Restoran Bakso</t>
  </si>
  <si>
    <t>-7.2764012, 112.7358155</t>
  </si>
  <si>
    <t>https://www.google.com/maps/place/Bakso+Urat+Kikil+Pak+Kumis+Solo/data=!4m7!3m6!1s0x2dd7fbe64a6a1ab5:0x3dc52c6693f69dba!8m2!3d-7.2764012!4d112.7358155!16s%2Fg%2F1hm3kvklz!19sChIJtRpqSub71y0Rup32k2YsxT0?authuser=0&amp;hl=zh-TW&amp;rclk=1</t>
  </si>
  <si>
    <t>Bakso Super Daging Asli Pak Jhon</t>
  </si>
  <si>
    <t>Bakso Super Daging Asli Pak Jhon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</si>
  <si>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-7.2980104, 112.7287321</t>
  </si>
  <si>
    <t>https://www.google.com/maps/place/Bakso+Super+Daging+Asli+Pak+Jhon/data=!4m7!3m6!1s0x2dd7fbca899be2b9:0x7957f4fd46be9507!8m2!3d-7.2980104!4d112.7287321!16s%2Fg%2F11rsh0pfws!19sChIJueKbicr71y0RB5W-Rv30V3k?authuser=0&amp;hl=zh-TW&amp;rclk=1</t>
  </si>
  <si>
    <t>Ekowisata Mangrove Wonorejo</t>
  </si>
  <si>
    <t>Fasilitas yang menawarkan wahana perahu melewati hutan mangrove, dengan masjid &amp; pedagang batik.</t>
  </si>
  <si>
    <t>Tujuan Wisata</t>
  </si>
  <si>
    <t>-7.3073636, 112.8232904</t>
  </si>
  <si>
    <t>https://www.google.com/maps/place/Mangrove+Wonorejo+Ecotourism/data=!4m7!3m6!1s0x2dd7f064d69009bd:0xb47f9fdd085dae10!8m2!3d-7.3073636!4d112.8232904!16s%2Fg%2F11g9w5qv7m!19sChIJvQmQ1mTw1y0REK5dCN2ff7Q?authuser=0&amp;hl=zh-TW&amp;rclk=1</t>
  </si>
  <si>
    <t>Wisata Kuliner PELANGI NUSANTARA</t>
  </si>
  <si>
    <t>Wisata Kuliner PELANGI NUSANTARA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</si>
  <si>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-7.2709262, 112.7352418</t>
  </si>
  <si>
    <t>https://www.google.com/maps/place/Wisata+Kuliner+PELANGI+NUSANTARA/data=!4m7!3m6!1s0x2dd7fbb9e139cc13:0x6281114b11f86c56!8m2!3d-7.2709262!4d112.7352418!16s%2Fg%2F11rqs71_31!19sChIJE8w54bn71y0RVmz4EUsRgWI?authuser=0&amp;hl=zh-TW&amp;rclk=1</t>
  </si>
  <si>
    <t>Sentra Kuliner RMI</t>
  </si>
  <si>
    <t>Sentra Kuliner RMI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</si>
  <si>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-7.295064, 112.7612661</t>
  </si>
  <si>
    <t>https://www.google.com/maps/place/Sentra+Kuliner+RMI/data=!4m7!3m6!1s0x2dd7fbb0dca5f7c1:0xed69f649c1f79788!8m2!3d-7.295064!4d112.7612661!16s%2Fg%2F11bwfl4z6n!19sChIJwfel3LD71y0RiJf3wUn2ae0?authuser=0&amp;hl=zh-TW&amp;rclk=1</t>
  </si>
  <si>
    <t>Soto Ayam Kedung Doro Cak Nasim</t>
  </si>
  <si>
    <t>Soto Ayam Kedung Doro Cak Nasim menyajikan soto ayam dengan kuah kuning berempah yang gurih dan segar, dilengkapi suwiran ayam serta pelengkap khas Nusantara. Tempat ini menjadi pilihan favorit untuk sarapan maupun makan siang di kawasan Surabaya. Cita rasa rempahnya yang kental membuat pengunjung kerap datang kembali.</t>
  </si>
  <si>
    <t>-7.259535, 112.7328812</t>
  </si>
  <si>
    <t>https://www.google.com/maps/place/Soto+Ayam+Kedung+Doro+Cak+Nasim/data=!4m7!3m6!1s0x2dd7f95c81befc25:0x56ba4956b80933c1!8m2!3d-7.259535!4d112.7328812!16s%2Fg%2F11hbr44bsf!19sChIJJfy-gVz51y0RwTMJuFZJulY?authuser=0&amp;hl=zh-TW&amp;rclk=1</t>
  </si>
  <si>
    <t>Sentra Wisata Kuliner Urip Sumoharjo</t>
  </si>
  <si>
    <t>Sentra Wisata Kuliner Urip Sumoharjo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</si>
  <si>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-7.2747433, 112.7415447</t>
  </si>
  <si>
    <t>https://www.google.com/maps/place/Foodcourt+Urip+Sumoharjo/data=!4m7!3m6!1s0x2dd7fbdd1cc165e9:0xdd353d00a826c0e8!8m2!3d-7.2747433!4d112.7415447!16s%2Fg%2F11bvt1ndfb!19sChIJ6WXBHN371y0R6MAmqAA9Nd0?authuser=0&amp;hl=zh-TW&amp;rclk=1</t>
  </si>
  <si>
    <t>Aroma Coto Gagak Cabang Surabaya</t>
  </si>
  <si>
    <t>Aroma Coto Gagak Cabang Surabaya menyajikan hidangan khas Sulawesi Selatan dengan cita rasa rempah yang kuat dan autentik. Tempat ini menjadi pilihan menarik bagi warga Surabaya yang ingin mencicipi kuliner khas dari luar Jawa. Menu-menunya yang khas membuat pengalaman bersantap terasa berbeda dari biasanya.</t>
  </si>
  <si>
    <t>Restoran Sulawesi Selatan, Kuliner Sulawesi, Masakan Bugis Makassar, Menu Tradisional, Cita Rasa Autentik, Surabaya.</t>
  </si>
  <si>
    <t>-7.2919495, 112.7243631</t>
  </si>
  <si>
    <t>https://www.google.com/maps/place/Aroma+Coto+Gagak+Cabang+Surabaya/data=!4m7!3m6!1s0x2dd7fbea2908ec09:0x6a69d715c45fa515!8m2!3d-7.2919495!4d112.7243631!16s%2Fg%2F11stgftkvw!19sChIJCewIKer71y0RFaVfxBXXaWo?authuser=0&amp;hl=zh-TW&amp;rclk=1</t>
  </si>
  <si>
    <t>Warung Prasmanan Shafira</t>
  </si>
  <si>
    <t>Warung Prasmanan Shafira menawarkan konsep makan prasmanan dengan aneka pilihan lauk pauk rumahan yang bisa dipilih sesuai selera. Tempat ini menjadi favorit warga Surabaya yang menginginkan menu makan siang praktis dan mengenyangkan. Variasi menunya yang berganti setiap hari membuat pengunjung punya banyak pilihan.</t>
  </si>
  <si>
    <t>Restoran Prasmanan, Prasmanan, Menu Rumahan, Aneka Lauk, Warung Keluarga, Harga Terjangkau, Surabaya.</t>
  </si>
  <si>
    <t>-7.2743434, 112.7527633</t>
  </si>
  <si>
    <t>https://www.google.com/maps/place/Warung+Prasmanan+Shafira/data=!4m7!3m6!1s0x2dd7fbd02cb28525:0xa0fb6203e75de12a!8m2!3d-7.2743434!4d112.7527633!16s%2Fg%2F11bwf7_t8n!19sChIJJYWyLND71y0RKuFd5wNi-6A?authuser=0&amp;hl=zh-TW&amp;rclk=1</t>
  </si>
  <si>
    <t>Kopi Nako Daur Baur - Surabaya</t>
  </si>
  <si>
    <t>Kopi Nako Daur Baur - Surabaya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</si>
  <si>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-7.2755699, 112.7460441</t>
  </si>
  <si>
    <t>https://www.google.com/maps/place/Kopi+Nako+Daur+Baur+-+Surabaya/data=!4m7!3m6!1s0x2dd7fb1a57a7c373:0x158af67d017ebdef!8m2!3d-7.2755699!4d112.7460441!16s%2Fg%2F11l_0drb_w!19sChIJc8OnVxr71y0R771-AX32ihU?authuser=0&amp;hl=zh-TW&amp;rclk=1</t>
  </si>
  <si>
    <t>Wisata Kuliner Malam Surabaya</t>
  </si>
  <si>
    <t>Wisata Kuliner Malam Surabaya adalah kafetaria yang menyediakan berbagai menu makanan dan minuman praktis untuk santap cepat. Tempat ini menjadi pilihan warga Surabaya yang membutuhkan makan siang atau camilan dengan waktu terbatas. Konsep penyajiannya yang sederhana memudahkan pengunjung memilih menu sesuai selera.</t>
  </si>
  <si>
    <t>Kafetaria, Menu Praktis, Makan Cepat, Harga Terjangkau, Surabaya.</t>
  </si>
  <si>
    <t>-7.268225, 112.6652151</t>
  </si>
  <si>
    <t>https://www.google.com/maps/place/Wisata+Kuliner+Malam+Surabaya/data=!4m7!3m6!1s0x2dd7fe7e4af91e69:0x8cbf07926f00c7e3!8m2!3d-7.268225!4d112.6652151!16s%2Fg%2F11dxkw4zbm!19sChIJaR75Sn7-1y0R48cAb5IHv4w?authuser=0&amp;hl=zh-TW&amp;rclk=1</t>
  </si>
  <si>
    <t>Zangrandi Ice Cream - Yos Sudarso</t>
  </si>
  <si>
    <t>Tempat berkumpul yang nyaman dengan suasana santai yang menyajikan berbagai macam kreasi makanan beku.</t>
  </si>
  <si>
    <t>Toko Es Krim</t>
  </si>
  <si>
    <t>20000-50000</t>
  </si>
  <si>
    <t>-7.2634139, 112.7461219</t>
  </si>
  <si>
    <t>https://www.google.com/maps/place/Zangrandi+Ice+Cream+-+Yos+Sudarso/data=!4m7!3m6!1s0x2dd7f963c5e023b5:0x1c6d9f1e4bb8fbbb!8m2!3d-7.2634139!4d112.7461219!16s%2Fg%2F1hc15fzln!19sChIJtSPgxWP51y0Ru_u4Sx6fbRw?authuser=0&amp;hl=zh-TW&amp;rclk=1</t>
  </si>
  <si>
    <t>Coffee Toffee Taman Apsari</t>
  </si>
  <si>
    <t>Coffee Toffee Taman Apsari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</si>
  <si>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Restoran, Cafe, Coffee Shop, Nongkrong, Hangout, Work From Cafe, Aesthetic, Indoor, Menu Kekinian, Surabaya.</t>
  </si>
  <si>
    <t>25000-5000</t>
  </si>
  <si>
    <t>-7.2638516, 112.7433775</t>
  </si>
  <si>
    <t>https://www.google.com/maps/place/Coffee+Toffee+Apsari+Grahadi/data=!4m7!3m6!1s0x2dd7fa2fc1a83ad5:0x1af37aad0f30d0ba!8m2!3d-7.2638516!4d112.7433775!16s%2Fg%2F1hc1snx8k!19sChIJ1TqowS_61y0RutAwD6168xo?authuser=0&amp;hl=zh-TW&amp;rclk=1</t>
  </si>
  <si>
    <t>Waduk Kedurus</t>
  </si>
  <si>
    <t>Waduk Kedurus merupakan kawasan rekreasi alam yang menawarkan suasana asri dan udara segar jauh dari hiruk pikuk kota. Tempat ini cocok dikunjungi warga Surabaya yang ingin healing sambil menikmati pemandangan alam. Berbagai spot foto dan area terbuka membuatnya nyaman untuk dikunjungi bersama keluarga.</t>
  </si>
  <si>
    <t>Area Rekreasi Alam, Wisata Alam, Outdoor, Healing, Family Friendly, Spot Foto, Rekreasi, Surabaya.</t>
  </si>
  <si>
    <t>-7.3222072, 112.7038626</t>
  </si>
  <si>
    <t>https://www.google.com/maps/place/Waduk+Kedurus/data=!4m7!3m6!1s0x2dd7fd9aa00c4289:0xf8cd6c653c149bea!8m2!3d-7.3222072!4d112.7038626!16s%2Fg%2F11j01h5b_y!19sChIJiUIMoJr91y0R6psUPGVszfg?authuser=0&amp;hl=zh-TW&amp;rclk=1</t>
  </si>
  <si>
    <t>Bakso Solo &amp; Mie Ayam Bakso Goyang Lidah Pak Tris</t>
  </si>
  <si>
    <t>Bakso Solo &amp; Mie Ayam Bakso Goyang Lidah Pak Tris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</si>
  <si>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-7.2926469, 112.7417471</t>
  </si>
  <si>
    <t>https://www.google.com/maps/place/Bakso+Solo+%26+Mie+Ayam+Bakso+Goyang+Lidah+Pak+Tris/data=!4m7!3m6!1s0x2dd7fbbdce9d44cb:0xb48d35303f9cad9d!8m2!3d-7.2926469!4d112.7417471!16s%2Fg%2F1hm44yjdq!19sChIJy0Sdzr371y0Rna2cPzA1jbQ?authuser=0&amp;hl=zh-TW&amp;rclk=1</t>
  </si>
  <si>
    <t>Bebek Donal KedungDoro</t>
  </si>
  <si>
    <t>Bebek Donal KedungDoro adalah tempat kuliner yang menyajikan menu andalan dengan cita rasa khas yang digemari warga Surabaya. Tempat ini cocok dijadikan pilihan makan santai bersama keluarga maupun teman. Pelayanan yang ramah dan harga yang terjangkau menjadi daya tarik tersendiri.</t>
  </si>
  <si>
    <t>-7.3162677, 112.7048635</t>
  </si>
  <si>
    <t>https://www.google.com/maps/place/Bebek+Donal+KedungDoro/data=!4m7!3m6!1s0x2dd7f92c976dc78b:0x3a7e611345e1d2c1!8m2!3d-7.3162677!4d112.7048635!16s%2Fg%2F11qzpn279w!19sChIJi8dtlyz51y0RwdLhRRNhfjo?authuser=0&amp;hl=zh-TW&amp;rclk=1</t>
  </si>
  <si>
    <t>Bakso Tengkleng Suroboyo (BTS)</t>
  </si>
  <si>
    <t>Bakso Tengkleng Suroboyo (BTS)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</si>
  <si>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-7.2798577, 112.7188516</t>
  </si>
  <si>
    <t>https://www.google.com/maps/place/Bakso+Tengkleng+Suroboyo+%28BTS%29/data=!4m7!3m6!1s0x2dd7fbf9df49d9f7:0x18f84fb1ee127b0!8m2!3d-7.2798577!4d112.7188516!16s%2Fg%2F11hd9br1pr!19sChIJ99lJ3_n71y0RsCfhHvuEjwE?authuser=0&amp;hl=zh-TW&amp;rclk=1</t>
  </si>
  <si>
    <t>Pecel Ponorogo Hj. Boeyatin</t>
  </si>
  <si>
    <t>Pecel Ponorogo Hj. Boeyatin menyajikan hidangan khas Jawa dengan cita rasa gurih dan rempah yang autentik. Menu-menunya menjadi favorit warga Surabaya yang mencari cita rasa masakan tradisional. Suasana warungnya yang sederhana membuat pengunjung merasa nyaman menikmati hidangan seperti di rumah.</t>
  </si>
  <si>
    <t>-7.2615223, 112.7476246</t>
  </si>
  <si>
    <t>https://www.google.com/maps/place/Pecel+Ponorogo+Hj.+Boeyatin/data=!4m7!3m6!1s0x2dd7f964806dce51:0x645d48df3234c09d!8m2!3d-7.2615223!4d112.7476246!16s%2Fg%2F11bx43h2wn!19sChIJUc5tgGT51y0RncA0Mt9IXWQ?authuser=0&amp;hl=zh-TW&amp;rclk=1</t>
  </si>
  <si>
    <t>Museum Teknoform - Universitas DINAMIKA</t>
  </si>
  <si>
    <t>Museum teknologi informasi pertama di Indonesia, diresmikan 27 November 2017 oleh Wali Kota Surabaya. Mengoleksi perangkat teknologi dari berbagai era, mulai dari kalkulator mekanik tahun 1920, mesin ketik, komputer generasi awal, hingga kacamata Virtual Reality. Koleksi tertua berupa Addiator buatan 1920.</t>
  </si>
  <si>
    <t>Museum, Teknologi Informasi, Edukasi, Sejarah Teknologi, IT, Wisata Gratis, Family Friendly, Kids Friendly, Surabaya Timur</t>
  </si>
  <si>
    <t>Sabtu dan Minggu</t>
  </si>
  <si>
    <t>-7.3111932431261035, 112.78217947790979</t>
  </si>
  <si>
    <t>-7,3111932431261035</t>
  </si>
  <si>
    <t>112,78217947790979</t>
  </si>
  <si>
    <t>https://www.google.com/maps/place/Museum+Teknoform+-+Universitas+DINAMIKA/@-7.311438,112.7822063,17z/data=!3m1!4b1!4m6!3m5!1s0x2dd7faf3b896b79f:0xe1549ebf8ec62096!8m2!3d-7.311438!4d112.7822063!16s%2Fg%2F11gf0z7l24?entry=ttu&amp;g_ep=EgoyMDI2MDYyOS4wIKXMDSoASAFQAw%3D%3D</t>
  </si>
  <si>
    <t>Mie Ayam Nusantara</t>
  </si>
  <si>
    <t>Mie Ayam Nusantara menawarkan hidangan mie ayam dengan pangsit khas yang menjadi favorit banyak pelanggan setianya. Racikan bumbu dan kuahnya yang gurih membuat tempat ini selalu ramai dikunjungi warga Surabaya. Cocok dijadikan pilihan makan siang atau malam dengan harga yang bersahabat.</t>
  </si>
  <si>
    <t>-7.278608, 112.72055</t>
  </si>
  <si>
    <t>https://www.google.com/maps/place/Mie+Ayam+Nusantara/data=!4m7!3m6!1s0x2dd7fbf750f760f9:0xe811991f6d43e4f9!8m2!3d-7.278608!4d112.72055!16s%2Fg%2F11ggr7d6jd!19sChIJ-WD3UPf71y0R-eRDbR-ZEeg?authuser=0&amp;hl=zh-TW&amp;rclk=1</t>
  </si>
  <si>
    <t>The Oak Tree Surabaya</t>
  </si>
  <si>
    <t>The Oak Tree Surabaya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</si>
  <si>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-7.2808387, 112.6968022</t>
  </si>
  <si>
    <t>https://www.google.com/maps/place/The+Oak+Tree+Surabaya/data=!4m7!3m6!1s0x2dd7fd6a7d2bb3e3:0xd35448dd1d7417b!8m2!3d-7.2808387!4d112.6968022!16s%2Fg%2F11h70s73n0!19sChIJ47MrfWr91y0Re0HX0Y1ENQ0?authuser=0&amp;hl=zh-TW&amp;rclk=1</t>
  </si>
  <si>
    <t>Warung Mbak Nar</t>
  </si>
  <si>
    <t>Warung Mbak Nar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</si>
  <si>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Senin-sabtu</t>
  </si>
  <si>
    <t>-7.3294662, 112.7906868</t>
  </si>
  <si>
    <t>https://www.google.com/maps/place/Warung+Mbak+Nar/data=!4m7!3m6!1s0x2dd7fabece71bdbd:0xf3fe9711f20c151e!8m2!3d-7.3294662!4d112.7906868!16s%2Fg%2F11bxc7kbr1!19sChIJvb1xzr761y0RHhUM8hGX_vM?authuser=0&amp;hl=zh-TW&amp;rclk=1</t>
  </si>
  <si>
    <t>Bebek Sinjay A. Yani</t>
  </si>
  <si>
    <t>Cabang Surabaya dari kuliner bebek Madura terkenal yang menyajikan bebek goreng renyah dengan sambal pencit khas yang segar dan pedas.</t>
  </si>
  <si>
    <t>Bebek Goreng, Bebek Madura, Sambal Pencit, Kuliner Khas Madura, Halal, Keluarga, Surabaya</t>
  </si>
  <si>
    <t>-7.327857680352759, 112.73202985525755</t>
  </si>
  <si>
    <t>https://www.google.com/maps/place/Bebek+Sinjay+-+Ahmad+Yani/@-7.3280587,112.732034,17z/data=!3m1!4b1!4m6!3m5!1s0x2dd7fb420b99e4ab:0x637dfa5d00c79d21!8m2!3d-7.3280587!4d112.732034!16s%2Fg%2F11b6lgw2js?entry=ttu&amp;g_ep=EgoyMDI2MDYyOS4wIKXMDSoASAFQAw%3D%3D</t>
  </si>
  <si>
    <t>Kikil Sapi Bronggalan</t>
  </si>
  <si>
    <t>Kikil Sapi Bronggalan menghadirkan aneka masakan khas Jawa Timur dengan cita rasa rumahan yang autentik. Menu-menu tradisionalnya menjadi daya tarik bagi pengunjung yang rindu akan cita rasa kuliner lokal di Surabaya. Tempat ini cocok untuk makan siang maupun makan malam bersama keluarga.</t>
  </si>
  <si>
    <t>-7.2570304, 112.7647202</t>
  </si>
  <si>
    <t>https://www.google.com/maps/place/Kikil+Sapi+Bronggalan/data=!4m7!3m6!1s0x2dd7f982c1f695c3:0xb2f3a96d31761210!8m2!3d-7.2570304!4d112.7647202!16s%2Fg%2F11c606wj2l!19sChIJw5X2wYL51y0REBJ2MW2p87I?authuser=0&amp;hl=zh-TW&amp;rclk=1</t>
  </si>
  <si>
    <t>Bakso Urat Lumintu Om Sugeng</t>
  </si>
  <si>
    <t>Bakso Urat Lumintu Om Sugeng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</si>
  <si>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-7.2931879, 112.7328471</t>
  </si>
  <si>
    <t>https://www.google.com/maps/place/Bakso+Urat+Lumintu+Om+Sugeng/data=!4m7!3m6!1s0x2dd7fb914df40035:0x370062e8321f9429!8m2!3d-7.2931879!4d112.7328471!16s%2Fg%2F11g029_lbc!19sChIJNQD0TZH71y0RKZQfMuhiADc?authuser=0&amp;hl=zh-TW&amp;rclk=1</t>
  </si>
  <si>
    <t>TOMORO COFFEE - GRAND HARVEST SURABAYA</t>
  </si>
  <si>
    <t>TOMORO COFFEE - GRAND HARVEST SURABAYA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</si>
  <si>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-7.3304813, 112.6940546</t>
  </si>
  <si>
    <t>https://www.google.com/maps/place/TOMORO+COFFEE+-+GRAND+HARVEST+SURABAYA/data=!4m7!3m6!1s0x2dd7fd0a119a708f:0x502acaf82e11964e!8m2!3d-7.3304813!4d112.6940546!16s%2Fg%2F11m6p8k92r!19sChIJj3CaEQr91y0RTpYRLvjKKlA?authuser=0&amp;hl=zh-TW&amp;rclk=1</t>
  </si>
  <si>
    <t>Warung 17</t>
  </si>
  <si>
    <t>Warung 17 menyajikan pecel lele dengan lele goreng renyah dan sambal khas yang pedas menggugah selera. Warung ini menjadi favorit warga Surabaya untuk makan malam dengan harga yang terjangkau. Suasana warung kaki lima yang sederhana namun selalu ramai pengunjung setianya.</t>
  </si>
  <si>
    <t>Restoran Pecel Lele, Pecel Lele, Lele Goreng, Sambal Khas, Warung Kaki Lima, Harga Terjangkau, Surabaya.</t>
  </si>
  <si>
    <t>-7.3173083, 112.7629097</t>
  </si>
  <si>
    <t>https://www.google.com/maps/place/Warung+17/data=!4m7!3m6!1s0x2dd7fae286ee7f99:0xf91b631bc126ee7d!8m2!3d-7.3173083!4d112.7629097!16s%2Fg%2F11bxfqf281!19sChIJmX_uhuL61y0Rfe4mwRtjG_k?authuser=0&amp;hl=zh-TW&amp;rclk=1</t>
  </si>
  <si>
    <t>Kogu Space</t>
  </si>
  <si>
    <t>Kogu Space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</si>
  <si>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-7.2623458, 112.7402984</t>
  </si>
  <si>
    <t>https://www.google.com/maps/place/BEBEK+SEMANGAT+TUNJUNGAN+PLAZA-2/data=!4m7!3m6!1s0x2dd7f9afa62c84b3:0x474bb77bb057fe9d!8m2!3d-7.2623458!4d112.7402984!16s%2Fg%2F11m6d7r_0d!19sChIJs4Qspq_51y0Rnf5XsHu3S0c?authuser=0&amp;hl=zh-TW&amp;rclk=1</t>
  </si>
  <si>
    <t>RAWON CACA</t>
  </si>
  <si>
    <t>RAWON CACA adalah warung nasi sederhana yang menyajikan berbagai lauk pauk rumahan dengan konsep prasmanan yang praktis. Tempat ini banyak dikunjungi warga Surabaya yang mencari makanan mengenyangkan dengan harga terjangkau. Menu yang berganti setiap hari membuat pengunjung tidak bosan untuk kembali.</t>
  </si>
  <si>
    <t>Warung nasi, Masakan Rumahan, Menu Prasmanan, Harga Terjangkau, Comfort Food, Surabaya.</t>
  </si>
  <si>
    <t>-7.3230784, 112.7703778</t>
  </si>
  <si>
    <t>https://www.google.com/maps/place/RAWON+CACA/data=!4m7!3m6!1s0x2dd7fb49ef3f4ca9:0xb143966c57e74488!8m2!3d-7.3230784!4d112.7703778!16s%2Fg%2F11tnl7qys0!19sChIJqUw_70n71y0RiETnV2yWQ7E?authuser=0&amp;hl=zh-TW&amp;rclk=1</t>
  </si>
  <si>
    <t>Warung Sate Buk Mis</t>
  </si>
  <si>
    <t>Warung Sate Buk Mis menyajikan sate dengan bumbu kacang khas yang gurih, dipanggang di atas bara hingga aromanya menggugah selera. Menu ini menjadi favorit warga Surabaya untuk santap malam maupun acara kumpul bersama. Cita rasa dan kualitas dagingnya menjadikan tempat ini banyak direkomendasikan pencinta kuliner sate.</t>
  </si>
  <si>
    <t>-7.2628288, 112.7598266</t>
  </si>
  <si>
    <t>https://www.google.com/maps/place/Warung+Sate+Buk+Mis/data=!4m7!3m6!1s0x2dd7f97ee2d3ed53:0xb3fba3d7fa54a9c1!8m2!3d-7.2628288!4d112.7598266!16s%2Fg%2F11c0q0q4yb!19sChIJU-3T4n751y0RwalU-tej-7M?authuser=0&amp;hl=zh-TW&amp;rclk=1</t>
  </si>
  <si>
    <t>ARAH Coffe Kertajaya</t>
  </si>
  <si>
    <t>Tempat makan santai dengan teras rindang dan menu khas sup ayam tradisional.</t>
  </si>
  <si>
    <t>Restoran Soto Ayam</t>
  </si>
  <si>
    <t>-7.2957171, 112.7813592</t>
  </si>
  <si>
    <t>https://www.google.com/maps/place/Soto+Ayam+Lamongan+CAK+HAR/data=!4m7!3m6!1s0x2dd7fa5caf3a40dd:0xaab82c00cb0d97d7!8m2!3d-7.2957171!4d112.7813592!16s%2Fg%2F11b6v0lymf!19sChIJ3UA6r1z61y0R15cNywAsuKo?authuser=0&amp;hl=zh-TW&amp;rclk=1</t>
  </si>
  <si>
    <t>Hollywood Surabaya</t>
  </si>
  <si>
    <t>Hollywood Surabaya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</si>
  <si>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25000-25000</t>
  </si>
  <si>
    <t>-7.3162762, 112.7352576</t>
  </si>
  <si>
    <t>https://www.google.com/maps/place/Hollywood+Surabaya/data=!4m7!3m6!1s0x2dd7fb7b35909f83:0x69315b922a804f57!8m2!3d-7.3162762!4d112.7352576!16s%2Fg%2F11p59fw7r5!19sChIJg5-QNXv71y0RV0-AKpJbMWk?authuser=0&amp;hl=zh-TW&amp;rclk=1</t>
  </si>
  <si>
    <t>Bebek Songkem H. Ahmad</t>
  </si>
  <si>
    <t>Bebek Songkem H. Ahmad menghadirkan aneka masakan khas Jawa Timur dengan cita rasa rumahan yang autentik. Menu-menu tradisionalnya menjadi daya tarik bagi pengunjung yang rindu akan cita rasa kuliner lokal di Surabaya. Tempat ini cocok untuk makan siang maupun makan malam bersama keluarga.</t>
  </si>
  <si>
    <t>-7.322962, 112.78073</t>
  </si>
  <si>
    <t>https://www.google.com/maps/place/Bebek+Songkem+H.+Ahmad/data=!4m7!3m6!1s0x2dd7fa214327a8eb:0xc6eb0541beb26285!8m2!3d-7.322962!4d112.78073!16s%2Fg%2F11cjhyxmfd!19sChIJ66gnQyH61y0RhWKyvkEF68Y?authuser=0&amp;hl=zh-TW&amp;rclk=1</t>
  </si>
  <si>
    <t>Warung Leko HR Muhammad</t>
  </si>
  <si>
    <t>Warung Leko HR Muhammad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</si>
  <si>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-7.2826462, 112.6862411</t>
  </si>
  <si>
    <t>https://www.google.com/maps/place/Warung+Leko+HR+Muhammad/data=!4m7!3m6!1s0x2dd7fc1441643e83:0xac78fc0b241307a!8m2!3d-7.2826462!4d112.6862411!16s%2Fg%2F11b6dnpf8t!19sChIJgz5kQRT81y0RejBBssCPxwo?authuser=0&amp;hl=zh-TW&amp;rclk=1</t>
  </si>
  <si>
    <t>Sidowareg Penyetan &amp; Ikan Bakar</t>
  </si>
  <si>
    <t>Sidowareg Penyetan &amp; Ikan Bakar menghadirkan menu fish and chips ala Barat dengan ikan goreng tepung renyah dan kentang goreng sebagai pelengkap. Tempat ini menjadi pilihan unik bagi warga Surabaya yang ingin mencicipi cita rasa western. Penyajiannya yang praktis cocok untuk makan siang santai.</t>
  </si>
  <si>
    <t>Restoran Fish &amp; Chips, Fish and Chips, Kuliner Barat, Menu Western, Ikan Goreng Tepung, Surabaya.</t>
  </si>
  <si>
    <t>-7.238965, 112.758405</t>
  </si>
  <si>
    <t>https://www.google.com/maps/place/Sidowareg+Penyetan+%26+Ikan+Bakar/data=!4m7!3m6!1s0x2dd7f909229f860f:0x370c77ea61c7f867!8m2!3d-7.238965!4d112.758405!16s%2Fg%2F1hc1y2hjv!19sChIJD4afIgn51y0RZ_jHYep3DDc?authuser=0&amp;hl=zh-TW&amp;rclk=1</t>
  </si>
  <si>
    <t>Bakso &amp; Mie Ayam Nariz</t>
  </si>
  <si>
    <t>Bakso &amp; Mie Ayam Nariz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</si>
  <si>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-7.272113, 112.714712</t>
  </si>
  <si>
    <t>https://www.google.com/maps/place/Bakso+%26+Mie+Ayam+Nariz/data=!4m7!3m6!1s0x2dd7fc0098905563:0x40bd1aab27ecb15!8m2!3d-7.272113!4d112.714712!16s%2Fg%2F11clzknt2h!19sChIJY1WQmAD81y0RFct-sqrRCwQ?authuser=0&amp;hl=zh-TW&amp;rclk=1</t>
  </si>
  <si>
    <t>Sate Kelopo Tiara</t>
  </si>
  <si>
    <t>Sate Kelopo Tiara menyajikan sate dengan bumbu kacang khas yang gurih, dipanggang di atas bara hingga aromanya menggugah selera. Menu ini menjadi favorit warga Surabaya untuk santap malam maupun acara kumpul bersama. Cita rasa dan kualitas dagingnya menjadikan tempat ini banyak direkomendasikan pencinta kuliner sate.</t>
  </si>
  <si>
    <t>-7.2605199, 112.7598766</t>
  </si>
  <si>
    <t>https://www.google.com/maps/place/Sate+Kelopo+Tiara/data=!4m7!3m6!1s0x2dd7f97929c416ad:0xf4e35992c767d559!8m2!3d-7.2605199!4d112.7598766!16s%2Fg%2F11bwkdqtly!19sChIJrRbEKXn51y0RWdVnx5JZ4_Q?authuser=0&amp;hl=zh-TW&amp;rclk=1</t>
  </si>
  <si>
    <t>RAWON PINGGIR EMBONG</t>
  </si>
  <si>
    <t>RAWON PINGGIR EMBONG adalah warung nasi sederhana yang menyajikan berbagai lauk pauk rumahan dengan konsep prasmanan yang praktis. Tempat ini banyak dikunjungi warga Surabaya yang mencari makanan mengenyangkan dengan harga terjangkau. Menu yang berganti setiap hari membuat pengunjung tidak bosan untuk kembali.</t>
  </si>
  <si>
    <t>15000-30000</t>
  </si>
  <si>
    <t>-7.2814117, 112.7716559</t>
  </si>
  <si>
    <t>https://www.google.com/maps/place/RAWON+PINGGIR+EMBONG/data=!4m7!3m6!1s0x2dd7fa372becce45:0xc58906aa8431e66a!8m2!3d-7.2814117!4d112.7716559!16s%2Fg%2F11gd4gtctj!19sChIJRc7sKzf61y0RauYxhKoGicU?authuser=0&amp;hl=zh-TW&amp;rclk=1</t>
  </si>
  <si>
    <t>Bubur Ayam Spensix Bang Salim</t>
  </si>
  <si>
    <t>Bubur Ayam Spensix Bang Salim menyajikan bubur hangat dengan berbagai pelengkap khas yang cocok dinikmati saat sarapan maupun makan malam. Tempat ini menjadi favorit warga Surabaya yang mencari menu ringan namun mengenyangkan. Cita rasanya yang gurih membuat pengunjung kerap kembali untuk menikmatinya.</t>
  </si>
  <si>
    <t>Restoran Bubur, Bubur Ayam, Sarapan, Menu Hangat, Warung Legendaris, Surabaya.</t>
  </si>
  <si>
    <t>-7.2734208, 112.7491549</t>
  </si>
  <si>
    <t>https://www.google.com/maps/place/Bubur+Ayam+Spensix+Bang+Salim/data=!4m7!3m6!1s0x2dd7fbdbb6b67de9:0x8923f9d442ce90a1!8m2!3d-7.2734208!4d112.7491549!16s%2Fg%2F11bwtwl211!19sChIJ6X22ttv71y0RoZDOQtT5I4k?authuser=0&amp;hl=zh-TW&amp;rclk=1</t>
  </si>
  <si>
    <t>Halaman 78</t>
  </si>
  <si>
    <t>Halaman 78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</si>
  <si>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-7.2564304, 112.7434309</t>
  </si>
  <si>
    <t>https://www.google.com/maps/place/Halaman+78/data=!4m7!3m6!1s0x2dd7f94651674125:0x9248d36128b30aa9!8m2!3d-7.2564304!4d112.7434309!16s%2Fg%2F11mcrr_qw0!19sChIJJUFnUUb51y0RqQqzKGHTSJI?authuser=0&amp;hl=zh-TW&amp;rclk=1</t>
  </si>
  <si>
    <t>Karaoke Executive, Bar &amp; Lounge</t>
  </si>
  <si>
    <t>Karaoke Executive, Bar &amp; Lounge menyediakan fasilitas karaoke yang cocok untuk hiburan bersama keluarga maupun teman. Tempat ini menjadi pilihan rekreasi indoor di Surabaya bagi yang ingin bersantai sambil bernyanyi. Ruangan yang nyaman dan fasilitas audio yang mendukung menambah pengalaman bernyanyi yang menyenangkan.</t>
  </si>
  <si>
    <t>Karaoke Video, Karaoke, Hiburan Keluarga, Nyanyi Bareng, Rekreasi Indoor, Surabaya.</t>
  </si>
  <si>
    <t>-7.291489, 112.7443085</t>
  </si>
  <si>
    <t>https://www.google.com/maps/place/Echo+Resto+%26+Karaoke/data=!4m7!3m6!1s0x2dd7f90057da57e1:0x65d8a1afb3d407e3!8m2!3d-7.291489!4d112.7443085!16s%2Fg%2F11vrc_j_ld!19sChIJ4VfaVwD51y0R4wfUs6-h2GU?authuser=0&amp;hl=zh-TW&amp;rclk=1</t>
  </si>
  <si>
    <t>Kepiting kenari surabaya</t>
  </si>
  <si>
    <t>Kepiting kenari surabaya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</si>
  <si>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-7.2899956, 112.7185399</t>
  </si>
  <si>
    <t>https://www.google.com/maps/place/Kepiting+kenari+surabaya/data=!4m7!3m6!1s0x2dd7fb08c74f2e63:0xe37956b9b867cea3!8m2!3d-7.2899956!4d112.7185399!16s%2Fg%2F11y27nrwld!19sChIJYy5Pxwj71y0Ro85nuLlWeeM?authuser=0&amp;hl=zh-TW&amp;rclk=1</t>
  </si>
  <si>
    <t>Goffe Doughnuts and Coffe</t>
  </si>
  <si>
    <t>Goffe Doughnuts and Coffe menghadirkan hidangan bercita rasa Asia dengan racikan bumbu yang autentik dan menggugah selera. Tempat ini menjadi pilihan menarik bagi warga Surabaya yang ingin mencicipi variasi kuliner Asia. Suasana tempatnya nyaman untuk bersantap bersama keluarga maupun teman.</t>
  </si>
  <si>
    <t>-7.2796867, 112.7628873</t>
  </si>
  <si>
    <t>https://www.google.com/maps/place/GOFFE%C3%89+Doughnut+%26+Coffee+-+Manyar+Kertoarjo/@-7.2796814,112.7603124,17z/data=!3m1!4b1!4m6!3m5!1s0x2dd7fb004f608233:0x1dee0eccd547cb4a!8m2!3d-7.2796867!4d112.7628873!16s%2Fg%2F11z0ktwx9j?entry=ttu&amp;g_ep=EgoyMDI2MDYyOS4wIKXMDSoASAFQAw%3D%3D</t>
  </si>
  <si>
    <t>Dapoer Kecombrang Surabaya - Wonorejo Timur</t>
  </si>
  <si>
    <t>Dapoer Kecombrang Surabaya - Wonorejo Timur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</si>
  <si>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150000-200000</t>
  </si>
  <si>
    <t>-7.3089034, 112.7886546</t>
  </si>
  <si>
    <t>https://www.google.com/maps/place/Dapoer+Kecombrang+Surabaya+-+Wonorejo+Timur/data=!4m7!3m6!1s0x2dd7fbee5ba8f4b5:0x6a10af46e1a2f22f!8m2!3d-7.3089034!4d112.7886546!16s%2Fg%2F11qmcbnhy3!19sChIJtfSoW-771y0RL_Ki4UavEGo?authuser=0&amp;hl=zh-TW&amp;rclk=1</t>
  </si>
  <si>
    <t>Taman Pelangi</t>
  </si>
  <si>
    <t>Taman kota dengan hamparan bunga, populer di malam hari dengan air mancur warna-warni dan berbentuk daun.</t>
  </si>
  <si>
    <t>-7.3275604, 112.7312242</t>
  </si>
  <si>
    <t>https://www.google.com/maps/place/Taman+Pelangi/data=!4m7!3m6!1s0x2dd7fb69dbf567ff:0x2993db27b0539b3d!8m2!3d-7.3275604!4d112.7312242!16s%2Fg%2F11b721z8jg!19sChIJ_2f122n71y0RPZtTsCfbkyk?authuser=0&amp;hl=zh-TW&amp;rclk=1</t>
  </si>
  <si>
    <t>Nasi Padang Uda Wandi Pucang</t>
  </si>
  <si>
    <t>Restoran simpel dengan meja bersama simpel yang terkenal dengan masakan ayam &amp; bebek gorengnya.</t>
  </si>
  <si>
    <t>-7.3286071, 112.7752838</t>
  </si>
  <si>
    <t>https://www.google.com/maps/place/Bebek+Goreng+Palupi+Rungkut/data=!4m7!3m6!1s0x2dd7fac32e4f865f:0x8b1a1f2b450b3614!8m2!3d-7.3286071!4d112.7752838!16s%2Fg%2F11b8vddtlr!19sChIJX4ZPLsP61y0RFDYLRSsfGos?authuser=0&amp;hl=zh-TW&amp;rclk=1</t>
  </si>
  <si>
    <t>Sontoloyo Gubeng</t>
  </si>
  <si>
    <t>Sontoloyo Gubeng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</si>
  <si>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-7.2727252, 112.7507038</t>
  </si>
  <si>
    <t>https://www.google.com/maps/place/Sontoloyo+Gubeng/data=!4m7!3m6!1s0x2dd7fbc608ed9207:0x4d526c691fe3f055!8m2!3d-7.2727252!4d112.7507038!16s%2Fg%2F11x090w82r!19sChIJB5LtCMb71y0RVfDjH2lsUk0?authuser=0&amp;hl=zh-TW&amp;rclk=1</t>
  </si>
  <si>
    <t>Taman Lapang Wonocolo</t>
  </si>
  <si>
    <t>Taman Lapang Wonocolo merupakan ruang terbuka hijau yang menjadi tempat favorit warga Surabaya untuk bersantai, berolahraga ringan, maupun menghabiskan waktu bersama keluarga. Suasana yang asri dan udara segar menjadikan taman ini cocok untuk healing di tengah kesibukan kota. Tempat ini juga sering dimanfaatkan sebagai spot foto dan area bermain anak.</t>
  </si>
  <si>
    <t>-7.3189496, 112.7398378</t>
  </si>
  <si>
    <t>https://www.google.com/maps/place/Taman+Lapang+Wonocolo/data=!4m7!3m6!1s0x2dd7fbb849f9b8e3:0x75b61d80b87e06d5!8m2!3d-7.3189496!4d112.7398378!16s%2Fg%2F11fn2qrdqf!19sChIJ47j5Sbj71y0R1QZ-uIAdtnU?authuser=0&amp;hl=zh-TW&amp;rclk=1</t>
  </si>
  <si>
    <t>Nasi Empal Pengampon</t>
  </si>
  <si>
    <t>Nasi Empal Pengampon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</si>
  <si>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-7.2470413, 112.747019</t>
  </si>
  <si>
    <t>https://www.google.com/maps/place/Empal+Pengampon/data=!4m7!3m6!1s0x2dd7f9132d273a15:0xf355c54ff83938aa!8m2!3d-7.2470413!4d112.747019!16s%2Fg%2F1hc17lb1_!19sChIJFTonLRP51y0Rqjg5-E_FVfM?authuser=0&amp;hl=zh-TW&amp;rclk=1</t>
  </si>
  <si>
    <t>Penyetan Mbak Nur</t>
  </si>
  <si>
    <t>Penyetan Mbak Nur adalah tempat kuliner yang menyajikan menu andalan dengan cita rasa khas yang digemari warga Surabaya. Tempat ini cocok dijadikan pilihan makan santai bersama keluarga maupun teman. Pelayanan yang ramah dan harga yang terjangkau menjadi daya tarik tersendiri.</t>
  </si>
  <si>
    <t>-7.2876522, 112.73648</t>
  </si>
  <si>
    <t>https://www.google.com/maps/place/Penyetan+Mbak+Nur/data=!4m7!3m6!1s0x2dd7fb952eaf095f:0xec3403e540e61b79!8m2!3d-7.2876522!4d112.73648!16s%2Fg%2F11ggs_gbvj!19sChIJXwmvLpX71y0ReRvmQOUDNOw?authuser=0&amp;hl=zh-TW&amp;rclk=1</t>
  </si>
  <si>
    <t>Taman Asmaul Husna</t>
  </si>
  <si>
    <t>Taman religius yang berada di halaman Masjid Al-Akbar Surabaya, diresmikan oleh Gubernur Jawa Timur Khofifah Indar Parawansa. Menampilkan 99 nama Allah (Asmaul Husna) dalam desain taman yang indah, menjadi destinasi wisata religi dan edukasi bagi keluarga muslim.</t>
  </si>
  <si>
    <t>Taman Religi, Park, Masjid Al-Akbar, Wisata Religi, Edukasi Islam, Outdoor, Family Friendly, Kids Friendly, Instagramable, Surabaya Selatan</t>
  </si>
  <si>
    <t>-7.335383611678426, 112.71633625031126</t>
  </si>
  <si>
    <t>-7,335383611678426</t>
  </si>
  <si>
    <t>112,71633625031126</t>
  </si>
  <si>
    <t>https://www.google.com/maps/place/Taman+Asmaul+Husna+%EA%A6%A0%EA%A6%A9%EA%A6%A4%EA%A7%80%EA%A6%84%EA%A6%B1%EA%A7%80%EA%A6%A9%EA%A6%88%EA%A6%AD%EA%A7%80%EA%A6%B2%EA%A6%B8%EA%A6%B1%EA%A7%80%EA%A6%A4/@-7.335649,112.7163832,17z/data=!3m1!4b1!4m6!3m5!1s0x2dd7fbfe5c2f0e35:0xd702bc2be00d3669!8m2!3d-7.335649!4d112.7163832!16s%2Fg%2F11j9jk89jr?entry=ttu&amp;g_ep=EgoyMDI2MDYyOS4wIKXMDSoASAFQAw%3D%3D</t>
  </si>
  <si>
    <t>Raja Seafood</t>
  </si>
  <si>
    <t>Raja Seafood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</si>
  <si>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-7.28397, 112.6903194</t>
  </si>
  <si>
    <t>https://www.google.com/maps/place/Raja+Seafood/data=!4m7!3m6!1s0x2dd7fc3deeadbd5f:0xf4b04ef6bb374f37!8m2!3d-7.28397!4d112.6903194!16s%2Fg%2F11dxdznt35!19sChIJX72t7j381y0RN083u_ZOsPQ?authuser=0&amp;hl=zh-TW&amp;rclk=1</t>
  </si>
  <si>
    <t>Sate Kambing &amp; Thengkleng Rica-rica Pak Manto</t>
  </si>
  <si>
    <t>Sate Kambing &amp; Thengkleng Rica-rica Pak Manto menyajikan sate dengan bumbu kacang khas yang gurih, dipanggang di atas bara hingga aromanya menggugah selera. Menu ini menjadi favorit warga Surabaya untuk santap malam maupun acara kumpul bersama. Cita rasa dan kualitas dagingnya menjadikan tempat ini banyak direkomendasikan pencinta kuliner sate.</t>
  </si>
  <si>
    <t>-7.2598318, 112.75009</t>
  </si>
  <si>
    <t>https://www.google.com/maps/place/Sate+Kambing+%26+Thengkleng+Rica-rica+Pak+Manto/data=!4m7!3m6!1s0x2dd7f953147fce1b:0xa461e170a02246e3!8m2!3d-7.2598318!4d112.75009!16s%2Fg%2F11h55ndfdm!19sChIJG85_FFP51y0R40YioHDhYaQ?authuser=0&amp;hl=zh-TW&amp;rclk=1</t>
  </si>
  <si>
    <t>Soto Ayam NING NDAYUK</t>
  </si>
  <si>
    <t>Soto Ayam NING NDAYUK menyajikan soto ayam dengan kuah kuning berempah yang gurih dan segar, dilengkapi suwiran ayam serta pelengkap khas Nusantara. Tempat ini menjadi pilihan favorit untuk sarapan maupun makan siang di kawasan Surabaya. Cita rasa rempahnya yang kental membuat pengunjung kerap datang kembali.</t>
  </si>
  <si>
    <t>-7.270024, 112.73549</t>
  </si>
  <si>
    <t>https://www.google.com/maps/place/Soto+Ayam+NING+NDAYUK/data=!4m7!3m6!1s0x2dd7fbe10659451f:0x3c5c17e52d658545!8m2!3d-7.270024!4d112.73549!16s%2Fg%2F11g8xg1hsf!19sChIJH0VZBuH71y0RRYVlLeUXXDw?authuser=0&amp;hl=zh-TW&amp;rclk=1</t>
  </si>
  <si>
    <t>Bakso Solo JOLOTUNDO</t>
  </si>
  <si>
    <t>Bakso Solo JOLOTUNDO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</si>
  <si>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-7.2575378, 112.7606246</t>
  </si>
  <si>
    <t>https://www.google.com/maps/place/Bakso+Solo+JOLOTUNDO/data=!4m7!3m6!1s0x2dd7f9784f3055a9:0x50330f74863917cc!8m2!3d-7.2575378!4d112.7606246!16s%2Fg%2F1hm5qjfmx!19sChIJqVUwT3j51y0RzBc5hnQPM1A?authuser=0&amp;hl=zh-TW&amp;rclk=1</t>
  </si>
  <si>
    <t>209 Dining</t>
  </si>
  <si>
    <t>209 Dining menawarkan konsep makan prasmanan dengan aneka pilihan lauk pauk rumahan yang bisa dipilih sesuai selera. Tempat ini menjadi favorit warga Surabaya yang menginginkan menu makan siang praktis dan mengenyangkan. Variasi menunya yang berganti setiap hari membuat pengunjung punya banyak pilihan.</t>
  </si>
  <si>
    <t>-7.286211, 112.6992675</t>
  </si>
  <si>
    <t>https://www.google.com/maps/place/209+Dining/data=!4m7!3m6!1s0x2dd7fd77c7915e29:0x4979b3c45f4f2d36!8m2!3d-7.286211!4d112.6992675!16s%2Fg%2F11ghq03zqp!19sChIJKV6Rx3f91y0RNi1PX8SzeUk?authuser=0&amp;hl=zh-TW&amp;rclk=1</t>
  </si>
  <si>
    <t>Soto Ayam Cak Nan</t>
  </si>
  <si>
    <t>Soto Ayam Cak Nan menyajikan soto ayam dengan kuah kuning berempah yang gurih dan segar, dilengkapi suwiran ayam serta pelengkap khas Nusantara. Tempat ini menjadi pilihan favorit untuk sarapan maupun makan siang di kawasan Surabaya. Cita rasa rempahnya yang kental membuat pengunjung kerap datang kembali.</t>
  </si>
  <si>
    <t>-7.266253, 112.7677125</t>
  </si>
  <si>
    <t>https://www.google.com/maps/place/Soto+Ayam+Cak+Nan/data=!4m7!3m6!1s0x2dd7fa2a4714e7c3:0x9d7c8d7c6d54c28c!8m2!3d-7.266253!4d112.7677125!16s%2Fg%2F11c6ddnsz8!19sChIJw-cURyr61y0RjMJUbXyNfJ0?authuser=0&amp;hl=zh-TW&amp;rclk=1</t>
  </si>
  <si>
    <t>Titik Tengah Coffee</t>
  </si>
  <si>
    <t>Titik Tengah Coffee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</si>
  <si>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-7.2677313, 112.7339446</t>
  </si>
  <si>
    <t>https://www.google.com/maps/place/Titik+Tengah+Surabaya/data=!4m7!3m6!1s0x2dd7fb736e844f45:0x7cace86772822696!8m2!3d-7.2677313!4d112.7339446!16s%2Fg%2F11llcw3_fj!19sChIJRU-EbnP71y0RliaCcmforHw?authuser=0&amp;hl=zh-TW&amp;rclk=1</t>
  </si>
  <si>
    <t>Sari Laut Kapasan</t>
  </si>
  <si>
    <t>Sari Laut Kapasan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</si>
  <si>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-7.2406741, 112.7521716</t>
  </si>
  <si>
    <t>https://www.google.com/maps/place/Sari+Laut+Kapasan/data=!4m7!3m6!1s0x2dd7f90e67d5db2d:0xd355f0d701559caf!8m2!3d-7.2406741!4d112.7521716!16s%2Fg%2F12ml2mrhg!19sChIJLdvVZw751y0Rr5xVAdfwVdM?authuser=0&amp;hl=zh-TW&amp;rclk=1</t>
  </si>
  <si>
    <t>Sentra Wisata Kuliner Embong Sawo</t>
  </si>
  <si>
    <t>Sentra Wisata Kuliner Embong Sawo adalah tempat kuliner yang menyajikan menu andalan dengan cita rasa khas yang digemari warga Surabaya. Tempat ini cocok dijadikan pilihan makan santai bersama keluarga maupun teman. Pelayanan yang ramah dan harga yang terjangkau menjadi daya tarik tersendiri.</t>
  </si>
  <si>
    <t>-7.2667434, 112.7423959</t>
  </si>
  <si>
    <t>https://www.google.com/maps/place/Sentra+Wisata+Kuliner+Embong+Sawo/data=!4m7!3m6!1s0x2dd7f996e06809e3:0xafcbe61111c706a7!8m2!3d-7.2667434!4d112.7423959!16s%2Fg%2F11jlqgf7_r!19sChIJ4wlo4Jb51y0RpwbHERHmy68?authuser=0&amp;hl=zh-TW&amp;rclk=1</t>
  </si>
  <si>
    <t>BAKSO BERANAK SUROBOYO</t>
  </si>
  <si>
    <t>BAKSO BERANAK SUROBOYO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</si>
  <si>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-7.2758346, 112.7343928</t>
  </si>
  <si>
    <t>https://www.google.com/maps/place/BAKSO+BERANAK+SUROBOYO/data=!4m7!3m6!1s0x2dd7fbe66981d62f:0x90e791dec1898fa2!8m2!3d-7.2758346!4d112.7343928!16s%2Fg%2F11bzrf3mmk!19sChIJL9aBaeb71y0Roo-Jwd6R55A?authuser=0&amp;hl=zh-TW&amp;rclk=1</t>
  </si>
  <si>
    <t>Toko Kopi TUKU - SPBU bp Gubeng</t>
  </si>
  <si>
    <t>Toko Kopi TUKU - SPBU bp Gubeng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</si>
  <si>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-7.2729095, 112.7477386</t>
  </si>
  <si>
    <t>https://www.google.com/maps/place/Toko+Kopi+TUKU+-+SPBU+bp+Gubeng/data=!4m7!3m6!1s0x2dd7fb75c4e64cd5:0xb0e1c4b6d27fdc56!8m2!3d-7.2729095!4d112.7477386!16s%2Fg%2F11qh7gstyv!19sChIJ1UzmxHX71y0RVtx_0rbE4bA?authuser=0&amp;hl=zh-TW&amp;rclk=1</t>
  </si>
  <si>
    <t>Sentra Wisata Kuliner Terminal Kasuari</t>
  </si>
  <si>
    <t>Sentra Wisata Kuliner Terminal Kasuari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</si>
  <si>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-7.2355364, 112.7362948</t>
  </si>
  <si>
    <t>https://www.google.com/maps/place/Sentra+Wisata+Kuliner+Terminal+Kasuari/data=!4m7!3m6!1s0x2dd7f9160986886d:0xa9e35c285a33cbcc!8m2!3d-7.2355364!4d112.7362948!16s%2Fg%2F11hyp21_4c!19sChIJbYiGCRb51y0RzMszWihc46k?authuser=0&amp;hl=zh-TW&amp;rclk=1</t>
  </si>
  <si>
    <t>Warung Nasi Rawon Mandarin</t>
  </si>
  <si>
    <t>Warung Nasi Rawon Mandarin adalah rumah makan yang menyajikan berbagai menu masakan Nusantara dengan cita rasa rumahan yang gurih dan mengenyangkan. Tempat ini banyak dikunjungi warga Surabaya sebagai pilihan makan siang maupun makan malam bersama keluarga. Suasananya yang sederhana dan pelayanan yang ramah membuat pengunjung merasa betah.</t>
  </si>
  <si>
    <t>-7.2786951, 112.6958553</t>
  </si>
  <si>
    <t>https://www.google.com/maps/place/Warung+Nasi+Rawon+Mandarin/data=!4m7!3m6!1s0x2dd7fd10163ef909:0x32e55f8cb6fb1e72!8m2!3d-7.2786951!4d112.6958553!16s%2Fg%2F11gv0vj7gk!19sChIJCfk-FhD91y0Rch77toxf5TI?authuser=0&amp;hl=zh-TW&amp;rclk=1</t>
  </si>
  <si>
    <t>Pangsit Mie Ayam Limo Raya Surabaya</t>
  </si>
  <si>
    <t>Pangsit Mie Ayam Limo Raya Surabaya menawarkan hidangan mie ayam dengan pangsit khas yang menjadi favorit banyak pelanggan setianya. Racikan bumbu dan kuahnya yang gurih membuat tempat ini selalu ramai dikunjungi warga Surabaya. Cocok dijadikan pilihan makan siang atau malam dengan harga yang bersahabat.</t>
  </si>
  <si>
    <t>-7.2762785, 112.7525941</t>
  </si>
  <si>
    <t>https://www.google.com/maps/place/Pangsit+Mie+Ayam+Limo+Raya+Surabaya/data=!4m7!3m6!1s0x2dd7fb08293e42bd:0x649565c82964079d!8m2!3d-7.2762785!4d112.7525941!16s%2Fg%2F11qh2q8gz6!19sChIJvUI-KQj71y0RnQdkKchllWQ?authuser=0&amp;hl=zh-TW&amp;rclk=1</t>
  </si>
  <si>
    <t>Paper Cup Dharmahusada</t>
  </si>
  <si>
    <t>Paper Cup Dharmahusada menyajikan ayam penyet dengan sambal khas yang pedas dan gurih sebagai menu andalannya. Warung ini menjadi favorit warga Surabaya untuk makan siang maupun makan malam dengan harga terjangkau. Cita rasa sambal yang khas membuat pengunjung selalu ingin kembali.</t>
  </si>
  <si>
    <t>Restoran ayam penyet, Ayam Penyet, Sambal Khas, Kuliner Nusantara, Warung Kaki Lima, Harga Terjangkau, Surabaya.</t>
  </si>
  <si>
    <t>-7.2789659, 112.772689</t>
  </si>
  <si>
    <t>https://www.google.com/maps/place/PAPER+CUP+COFFEE+DHARMAHUSADA/@-7.2789659,112.772689,17z/data=!3m1!4b1!4m6!3m5!1s0x2dd7fb5838558ecf:0x9bbea0a05dd87c3d!8m2!3d-7.2789659!4d112.772689!16s%2Fg%2F11m_48khbp?entry=ttu&amp;g_ep=EgoyMDI2MDYyOS4wIKXMDSoASAFQAw%3D%3D</t>
  </si>
  <si>
    <t>Blockbuster Museum Surabaya</t>
  </si>
  <si>
    <t>Museum unik yang menghadirkan ribuan koleksi action figure, diorama, movie props, dan replika benda-benda dari film-film Hollywood ikonik seperti Star Wars, Harry Potter, dan Captain America. Berlokasi di lantai 2 The Kitchenware Paradise, Jalan Kenjeran.</t>
  </si>
  <si>
    <t>Museum, Action Figure, Movie Props, Pop Culture, Edukasi, Indoor, Family Friendly, Kids Friendly, Instagramable, Spot Foto, Hiburan, Surabaya Utara</t>
  </si>
  <si>
    <t>Kamis - Minggu</t>
  </si>
  <si>
    <t>Senin, Selasa, Rabu</t>
  </si>
  <si>
    <t>-7.2477541, 112.7795727</t>
  </si>
  <si>
    <t>https://www.google.com/maps/place/Blockbuster+Museum+Surabaya/@-7.2477541,112.7795727,17z/data=!3m1!4b1!4m6!3m5!1s0x2dd7f92a3fda62c3:0x571a8893dca24a3c!8m2!3d-7.2477541!4d112.7795727!16s%2Fg%2F11fkst4ldn?entry=ttu&amp;g_ep=EgoyMDI2MDYyOS4wIKXMDSoASAFQAw%3D%3D</t>
  </si>
  <si>
    <t>Warung Barokah Sih</t>
  </si>
  <si>
    <t>Warung Barokah Sih adalah warung nasi sederhana yang menyajikan berbagai lauk pauk rumahan dengan konsep prasmanan yang praktis. Tempat ini banyak dikunjungi warga Surabaya yang mencari makanan mengenyangkan dengan harga terjangkau. Menu yang berganti setiap hari membuat pengunjung tidak bosan untuk kembali.</t>
  </si>
  <si>
    <t>-7.2714676, 112.7547717</t>
  </si>
  <si>
    <t>https://www.google.com/maps/place/Warung+Barokasih/data=!4m7!3m6!1s0x2dd7fbd12ce07321:0x9f385f8430e6dcfd!8m2!3d-7.2714676!4d112.7547717!16s%2Fg%2F11g6bl2nps!19sChIJIXPgLNH71y0R_dzmMIRfOJ8?authuser=0&amp;hl=zh-TW&amp;rclk=1</t>
  </si>
  <si>
    <t>Sate Klopo Patua</t>
  </si>
  <si>
    <t>Sate Klopo Patua menyajikan sate dengan bumbu kacang khas yang gurih, dipanggang di atas bara hingga aromanya menggugah selera. Menu ini menjadi favorit warga Surabaya untuk santap malam maupun acara kumpul bersama. Cita rasa dan kualitas dagingnya menjadikan tempat ini banyak direkomendasikan pencinta kuliner sate.</t>
  </si>
  <si>
    <t>-7.2575729, 112.7256849</t>
  </si>
  <si>
    <t>https://www.google.com/maps/place/Sate+Klopo+Patua/data=!4m7!3m6!1s0x2dd7f94fe0f8d865:0x4633c9a5acd4fa4b!8m2!3d-7.2575729!4d112.7256849!16s%2Fg%2F1hm3mpgb6!19sChIJZdj44E_51y0RS_rUrKXJM0Y?authuser=0&amp;hl=zh-TW&amp;rclk=1</t>
  </si>
  <si>
    <t>Soto Ayam Cak Pardi</t>
  </si>
  <si>
    <t>Warung rumahan yang menawarkan pilihan sup Indonesia lezat di tempat simpel dan nyaman.</t>
  </si>
  <si>
    <t>-7.2605688, 112.7382972</t>
  </si>
  <si>
    <t>https://www.google.com/maps/place/Soto+Ayam+Cak+Pardi/data=!4m7!3m6!1s0x2dd7f95d92030169:0xed9e68a07d4563e2!8m2!3d-7.2605688!4d112.7382972!16s%2Fg%2F11b6b421l5!19sChIJaQEDkl351y0R4mNFfaBonu0?authuser=0&amp;hl=zh-TW&amp;rclk=1</t>
  </si>
  <si>
    <t>Taman Kayoon</t>
  </si>
  <si>
    <t>Taman Kayoon merupakan ruang terbuka hijau yang menjadi tempat favorit warga Surabaya untuk bersantai, berolahraga ringan, maupun menghabiskan waktu bersama keluarga. Suasana yang asri dan udara segar menjadikan taman ini cocok untuk healing di tengah kesibukan kota. Tempat ini juga sering dimanfaatkan sebagai spot foto dan area bermain anak.</t>
  </si>
  <si>
    <t>-7.2724756, 112.7450944</t>
  </si>
  <si>
    <t>https://www.google.com/maps/place/Taman+Kayoon/data=!4m7!3m6!1s0x2dd7fbdbf7f34015:0x940ca252e68f57e9!8m2!3d-7.2724756!4d112.7450944!16s%2Fg%2F11g9qllsk3!19sChIJFUDz99v71y0R6VeP5lKiDJQ?authuser=0&amp;hl=zh-TW&amp;rclk=1</t>
  </si>
  <si>
    <t>UPT. Taman Budaya</t>
  </si>
  <si>
    <t>-7.27654616964169, 112.74654353558194</t>
  </si>
  <si>
    <t>-7,27654616964169</t>
  </si>
  <si>
    <t>112,74654353558194</t>
  </si>
  <si>
    <t>Kuliner Alun Alun Surabaya</t>
  </si>
  <si>
    <t>Kuliner Alun Alun Surabaya merupakan pusat jajanan kaki lima yang menawarkan berbagai pilihan kuliner dengan harga terjangkau. Tempat ini menjadi tujuan warga Surabaya yang ingin menikmati aneka jajanan dalam satu lokasi. Suasana ramai dan pilihan menu yang variatif menjadikannya destinasi kuliner santai.</t>
  </si>
  <si>
    <t>Pusat jajanan kaki lima, Kuliner Kaki Lima, Jajanan Malam, Aneka Menu, Harga Terjangkau, Surabaya.</t>
  </si>
  <si>
    <t>-7.2635958, 112.7450731</t>
  </si>
  <si>
    <t>https://www.google.com/maps/place/Kuliner+Alun+Alun+Surabaya/data=!4m7!3m6!1s0x2dd7f9004c8e1105:0x75500091c21f9cba!8m2!3d-7.2635958!4d112.7450731!16s%2Fg%2F11x900dmv9!19sChIJBRGOTAD51y0RupwfwpEAUHU?authuser=0&amp;hl=zh-TW&amp;rclk=1</t>
  </si>
  <si>
    <t>Surabaya Museum (Gedung Siola)</t>
  </si>
  <si>
    <t>Gedung pemerintahan &amp; museum dengan artefak yang mempertontonkan sejarah domestik &amp; sipil.</t>
  </si>
  <si>
    <t>-7.2562963, 112.7375696</t>
  </si>
  <si>
    <t>https://www.google.com/maps/place/Siola+Surabaya+Museum/data=!4m7!3m6!1s0x2dd7f942c75df75b:0xc57e15b6db89588b!8m2!3d-7.2562963!4d112.7375696!16s%2Fg%2F1pzsyxbxv!19sChIJW_ddx0L51y0Ri1iJ27YVfsU?authuser=0&amp;hl=zh-TW&amp;rclk=1</t>
  </si>
  <si>
    <t>Sari Laut PAK JI</t>
  </si>
  <si>
    <t>Sari Laut PAK JI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</si>
  <si>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-7.2527047, 112.7440808</t>
  </si>
  <si>
    <t>https://www.google.com/maps/place/Sari+Laut+PAK+JI/data=!4m7!3m6!1s0x2dd7f9694679f091:0xa174c5a5941b439e!8m2!3d-7.2527047!4d112.7440808!16s%2Fg%2F11c2l3wx5y!19sChIJkfB5Rmn51y0RnkMblKXFdKE?authuser=0&amp;hl=zh-TW&amp;rclk=1</t>
  </si>
  <si>
    <t>Bebek Hitam Klampis</t>
  </si>
  <si>
    <t>Bebek Hitam Klampis dikenal sebagai pusatnya kuliner bebek bumbu hitam khas Madura di Surabaya, dengan tekstur daging yang juicy dan bumbu hitam yang meresap sempurna hingga ke dalam. Menu ini disajikan bersama sambal korek pedas dan nasi hangat, cocok dinikmati saat makan siang maupun malam. Berlokasi di kawasan Klampis Ngasem, warung ini selalu ramai pengunjung karena rasanya yang khas dan harganya yang terjangkau.</t>
  </si>
  <si>
    <t>Bebek Hitam, Bebek Madura, Bumbu Hitam, Kuliner Malam, Warung Legendaris, Sambal Korek, Menu Ayam Hitam, Kuliner Kaki Lima, Klampis Ngasem, Harga Terjangkau, Surabaya.</t>
  </si>
  <si>
    <t>-7.2859058, 112.7761495</t>
  </si>
  <si>
    <t>google.com/maps/place/Bebek+Hitam+Klampis+Asli/@-7.2796814,112.7603124,17z/data=!4m6!3m5!1s0x2dd7fa47ed6731b5:0x7a808e9f0f9faad4!8m2!3d-7.2859058!4d112.7761495!16s%2Fg%2F11gbzb_xwy?entry=ttu&amp;g_ep=EgoyMDI2MDYyOS4wIKXMDSoASAFQAw%3D%3D</t>
  </si>
  <si>
    <t>Sate Kelinci Simokerto SKS</t>
  </si>
  <si>
    <t>Sate Kelinci Simokerto SKS adalah tempat kuliner yang menyajikan menu andalan dengan cita rasa khas yang digemari warga Surabaya. Tempat ini cocok dijadikan pilihan makan santai bersama keluarga maupun teman. Pelayanan yang ramah dan harga yang terjangkau menjadi daya tarik tersendiri.</t>
  </si>
  <si>
    <t>Kuliner, Kuliner Lokal, Warung Makan, Menu Andalan, Harga Terjangkau, Surabaya.</t>
  </si>
  <si>
    <t>-7.2392155, 112.7521743</t>
  </si>
  <si>
    <t>https://www.google.com/maps/place/Sate+Kelinci+Simokerto+SKS/data=!4m7!3m6!1s0x2dd7f9b71d9f2f8b:0x8ee61fe22407c1f8!8m2!3d-7.2392155!4d112.7521743!16s%2Fg%2F11svspr961!19sChIJiy-fHbf51y0R-MEHJOIf5o4?authuser=0&amp;hl=zh-TW&amp;rclk=1</t>
  </si>
  <si>
    <t>PENYETAN BANG ALI SIMPANG DARMO</t>
  </si>
  <si>
    <t>Kafe simpel buka 24 jam yang menyajikan hidangan nasi klasik &amp; opsi saus pedas.</t>
  </si>
  <si>
    <t>-7.2777209, 112.682985</t>
  </si>
  <si>
    <t>https://www.google.com/maps/place/PENYETAN+BANG+ALI+SIMPANG+DARMO/data=!4m7!3m6!1s0x2dd7fc24f91ae135:0xa16ce1c50e5341c9!8m2!3d-7.2777209!4d112.682985!16s%2Fg%2F11b6_j2012!19sChIJNeEa-ST81y0RyUFTDsXhbKE?authuser=0&amp;hl=zh-TW&amp;rclk=1</t>
  </si>
  <si>
    <t>Hutan Kota Surabaya</t>
  </si>
  <si>
    <t>Hutan Kota Surabaya merupakan destinasi wisata yang menawarkan pengalaman rekreasi menarik bagi pengunjung dari berbagai kalangan. Tempat ini menjadi pilihan warga Surabaya untuk menghabiskan waktu luang bersama keluarga maupun teman. Suasana dan fasilitasnya mendukung kegiatan bersantai maupun berfoto.</t>
  </si>
  <si>
    <t>Wisata, Rekreasi, Outdoor, Spot Foto, Family Friendly, Surabaya.</t>
  </si>
  <si>
    <t>-7.297311, 112.702529</t>
  </si>
  <si>
    <t>https://www.google.com/maps/place/Hutan+Kota+Surabaya/data=!4m7!3m6!1s0x2dd7fdf209c871c1:0xf78cdb65dfe44fa0!8m2!3d-7.297311!4d112.702529!16s%2Fg%2F11smqlgsbj!19sChIJwXHICfL91y0RoE_k32XbjPc?authuser=0&amp;hl=zh-TW&amp;rclk=1</t>
  </si>
  <si>
    <t>Sentra Wisata Kuliner Manukan Lor</t>
  </si>
  <si>
    <t>Sentra Wisata Kuliner Manukan Lor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</si>
  <si>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-7.2594155, 112.6633096</t>
  </si>
  <si>
    <t>https://www.google.com/maps/place/Sentra+Wisata+Kuliner+Manukan+Lor/data=!4m7!3m6!1s0x2dd7fe630796250b:0x163b7ff9d7a96d83!8m2!3d-7.2594155!4d112.6633096!16s%2Fg%2F11bztf67d6!19sChIJCyWWB2P-1y0Rg22p1_l_OxY?authuser=0&amp;hl=zh-TW&amp;rclk=1</t>
  </si>
  <si>
    <t>Alun - Alun Surabaya</t>
  </si>
  <si>
    <t>Alun - Alun Surabaya merupakan destinasi wisata yang menawarkan pengalaman rekreasi menarik bagi pengunjung dari berbagai kalangan. Tempat ini menjadi pilihan warga Surabaya untuk menghabiskan waktu luang bersama keluarga maupun teman. Suasana dan fasilitasnya mendukung kegiatan bersantai maupun berfoto.</t>
  </si>
  <si>
    <t>Tujuan Wisata, Wisata, Rekreasi, Outdoor, Spot Foto, Family Friendly, Surabaya.</t>
  </si>
  <si>
    <t>-7.2635899, 112.7453173</t>
  </si>
  <si>
    <t>https://www.google.com/maps/place/Alun+-+Alun+Surabaya/data=!4m7!3m6!1s0x2dd7f92cdeef8595:0xd38a95482769b82c!8m2!3d-7.2635899!4d112.7453173!16s%2Fg%2F11kn291r80!19sChIJlYXv3iz51y0RLLhpJ0iVitM?authuser=0&amp;hl=zh-TW&amp;rclk=1</t>
  </si>
  <si>
    <t>Nasi Pecel Rawon Pucang Moroseneng</t>
  </si>
  <si>
    <t>Nasi Pecel Rawon Pucang Moroseneng menyajikan hidangan khas Jawa dengan cita rasa gurih dan rempah yang autentik. Menu-menunya menjadi favorit warga Surabaya yang mencari cita rasa masakan tradisional. Suasana warungnya yang sederhana membuat pengunjung merasa nyaman menikmati hidangan seperti di rumah.</t>
  </si>
  <si>
    <t>-7.2842801, 112.7543599</t>
  </si>
  <si>
    <t>https://www.google.com/maps/place/Nasi+Pecel+Rawon+Pucang+Moro+Seneng/data=!4m7!3m6!1s0x2dd7fbc9aeb01779:0xcc054ce1e40ab595!8m2!3d-7.2842801!4d112.7543599!16s%2Fg%2F11bxg0b268!19sChIJeRewrsn71y0RlbUK5OFMBcw?authuser=0&amp;hl=zh-TW&amp;rclk=1</t>
  </si>
  <si>
    <t>Mie Ayam Jakarta Prapanca</t>
  </si>
  <si>
    <t>Mie Ayam Jakarta Prapanca menawarkan hidangan mie ayam dengan pangsit khas yang menjadi favorit banyak pelanggan setianya. Racikan bumbu dan kuahnya yang gurih membuat tempat ini selalu ramai dikunjungi warga Surabaya. Cocok dijadikan pilihan makan siang atau malam dengan harga yang bersahabat.</t>
  </si>
  <si>
    <t>-7.284567, 112.731928</t>
  </si>
  <si>
    <t>https://www.google.com/maps/place/Prapanca+Jakartan+Chicken+Noodle/data=!4m7!3m6!1s0x2dd7fb27d1d84ddb:0x655bd7a7a2cca080!8m2!3d-7.284567!4d112.731928!16s%2Fg%2F11f8jhqsc1!19sChIJ203Y0Sf71y0RgKDMoqfXW2U?authuser=0&amp;hl=zh-TW&amp;rclk=1</t>
  </si>
  <si>
    <t>Penyetan Lauk Pauk Pakuwon City</t>
  </si>
  <si>
    <t>Penyetan Lauk Pauk Pakuwon City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</si>
  <si>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-7.2655679, 112.8053637</t>
  </si>
  <si>
    <t>https://www.google.com/maps/place/Penyetan+Lauk+Pauk+Pakuwon+City/data=!4m7!3m6!1s0x2dd7fbc62e4b9785:0x1665d233b5f77cc0!8m2!3d-7.2655679!4d112.8053637!16s%2Fg%2F11vztxv4y9!19sChIJhZdLLsb71y0RwHz3tTPSZRY?authuser=0&amp;hl=zh-TW&amp;rclk=1</t>
  </si>
  <si>
    <t>KidZania Surabaya</t>
  </si>
  <si>
    <t>KidZania Surabaya adalah taman bermain indoor yang menyediakan berbagai wahana seru untuk anak-anak. Tempat ini menjadi pilihan favorit keluarga di Surabaya untuk mengajak buah hati bermain sekaligus belajar. Fasilitas yang aman dan nyaman membuat orang tua tenang saat anak bermain.</t>
  </si>
  <si>
    <t>Taman Bermain Dalam Ruangan, Indoor Playground, Wahana Anak, Family Friendly, Rekreasi Indoor, Surabaya.</t>
  </si>
  <si>
    <t>-7.290009, 112.7064316</t>
  </si>
  <si>
    <t>https://www.google.com/maps/place/KidZania+Surabaya/data=!4m7!3m6!1s0x2dd7fd7381486259:0x5b7bb4e4eeee3e77!8m2!3d-7.290009!4d112.7064316!16s%2Fg%2F11frrrlqk7!19sChIJWWJIgXP91y0Rdz7u7uS0e1s?authuser=0&amp;hl=zh-TW&amp;rclk=1</t>
  </si>
  <si>
    <t>Kenjeran Park</t>
  </si>
  <si>
    <t>Ruang hijau kota dengan tempat makan, pagoda &amp; patung, plus wahana &amp; seluncuran di taman air Atlantis Land.</t>
  </si>
  <si>
    <t>Taman Ekologi</t>
  </si>
  <si>
    <t>-7.2525912, 112.7969305</t>
  </si>
  <si>
    <t>https://www.google.com/maps/place/Kenjeran+Park/data=!4m7!3m6!1s0x2dd7f9efbb9ec3d5:0x671745ebef4daa!8m2!3d-7.2525912!4d112.7969305!16s%2Fg%2F11g68_jjk_!19sChIJ1cOeu-_51y0Rqk3v60UXZwA?authuser=0&amp;hl=zh-TW&amp;rclk=1</t>
  </si>
  <si>
    <t>Taman Bermain Kedinding</t>
  </si>
  <si>
    <t>Taman Bermain Kedinding merupakan ruang terbuka hijau yang menjadi tempat favorit warga Surabaya untuk bersantai, berolahraga ringan, maupun menghabiskan waktu bersama keluarga. Suasana yang asri dan udara segar menjadikan taman ini cocok untuk healing di tengah kesibukan kota. Tempat ini juga sering dimanfaatkan sebagai spot foto dan area bermain anak.</t>
  </si>
  <si>
    <t>-7.2247451, 112.7717239</t>
  </si>
  <si>
    <t>https://www.google.com/maps/place/Kedinding+Playground/data=!4m7!3m6!1s0x2dd7f85329bf93df:0xa9744a3f1319c6a1!8m2!3d-7.2247451!4d112.7717239!16s%2Fg%2F11f11g9tjx!19sChIJ35O_KVP41y0RocYZEz9KdKk?authuser=0&amp;hl=zh-TW&amp;rclk=1</t>
  </si>
  <si>
    <t>Warung Dewi</t>
  </si>
  <si>
    <t>Warung Dewi adalah rumah makan yang menyajikan berbagai menu masakan Nusantara dengan cita rasa rumahan yang gurih dan mengenyangkan. Tempat ini banyak dikunjungi warga Surabaya sebagai pilihan makan siang maupun makan malam bersama keluarga. Suasananya yang sederhana dan pelayanan yang ramah membuat pengunjung merasa betah.</t>
  </si>
  <si>
    <t>-7.2933357, 112.7416048</t>
  </si>
  <si>
    <t>https://www.google.com/maps/place/Warung+Dewi/data=!4m7!3m6!1s0x2dd7fbbdc90d2a67:0xeb51cb5298d2c77e!8m2!3d-7.2933357!4d112.7416048!16s%2Fg%2F11b6hy70nm!19sChIJZyoNyb371y0RfsfSmFLLUes?authuser=0&amp;hl=zh-TW&amp;rclk=1</t>
  </si>
  <si>
    <t>Pangsit Mie Ayam Tuban Pak Suci</t>
  </si>
  <si>
    <t>Pangsit Mie Ayam Tuban Pak Suci menawarkan hidangan mie ayam dengan pangsit khas yang menjadi favorit banyak pelanggan setianya. Racikan bumbu dan kuahnya yang gurih membuat tempat ini selalu ramai dikunjungi warga Surabaya. Cocok dijadikan pilihan makan siang atau malam dengan harga yang bersahabat.</t>
  </si>
  <si>
    <t>-7.24158, 112.7322633</t>
  </si>
  <si>
    <t>https://www.google.com/maps/place/Pangsit+Mie+Ayam+Tuban+Pak+Suci/data=!4m7!3m6!1s0x2dd7f93befb867d7:0x572a6b1f074f401e!8m2!3d-7.24158!4d112.7322633!16s%2Fg%2F11b6t7wpld!19sChIJ12e47zv51y0RHkBPBx9rKlc?authuser=0&amp;hl=zh-TW&amp;rclk=1</t>
  </si>
  <si>
    <t>Makan Kitchen Surabaya</t>
  </si>
  <si>
    <t>Makan Kitchen Surabaya adalah tempat kuliner yang menyajikan menu andalan dengan cita rasa khas yang digemari warga Surabaya. Tempat ini cocok dijadikan pilihan makan santai bersama keluarga maupun teman. Pelayanan yang ramah dan harga yang terjangkau menjadi daya tarik tersendiri.</t>
  </si>
  <si>
    <t>https://www.google.com/maps/place/Makan+Kitchen+Surabaya/data=!4m7!3m6!1s0x2dd7f90ad1df2373:0x25deb57115e7d4f6!8m2!3d-7.2569375!4d112.7365341!16s%2Fg%2F11n0rt2d9n!19sChIJcyPf0Qr51y0R9tTnFXG13iU?authuser=0&amp;hl=zh-TW&amp;rclk=1</t>
  </si>
  <si>
    <t>Es Teler Pacarkeling dan Bakso Pak No.</t>
  </si>
  <si>
    <t>Es Teler Pacarkeling dan Bakso Pak No. adalah warung bakso yang menyajikan semangkuk bakso daging sapi dengan kuah kaldu gurih dan hangat, cocok dinikmati kapan saja. Tempat ini banyak dikunjungi warga sekitar Surabaya karena rasanya yang konsisten dan harganya yang ramah di kantong. Suasana warungnya sederhana namun selalu ramai pengunjung yang datang untuk menikmati semangkuk bakso favorit mereka.</t>
  </si>
  <si>
    <t>-7.2588342, 112.7552786</t>
  </si>
  <si>
    <t>https://www.google.com/maps/place/Es+Teler+Pacarkeling+dan+Bakso+Pak+No/data=!4m7!3m6!1s0x2dd7f97bb4ed519b:0x8450ace7ed19b5d0!8m2!3d-7.2588342!4d112.7552786!16s%2Fg%2F11b6dg1jdw!19sChIJm1HttHv51y0R0LUZ7eesUIQ?authuser=0&amp;hl=zh-TW&amp;rclk=1</t>
  </si>
  <si>
    <t>Rawon Mojopahit</t>
  </si>
  <si>
    <t>Rawon Mojopahit menghadirkan hidangan bercita rasa Asia dengan racikan bumbu yang autentik dan menggugah selera. Tempat ini menjadi pilihan menarik bagi warga Surabaya yang ingin mencicipi variasi kuliner Asia. Suasana tempatnya nyaman untuk bersantap bersama keluarga maupun teman.</t>
  </si>
  <si>
    <t>-7.460179, 112.7176703</t>
  </si>
  <si>
    <t>https://www.google.com/maps/place/Rawon+Mojopahit/data=!4m7!3m6!1s0x2dd7e6d28e5dc6a1:0x8f663658a7dd715!8m2!3d-7.460179!4d112.7176703!16s%2Fg%2F11c4bpwlxp!19sChIJocZdjtLm1y0RFdd9imVj9gg?authuser=0&amp;hl=zh-TW&amp;rclk=1</t>
  </si>
  <si>
    <t>Sentra Wisata Kuliner Taman Prestasi</t>
  </si>
  <si>
    <t>Sentra Wisata Kuliner Taman Prestasi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</si>
  <si>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-7.2624706, 112.7447097</t>
  </si>
  <si>
    <t>https://www.google.com/maps/place/Sentra+Wisata+Kuliner+Taman+Prestasi/data=!4m7!3m6!1s0x2dd7f961583842c3:0xc37d54c83b94a6d8!8m2!3d-7.2624706!4d112.7447097!16s%2Fg%2F11g6bld2wl!19sChIJw0I4WGH51y0R2KaUO8hUfcM?authuser=0&amp;hl=zh-TW&amp;rclk=1</t>
  </si>
  <si>
    <t>Taman angsa</t>
  </si>
  <si>
    <t>Taman Angsa Surabaya Barat merupakan taman dengan nuansa Eropa yang menghadirkan danau buatan, area hijau yang luas, serta keberadaan angsa yang menjadi daya tarik utamanya. Suasana yang tenang dan pemandangan yang estetik menjadikan taman ini cocok untuk berjalan santai, berolahraga, menikmati sunset, maupun berburu foto. Dengan lanskap yang rapi dan atmosfer yang menenangkan, Taman Angsa menjadi salah satu hidden gem favorit untuk melepas penat di Surabaya Barat.</t>
  </si>
  <si>
    <t>Danau, Angsa, Outdoor, Nature, Aesthetic, Instagramable, Spot Foto, Sunset Spot, Family Friendly, Couple Friendly, Healing, Santai, Jogging, Walking Track, Piknik, Fotografi, Hidden Gem, Nuansa Eropa, Pemandangan Air, Ruang Terbuka Hijau, Rekreasi Keluarga, Wisata Gratis, Sejuk, Surabaya Barat.</t>
  </si>
  <si>
    <t>-7.2921284, 112.6693617</t>
  </si>
  <si>
    <t>https://www.google.com/maps/place/Taman+Angsa/data=!4m7!3m6!1s0x2dd7fc4c9027e23f:0xe0a548aae9a5a27a!8m2!3d-7.2921284!4d112.6693617!16s%2Fg%2F11fxccnn1s!19sChIJP-InkEz81y0ReqKl6apIpeA?authuser=0&amp;hl=zh-TW&amp;rclk=1</t>
  </si>
  <si>
    <t>Cafe Olympus Surabaya Barat</t>
  </si>
  <si>
    <t>Cafe Olympus Surabaya Barat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</si>
  <si>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-7.2292662, 112.6157369</t>
  </si>
  <si>
    <t>https://www.google.com/maps/place/Cafe+Olympus+Surabaya+Barat/data=!4m7!3m6!1s0x2e7801bcfb88ba61:0x4d3f9f4af4ffeb91!8m2!3d-7.2292662!4d112.6157369!16s%2Fg%2F11tnbhtyv9!19sChIJYbqI-7wBeC4Rkev_9EqfP00?authuser=0&amp;hl=zh-TW&amp;rclk=1</t>
  </si>
  <si>
    <t>Soto Ayam Lamongan Pak No</t>
  </si>
  <si>
    <t>Soto Ayam Lamongan Pak No menyajikan beragam menu masakan Indonesia dengan cita rasa autentik dan bumbu rempah khas Nusantara. Tempat ini menjadi pilihan populer bagi warga Surabaya yang mencari hidangan rumahan yang mengenyangkan. Variasi menunya cocok dinikmati untuk makan siang maupun makan malam bersama keluarga atau kerabat.</t>
  </si>
  <si>
    <t>-7.2889434, 112.7522141</t>
  </si>
  <si>
    <t>https://www.google.com/maps/place/Soto+Ayam+Lamongan+Pak+No/data=!4m7!3m6!1s0x2dd7fbb774e98f4f:0x1c92ee7bb487ed61!8m2!3d-7.2889434!4d112.7522141!16s%2Fg%2F1pzpjh54j!19sChIJT4_pdLf71y0RYe2HtHvukhw?authuser=0&amp;hl=zh-TW&amp;rclk=1</t>
  </si>
  <si>
    <t>OL and NU cafe eatery</t>
  </si>
  <si>
    <t>OL and NU cafe eatery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</si>
  <si>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-7.2592726, 112.7497086</t>
  </si>
  <si>
    <t>https://www.google.com/maps/place/OL+and+NU+cafe+eatery/data=!4m7!3m6!1s0x2dd7f956a1bf4e4f:0xd2578143682028d2!8m2!3d-7.2592726!4d112.7497086!16s%2Fg%2F11vprwqyws!19sChIJT06_oVb51y0R0iggaEOBV9I?authuser=0&amp;hl=zh-TW&amp;rclk=1</t>
  </si>
  <si>
    <t>Djavahaus Coffee and Eatery</t>
  </si>
  <si>
    <t>Djavahaus Coffee and Eatery menghadirkan perpaduan nuansa Jawa yang kental dengan konsep kafe modern yang nyaman. Nama 'Djavahaus' merefleksikan identitas lokal yang kuat, tercermin dalam dekorasi, suasana, dan sebagian menu yang terinspirasi dari kuliner Nusantara. Kafe ini menjadi ruang sosial yang hangat untuk berbagai kalangan, dari anak muda hingga keluarga yang ingin menikmati momen kebersamaan.</t>
  </si>
  <si>
    <t>Kafe, Eatery, Coffee Shop, Nuansa Jawa, Lokal, Heritage, Aesthetic, Instagramable, Cozy, Nongkrong, Hangout, Makanan Berat, Kopi, Family Friendly, Couple Friendly, Indoor, Work From Cafe, WFC, Friend Gathering, Lifestyle, Surabaya Pusat.</t>
  </si>
  <si>
    <t>-7.265650203606776, 112.73101092209022</t>
  </si>
  <si>
    <t>google.com/maps/place/Djavahaus+Coffee+and+Eatery/@-7.256757,112.7398604,17z/data=!4m6!3m5!1s0x2dd7f90fd879002b:0x7167762bebba0685!8m2!3d-7.2658737!4d112.7309841!16s%2Fg%2F11v095s9t_?entry=ttu&amp;g_ep=EgoyMDI2MDYyOS4wIKXMDSoASAFQAw%3D%3D</t>
  </si>
  <si>
    <t>Cafe B.ARU</t>
  </si>
  <si>
    <t>Cafe B.ARU adalah kafe dengan rating tinggi yang menawarkan suasana hangat dan menu yang menggugah selera. Dengan memadukan konsep kafe modern dan sentuhan lokal, Cafe B.ARU menjadi tempat yang nyaman untuk memulai pagi hari dengan sarapan dan kopi berkualitas. Jam buka yang pagi dan suasana yang bersahabat menjadikannya favorit pelanggan setia di kawasan tersebut.</t>
  </si>
  <si>
    <t>Kafe, Coffee Shop, Sarapan, Breakfast, Nongkrong, Hangout, Aesthetic, Cozy, Instagramable, Work From Cafe, WFC, Makanan, Kopi, Indoor, Family Friendly, Couple Friendly, Friend Gathering, Lifestyle, Affordable, Surabaya Pusat.</t>
  </si>
  <si>
    <t>-7.288530167204297, 112.73462718650826</t>
  </si>
  <si>
    <t>https://www.google.com/maps/place/Cafe+B.ARU/@-7.288892,112.734595,17z/data=!3m1!4b1!4m6!3m5!1s0x2dd7fb64cce2caa1:0x709aa53cf94c0da2!8m2!3d-7.288892!4d112.734595!16s%2Fg%2F11k9d48hy_?entry=ttu&amp;g_ep=EgoyMDI2MDYyOS4wIKXMDSoASAFQAw%3D%3D</t>
  </si>
  <si>
    <t>Sari Laut Cak San</t>
  </si>
  <si>
    <t>Sari Laut Cak San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</si>
  <si>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-7.248906, 112.748794</t>
  </si>
  <si>
    <t>https://www.google.com/maps/place/Sari+Laut+Cak+San/data=!4m7!3m6!1s0x2dd7f96d0879c041:0x3de7d26005f4af15!8m2!3d-7.248906!4d112.748794!16s%2Fg%2F11gbzc5c5t!19sChIJQcB5CG351y0RFa_0BWDS5z0?authuser=0&amp;hl=zh-TW&amp;rclk=1</t>
  </si>
  <si>
    <t>Sentra Wisata Kuliner Karah</t>
  </si>
  <si>
    <t>Sentra Wisata Kuliner Karah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</si>
  <si>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-7.3094548, 112.7196133</t>
  </si>
  <si>
    <t>https://www.google.com/maps/place/Sentra+Wisata+Kuliner+Karah/data=!4m7!3m6!1s0x2dd7fb7e454cd07f:0xaa34624d82b54c19!8m2!3d-7.3094548!4d112.7196133!16s%2Fg%2F1jgm4c3s7!19sChIJf9BMRX771y0RGUy1gk1iNKo?authuser=0&amp;hl=zh-TW&amp;rclk=1</t>
  </si>
  <si>
    <t>Tempe Penyet Vira</t>
  </si>
  <si>
    <t>Tempe Penyet Vira menyajikan menu sarapan dan makan siang dengan cita rasa rumahan yang praktis dan mengenyangkan. Tempat ini menjadi pilihan warga Surabaya yang membutuhkan makanan cepat namun tetap nikmat di jam-jam sibuk. Suasana kedai yang sederhana membuat pengunjung merasa nyaman.</t>
  </si>
  <si>
    <t>Kedai Sarapan &amp; Makan Siang, Sarapan, Makan Siang, Menu Rumahan, Warung Keluarga, Surabaya.</t>
  </si>
  <si>
    <t>-7.3070553, 112.6701489</t>
  </si>
  <si>
    <t>https://www.google.com/maps/place/Tempe+Penyet+Vira/data=!4m7!3m6!1s0x2dd7fc548955bfb7:0xc96f5aefce35bc11!8m2!3d-7.3070553!4d112.6701489!16s%2Fg%2F11f5h39bmc!19sChIJt79ViVT81y0REbw1zu9ab8k?authuser=0&amp;hl=zh-TW&amp;rclk=1</t>
  </si>
  <si>
    <t>Nasi Babat Kampung Malang Surabaya</t>
  </si>
  <si>
    <t>Nasi Babat Kampung Malang Surabaya menghadirkan aneka masakan khas Jawa Timur dengan cita rasa rumahan yang autentik. Menu-menu tradisionalnya menjadi daya tarik bagi pengunjung yang rindu akan cita rasa kuliner lokal di Surabaya. Tempat ini cocok untuk makan siang maupun makan malam bersama keluarga.</t>
  </si>
  <si>
    <t>-7.2681961, 112.7349789</t>
  </si>
  <si>
    <t>https://www.google.com/maps/place/Nasi+Babat+Kampung+Malang+Surabaya/data=!4m7!3m6!1s0x2dd7fbe10fb69f45:0x3fb2a844d676d0af!8m2!3d-7.2681961!4d112.7349789!16s%2Fg%2F11dztt3kjt!19sChIJRZ-2D-H71y0Rr9B21kSosj8?authuser=0&amp;hl=zh-TW&amp;rclk=1</t>
  </si>
  <si>
    <t>Bebek Tumapel Mbak Roh</t>
  </si>
  <si>
    <t>Bebek Tumapel Mbak Roh menyajikan aneka olahan ayam, mulai dari ayam goreng hingga ayam bakar dengan bumbu khas yang meresap. Tempat ini menjadi pilihan makan favorit warga Surabaya yang menyukai cita rasa gurih ayam berbumbu. Suasana tempatnya nyaman untuk makan bersama keluarga maupun teman.</t>
  </si>
  <si>
    <t>-7.2855545, 112.7409039</t>
  </si>
  <si>
    <t>https://www.google.com/maps/place/Bebek+Tumapel+Mbak+Roh/data=!4m7!3m6!1s0x2dd7fbc046aa3d35:0xf40295e623ccb469!8m2!3d-7.2855545!4d112.7409039!16s%2Fg%2F11c2pzh5yf!19sChIJNT2qRsD71y0RabTMI-aVAvQ?authuser=0&amp;hl=zh-TW&amp;rclk=1</t>
  </si>
  <si>
    <t>BAKSO SOLO DAN MIE AYAM CEKER ECO ECO</t>
  </si>
  <si>
    <t>BAKSO SOLO DAN MIE AYAM CEKER ECO ECO menawarkan hidangan mie ayam dengan pangsit khas yang menjadi favorit banyak pelanggan setianya. Racikan bumbu dan kuahnya yang gurih membuat tempat ini selalu ramai dikunjungi warga Surabaya. Cocok dijadikan pilihan makan siang atau malam dengan harga yang bersahabat.</t>
  </si>
  <si>
    <t>-7.2330095, 112.723428</t>
  </si>
  <si>
    <t>https://www.google.com/maps/place/BAKSO+SOLO+DAN+MIE+AYAM+CEKER+ECO+ECO/data=!4m7!3m6!1s0x2dd7f963f63d74bb:0x3d18f1576ef3193d!8m2!3d-7.2330095!4d112.723428!16s%2Fg%2F11b6s_prfn!19sChIJu3Q99mP51y0RPRnzblfxGD0?authuser=0&amp;hl=zh-TW&amp;rclk=1</t>
  </si>
  <si>
    <t>Sari Laut Cak Aris</t>
  </si>
  <si>
    <t>Sari Laut Cak Aris merupakan warung sari laut khas Lamongan yang menyajikan aneka hidangan seafood segar seperti lele penyet, udang, cumi, dan kepiting asam manis dengan bumbu khas yang gurih dan pedas. Tempat ini terkenal dengan porsi besar dan harga yang sangat terjangkau, membuatnya selalu ramai dikunjungi warga Surabaya terutama pada malam hari. Berlokasi di kawasan Ngagel Jaya Selatan, warung ini menjadi pilihan favorit pencinta kuliner laut dengan cita rasa otentik.</t>
  </si>
  <si>
    <t>Restoran Seafood, Sari Laut, Kuliner Lamongan, Kepiting Asam Manis, Lele Penyet, Cumi, Udang, Sambal Khas, Warung Kaki Lima, Harga Terjangkau, Kuliner Malam, Ngagel, Surabaya.</t>
  </si>
  <si>
    <t>-7.2921546, 112.7502257</t>
  </si>
  <si>
    <t>https://www.google.com/maps/place/Sari+Laut+Cak+Aris+Khas+Lamongan/@-7.2921493,112.7476508,17z/data=!3m1!4b1!4m6!3m5!1s0x2dd7fbba1acfc8c3:0x99d6e25a8482cc!8m2!3d-7.2921546!4d112.7502257!16s%2Fg%2F11bzsg_m61?entry=ttu&amp;g_ep=EgoyMDI2MDYyOS4wIKXMDSoASAFQAw%3D%3D</t>
  </si>
  <si>
    <t>SATE AYAM DAN SATE KLOPO ABA MAKRUF</t>
  </si>
  <si>
    <t>SATE AYAM DAN SATE KLOPO ABA MAKRUF menyajikan sate dengan bumbu kacang khas yang gurih, dipanggang di atas bara hingga aromanya menggugah selera. Menu ini menjadi favorit warga Surabaya untuk santap malam maupun acara kumpul bersama. Cita rasa dan kualitas dagingnya menjadikan tempat ini banyak direkomendasikan pencinta kuliner sate.</t>
  </si>
  <si>
    <t>-7.2554016, 112.7251419</t>
  </si>
  <si>
    <t>https://www.google.com/maps/place/SATE+AYAM+DAN+SATE+KLOPO+ABA+MAKRUF/data=!4m7!3m6!1s0x2dd7f94f09617049:0x101c0404f3155deb!8m2!3d-7.2554016!4d112.7251419!16s%2Fg%2F11f2cky1f1!19sChIJSXBhCU_51y0R610V8wQEHBA?authuser=0&amp;hl=zh-TW&amp;rclk=1</t>
  </si>
  <si>
    <t>Baradjawa Coffee - Gayungsari</t>
  </si>
  <si>
    <t>Baradjawa Coffee - Gayungsari adalah kedai kopi yang menyajikan berbagai pilihan minuman kopi dan non-kopi dengan suasana nyaman untuk nongkrong maupun bekerja. Tempat ini menjadi salah satu pilihan favorit anak muda di Surabaya untuk menghabiskan waktu santai sambil menikmati secangkir kopi. Suasana dan pelayanannya membuat pengunjung betah berlama-lama.</t>
  </si>
  <si>
    <t>-7.3314452, 112.7181276</t>
  </si>
  <si>
    <t>https://www.google.com/maps/place/Baradjawa+Coffee+-+Gayungsari/data=!4m7!3m6!1s0x2dd7fbac66c3853f:0x5301133e58599b3c!8m2!3d-7.3314452!4d112.7181276!16s%2Fg%2F11t3dw6hq9!19sChIJP4XDZqz71y0RPJtZWD4TAVM?authuser=0&amp;hl=zh-TW&amp;rclk=1</t>
  </si>
  <si>
    <t>Imari Japanese Restaurant at JW Marriott Surabaya</t>
  </si>
  <si>
    <t>Imari Japanese Restaurant at JW Marriott Surabaya menyajikan hidangan khas Jepang dengan cita rasa autentik, mulai dari menu berbahan dasar nasi hingga mie ala Jepang. Tempat ini menjadi pilihan bagi pencinta kuliner oriental di Surabaya yang ingin menikmati suasana dan rasa khas Negeri Sakura. Konsep penyajiannya yang rapi menambah pengalaman bersantap yang menyenangkan.</t>
  </si>
  <si>
    <t>-7.259647, 112.734734</t>
  </si>
  <si>
    <t>https://www.google.com/maps/place/Imari+Japanese+Restaurant+at+JW+Marriott+Surabaya/data=!4m7!3m6!1s0x2dd7f95cf3c44ec7:0xb9d003f8e5afe15d!8m2!3d-7.259647!4d112.734734!16s%2Fg%2F11cfhh5c7!19sChIJx07E81z51y0RXeGv5fgD0Lk?authuser=0&amp;hl=zh-TW&amp;rclk=1</t>
  </si>
  <si>
    <t>Taman Pakal</t>
  </si>
  <si>
    <t>Taman Pakal merupakan ruang terbuka hijau yang menjadi tempat favorit warga Surabaya untuk bersantai, berolahraga ringan, maupun menghabiskan waktu bersama keluarga. Suasana yang asri dan udara segar menjadikan taman ini cocok untuk healing di tengah kesibukan kota. Tempat ini juga sering dimanfaatkan sebagai spot foto dan area bermain anak.</t>
  </si>
  <si>
    <t>-7.2420068, 112.6297684</t>
  </si>
  <si>
    <t>https://www.google.com/maps/place/Pakal+Park/data=!4m7!3m6!1s0x2dd7fe2f8c4855b9:0x48ebc04897b7037f!8m2!3d-7.2420068!4d112.6297684!16s%2Fg%2F11b7khs0p7!19sChIJuVVIjC_-1y0RfwO3l0jA60g?authuser=0&amp;hl=zh-TW&amp;rclk=1</t>
  </si>
  <si>
    <t>Taman mentari</t>
  </si>
  <si>
    <t>Taman Mentari merupakan taman kota yang menawarkan area hijau yang luas dan suasana yang nyaman untuk berbagai aktivitas rekreasi. Dengan fasilitas ruang terbuka, area bermain, serta jalur untuk berjalan santai dan berolahraga, taman ini menjadi tempat favorit masyarakat untuk menghabiskan waktu bersama keluarga maupun teman. Lingkungannya yang rindang dan tertata rapi membuat Taman Mentari cocok untuk bersantai, beraktivitas fisik, maupun menikmati suasana kota di ruang terbuka.</t>
  </si>
  <si>
    <t>Taman Kota, Outdoor, Ruang Terbuka Hijau, Family Friendly, Kids Friendly, Jogging, Walking Track, Santai, Healing, Rekreasi, Wisata Keluarga, Piknik, Community Space, Fotografi, Instagramable, Aesthetic, Ramah Anak, Sejuk, Olahraga, Spot Foto, Wisata Gratis, Urban Tourism, Taman Publik.</t>
  </si>
  <si>
    <t>-7.2331605, 112.7902023</t>
  </si>
  <si>
    <t>https://www.google.com/maps/place/Taman+Mentari/@-7.2331605,112.7902023,17z/data=!3m1!4b1!4m6!3m5!1s0x2dd7f9c88c5a5da9:0xd1c0ab39457d05f1!8m2!3d-7.2331605!4d112.7902023!16s%2Fg%2F11f3tjqggm?entry=ttu&amp;g_ep=EgoyMDI2MDYyOS4wIKXMDSoASAFQAw%3D%3D</t>
  </si>
  <si>
    <t>Taman Jagir Wonokromo</t>
  </si>
  <si>
    <t>Taman Jagir Wonokromo merupakan ruang terbuka hijau yang menjadi tempat favorit warga Surabaya untuk bersantai, berolahraga ringan, maupun menghabiskan waktu bersama keluarga. Suasana yang asri dan udara segar menjadikan taman ini cocok untuk healing di tengah kesibukan kota. Tempat ini juga sering dimanfaatkan sebagai spot foto dan area bermain anak.</t>
  </si>
  <si>
    <t>-7.3017507, 112.744372</t>
  </si>
  <si>
    <t>https://www.google.com/maps/place/Taman+Jagir+Wonokromo/data=!4m7!3m6!1s0x2dd7fbe982624801:0x6d0fca33aab9485!8m2!3d-7.3017507!4d112.744372!16s%2Fg%2F11h75jj68q!19sChIJAUhigun71y0RhZSrOqP80AY?authuser=0&amp;hl=zh-TW&amp;rclk=1</t>
  </si>
  <si>
    <t>Seafood AMEN</t>
  </si>
  <si>
    <t>Seafood AMEN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</si>
  <si>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-7.304443, 112.781004</t>
  </si>
  <si>
    <t>https://www.google.com/maps/place/Seafood+AMEN/data=!4m7!3m6!1s0x2dd7fa5f4c52c4b1:0xc9be1f2b9a92ba3e!8m2!3d-7.304443!4d112.781004!16s%2Fg%2F11b6tzlslv!19sChIJscRSTF_61y0RPrqSmisfvsk?authuser=0&amp;hl=zh-TW&amp;rclk=1</t>
  </si>
  <si>
    <t>Monumen Kapal Selam Surabaya</t>
  </si>
  <si>
    <t>Museum di dalam bekas kapal selam perang Rusia dengan tur, berada di dekat taman dengan kafe.</t>
  </si>
  <si>
    <t>-7.265591, 112.7503272</t>
  </si>
  <si>
    <t>https://www.google.com/maps/place/Monumen+Kapal+Selam+Surabaya/data=!4m7!3m6!1s0x2dd7f9628df520e5:0x577443720136fb0b!8m2!3d-7.265591!4d112.7503272!16s%2Fg%2F121_5bz_!19sChIJ5SD1jWL51y0RC_s2AXJDdFc?authuser=0&amp;hl=zh-TW&amp;rclk=1</t>
  </si>
  <si>
    <t>3C Cafe - Margorejo Indah</t>
  </si>
  <si>
    <t>3C Cafe - Margorejo Indah merupakan kafe yang menawarkan pilihan menu makanan dan minuman kekinian dengan suasana yang nyaman untuk bersantai. Tempat ini cocok dijadikan lokasi nongkrong bersama teman maupun bekerja santai di kawasan Surabaya. Konsep dan pelayanannya menjadikan tempat ini favorit banyak pengunjung.</t>
  </si>
  <si>
    <t>-7.3176746, 112.745818</t>
  </si>
  <si>
    <t>https://www.google.com/maps/place/3C+Cafe+-+Margorejo+Indah/data=!4m7!3m6!1s0x2dd7fb4ec6b73dc1:0xe0000e42984495b3!8m2!3d-7.3176746!4d112.745818!16s%2Fg%2F11t0sqww__!19sChIJwT23xk771y0Rs5VEmEIOAOA?authuser=0&amp;hl=zh-TW&amp;rclk=1</t>
  </si>
  <si>
    <t>Kuliner Malam Jeng Tika</t>
  </si>
  <si>
    <t>Kuliner Malam Jeng Tika menghadirkan aneka masakan khas Jawa Timur dengan cita rasa rumahan yang autentik. Menu-menu tradisionalnya menjadi daya tarik bagi pengunjung yang rindu akan cita rasa kuliner lokal di Surabaya. Tempat ini cocok untuk makan siang maupun makan malam bersama keluarga.</t>
  </si>
  <si>
    <t>-7.3220213, 112.7787137</t>
  </si>
  <si>
    <t>https://www.google.com/maps/place/Kuliner+Malam+Jeng+Tika/data=!4m7!3m6!1s0x2dd7fbfca99f89fd:0x2d81e952425a7a5!8m2!3d-7.3220213!4d112.7787137!16s%2Fg%2F11sq890q8f!19sChIJ_Ymfqfz71y0RpaclJJUe2AI?authuser=0&amp;hl=zh-TW&amp;rclk=1</t>
  </si>
  <si>
    <t>Pangsit Mie Ayam Tidar 238</t>
  </si>
  <si>
    <t>Pangsit Mie Ayam Tidar 238 menawarkan hidangan mie ayam dengan pangsit khas yang menjadi favorit banyak pelanggan setianya. Racikan bumbu dan kuahnya yang gurih membuat tempat ini selalu ramai dikunjungi warga Surabaya. Cocok dijadikan pilihan makan siang atau malam dengan harga yang bersahabat.</t>
  </si>
  <si>
    <t>-7.2565314, 112.7218806</t>
  </si>
  <si>
    <t>https://www.google.com/maps/place/Pangsit+Mie+Ayam+Tidar+238/data=!4m7!3m6!1s0x2dd7f94e6d895423:0x2434f9e80ee0350!8m2!3d-7.2565314!4d112.7218806!16s%2Fg%2F11bwp1q3bm!19sChIJI1SJbU751y0RUAPugJ5PQwI?authuser=0&amp;hl=zh-TW&amp;rclk=1</t>
  </si>
  <si>
    <t>Sentra Wisata Kuliner Dharmawangsa</t>
  </si>
  <si>
    <t>Sentra Wisata Kuliner Dharmawangsa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</si>
  <si>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-7.2673172, 112.7561795</t>
  </si>
  <si>
    <t>https://www.google.com/maps/place/Culinary+Sentra+Dharmawangsa+%2F+Hokky+Open+24+Hours/data=!4m7!3m6!1s0x2dd7fbd60d244851:0x1bd60c87ef84a349!8m2!3d-7.2673172!4d112.7561795!16s%2Fg%2F11b69bcrbv!19sChIJUUgkDdb71y0RSaOE74cM1hs?authuser=0&amp;hl=zh-TW&amp;rclk=1</t>
  </si>
  <si>
    <t>Pangsit Mie Ayam Jakarta menawarkan hidangan mie ayam dengan pangsit khas yang menjadi favorit banyak pelanggan setianya. Racikan bumbu dan kuahnya yang gurih membuat tempat ini selalu ramai dikunjungi warga Surabaya. Cocok dijadikan pilihan makan siang atau malam dengan harga yang bersahabat.</t>
  </si>
  <si>
    <t>-7.281993, 112.7163115</t>
  </si>
  <si>
    <t>https://www.google.com/maps/place/Pangsit+Mie+Ayam+Jakarta/data=!4m7!3m6!1s0x2dd7fbd42c907be5:0xff63c58650fd9c00!8m2!3d-7.281993!4d112.7163115!16s%2Fg%2F11bw5mdk60!19sChIJ5XuQLNT71y0RAJz9UIbFY_8?authuser=0&amp;hl=zh-TW&amp;rclk=1</t>
  </si>
  <si>
    <t>Domicile Kitchen And Lounge</t>
  </si>
  <si>
    <t>Tempat kumpul trendi bernuansa santai dengan kuliner fusion ala Barat-Timur &amp; koktail, dengan taman &amp; kolam.</t>
  </si>
  <si>
    <t>Restoran Masakan Barat</t>
  </si>
  <si>
    <t>40000-200000</t>
  </si>
  <si>
    <t>-7.2692707, 112.7501173</t>
  </si>
  <si>
    <t>https://www.google.com/maps/place/Domicile+Kitchen+Lounge/data=!4m7!3m6!1s0x2dd7fbd9ce98e1fd:0x7d23e2e7537c2996!8m2!3d-7.2692707!4d112.7501173!16s%2Fg%2F11b6cq5n94!19sChIJ_eGYztn71y0Rlil8U-fiI30?authuser=0&amp;hl=zh-TW&amp;rclk=1</t>
  </si>
  <si>
    <t>Wisata Kuliner Embong Blimbing</t>
  </si>
  <si>
    <t>Wisata Kuliner Embong Blimbing adalah pusat jajanan yang menghadirkan berbagai pilihan kuliner dalam satu lokasi, mulai dari makanan berat hingga camilan. Konsep food court ini memudahkan pengunjung yang datang bersama keluarga atau teman dengan selera berbeda-beda. Tempat ini menjadi salah satu destinasi kuliner praktis di kawasan Surabaya.</t>
  </si>
  <si>
    <t>-7.2692136, 112.7405024</t>
  </si>
  <si>
    <t>https://www.google.com/maps/place/Wisata+Kuliner+Embong+Blimbing/data=!4m7!3m6!1s0x2dd7fbdfc9f053fb:0x403cfaab979a14a9!8m2!3d-7.2692136!4d112.7405024!16s%2Fg%2F11g027lly1!19sChIJ-1Pwyd_71y0RqRSal6v6PEA?authuser=0&amp;hl=zh-TW&amp;rclk=1</t>
  </si>
  <si>
    <t>Dimsum Mbledos MERR</t>
  </si>
  <si>
    <t>Restoran dimsum terkenal yang mengklaim sebagai produsen dimsum terbanyak di Indonesia dengan varian yang selalu diperbarui setiap bulan. Berdiri sejak 2012, menjual sekitar 2500 porsi per hari. Menu mencakup dimsum kukus seperti siomay, hakau, xiao long bao, dan dimsum goreng seperti lumpia dan money bag. Dekorasi khas Chinese resto dengan dominasi merah.</t>
  </si>
  <si>
    <t>Kuliner Dimsum, Chinese Food, Dimsum Kukus, Dimsum Goreng, Siomay, Hakau, Xiao Long Bao, Terjangkau, Halal, Surabaya Timur</t>
  </si>
  <si>
    <t>-7.25932170046079, 112.7827281509263</t>
  </si>
  <si>
    <t>-7,25932170046079</t>
  </si>
  <si>
    <t>112,7827281509263</t>
  </si>
  <si>
    <t>https://www.google.com/maps/place/DIMSUM+MBLEDOS+MERR/@-7.2595452,112.7826906,17z/data=!3m1!4b1!4m6!3m5!1s0x2dd7f98c76b11215:0x28b75e5050f13585!8m2!3d-7.2595452!4d112.7826906!16s%2Fg%2F11b6v6j4gj?entry=ttu&amp;g_ep=EgoyMDI2MDYyOS4wIKXMDSoASAFQAw%3D%3D</t>
  </si>
  <si>
    <t>Muphus Seafood Surabaya 2</t>
  </si>
  <si>
    <t>Muphus Seafood Surabaya 2 merupakan tempat makan yang menyajikan aneka hidangan laut segar khas Indonesia, mulai dari ikan, udang, cumi, hingga kepiting yang diolah dengan bumbu bakar maupun goreng. Cita rasa sambal dan bumbu khasnya menjadi daya tarik utama bagi pengunjung yang gemar kuliner seafood. Tempat ini cocok untuk makan bersama keluarga maupun teman di kawasan Surabaya.</t>
  </si>
  <si>
    <t>-7.2430094, 112.6310949</t>
  </si>
  <si>
    <t>https://www.google.com/maps/place/Muphus+Seafood+Surabaya+2/data=!4m7!3m6!1s0x2dd7ff003ca0a513:0xe7eb221578555f57!8m2!3d-7.2430094!4d112.6310949!16s%2Fg%2F11wq3g8_v9!19sChIJE6WgPAD_1y0RV19VeBUi6-c?authuser=0&amp;hl=zh-TW&amp;rclk=1</t>
  </si>
  <si>
    <t>Taman Rungkut Madya</t>
  </si>
  <si>
    <t>Taman Rungkut Madya merupakan ruang terbuka hijau yang menjadi tempat favorit warga Surabaya untuk bersantai, berolahraga ringan, maupun menghabiskan waktu bersama keluarga. Suasana yang asri dan udara segar menjadikan taman ini cocok untuk healing di tengah kesibukan kota. Tempat ini juga sering dimanfaatkan sebagai spot foto dan area bermain anak.</t>
  </si>
  <si>
    <t>Taman</t>
  </si>
  <si>
    <t>-7.3314015, 112.7815532</t>
  </si>
  <si>
    <t>https://www.google.com/maps/place/Taman+Rungkut+Madya/data=!4m7!3m6!1s0x2dd7fbf7d578c85b:0x7bb9fd278578c87!8m2!3d-7.3314015!4d112.7815532!16s%2Fg%2F11sj5pvztw!19sChIJW8h41ff71y0Rh4xXeNKfuwc?authuser=0&amp;hl=zh-TW&amp;rclk=1</t>
  </si>
  <si>
    <t>Warung Tempe Penyet Mbak Noer</t>
  </si>
  <si>
    <t>Restoran simpel yang menyajikan masakan rumahan di tengah lingkungan yang penuh warna.</t>
  </si>
  <si>
    <t>-7.3032388, 112.7490363</t>
  </si>
  <si>
    <t>https://www.google.com/maps/place/Warung+Tempe+Penyet+Mbak+Noer/data=!4m7!3m6!1s0x2dd7fba64224f3bb:0x730586c6d7df468a!8m2!3d-7.3032388!4d112.7490363!16s%2Fg%2F1hm5msk3r!19sChIJu_MkQqb71y0Rikbf18aGBXM?authuser=0&amp;hl=zh-TW&amp;rclk=1</t>
  </si>
  <si>
    <t xml:space="preserve"> BM Coffee Merr</t>
  </si>
  <si>
    <t>BM Coffee Merr adalah kafe kopi yang buka 24 jam di kawasan Boulevard Merr (MERR), Surabaya Timur, menjadikannya pilihan andalan warga sekitar kapan pun ingin ngopi atau bersantai. Dengan harga yang terjangkau dan suasana yang santai, BM Coffee Merr melayani berbagai kalangan mulai dari mahasiswa, pekerja, hingga keluarga. Lokasi strategis di koridor jalan besar MERR semakin memudahkan akses dari berbagai penjuru kota.</t>
  </si>
  <si>
    <t>Kafe, Coffee Shop, 24 Jam, Nongkrong, Hangout, Work From Cafe, WFC, Affordable, Kopi, Makanan Ringan, Late Night, Indoor, Mahasiswa, Family Friendly, Couple Friendly, Friend Gathering, Boulevard Merr, MERR, Surabaya Timur.</t>
  </si>
  <si>
    <t>-7.326208289939449, 112.78087556362767</t>
  </si>
  <si>
    <t>https://www.google.com/maps/place/BM+Coffee+Surabaya+-Merr/@-7.32642,112.7809127,17z/data=!3m1!4b1!4m6!3m5!1s0x2dd7fb59597b7879:0xfff81420c89dfb74!8m2!3d-7.32642!4d112.7809127!16s%2Fg%2F11y76q4zhz?entry=ttu&amp;g_ep=EgoyMDI2MDYyOS4wIKXMDSoASAFQAw%3D%3D</t>
  </si>
  <si>
    <t>TOBY'S ESTATE Coffee Roasters</t>
  </si>
  <si>
    <t>TOBY'S ESTATE Coffee Roasters adalah jaringan kafe specialty coffee internasional asal Sydney, Australia, yang hadir di Surabaya. Dikenal sebagai salah satu pelopor gerakan third wave coffee, Toby's Estate menghadirkan biji kopi single origin berkualitas premium yang diroasting dengan presisi tinggi. Pengalaman minum kopi di sini bukan sekadar konsumsi, melainkan perjalanan indrawi yang autentik bagi setiap penikmat kopi.</t>
  </si>
  <si>
    <t>Specialty Coffee, Coffee Roaster, Third Wave Coffee, Internasional, Premium, Single Origin, Pour Over, Espresso, Barista, Kopi Berkualitas, Aesthetic, Instagramable, Cozy, Nongkrong, Indoor, Coffee Enthusiast, Lifestyle, Work From Cafe, WFC, Surabaya Pusat</t>
  </si>
  <si>
    <t>-7.261307858662409, 112.73964705092631</t>
  </si>
  <si>
    <t>https://www.google.com/maps/place/Toby's+Estate+Coffee+Roasters+-+Tunjungan+Plaza/@-7.261542,112.7045906,13z/data=!4m10!1m2!2m1!1stobys+estate!3m6!1s0x2dd7f96cbf0f97cb:0x2daf811cbeed5a12!8m2!3d-7.261542!4d112.7396095!15sCgx0b2J5cyBlc3RhdGUiA4gBAVoOIgx0b2J5cyBlc3RhdGWSAQtjb2ZmZWVfc2hvcOABAA!16s%2Fg%2F11g1mcb7mr?entry=ttu&amp;g_ep=EgoyMDI2MDYyOS4wIKXMDSoASAFQAw%3D%3D</t>
  </si>
  <si>
    <t>Makam sunan ampel</t>
  </si>
  <si>
    <t>Makam Sunan Ampel merupakan salah satu destinasi wisata religi paling terkenal di Surabaya yang menjadi tempat peristirahatan Sunan Ampel, salah satu tokoh penyebar agama Islam di Pulau Jawa. Berada di kawasan bersejarah Ampel, tempat ini ramai dikunjungi peziarah dari berbagai daerah untuk berdoa dan mengenang perjuangan dakwah beliau. Selain nilai spiritual yang kuat, kawasan ini juga menawarkan nuansa budaya dan sejarah yang kental dengan keberadaan masjid tua, pasar religi, serta arsitektur khas yang menarik untuk dijelajahi.</t>
  </si>
  <si>
    <t>Wisata Religi, Ziarah, Sejarah, Budaya, Heritage, Spiritual, Edukasi, Wisata Islam, Wali Songo, Religious Tourism, Arsitektur Bersejarah, Wisata Budaya, Landmark Surabaya, Family Friendly, Historical Tour, Tradisi, Destinasi Religi, Kawasan Bersejarah, Jelajah Kota, Wisata Edukatif, Ikonik Surabaya.</t>
  </si>
  <si>
    <t>-7.2298511, 112.7425029</t>
  </si>
  <si>
    <t>https://www.google.com/maps/place/Makam+Sunan+Ampel/@-7.2298511,112.7425029,17z/data=!3m1!4b1!4m6!3m5!1s0x2dd7f9889af0b327:0x561ad7e20546f097!8m2!3d-7.2298511!4d112.7425029!16s%2Fg%2F11q9gjwwg0?entry=ttu&amp;g_ep=EgoyMDI2MDYyOS4wIKXMDSoASAFQAw%3D%3D</t>
  </si>
  <si>
    <t>Omah Joglo balas</t>
  </si>
  <si>
    <t>Omah Joglo Balas merupakan destinasi wisata budaya yang menghadirkan nuansa tradisional Jawa melalui bangunan joglo khas, suasana pedesaan, dan lingkungan yang asri. Tempat ini sering dimanfaatkan untuk kegiatan edukasi, rekreasi keluarga, hingga berbagai acara komunitas yang mengenalkan nilai-nilai budaya lokal. Dengan arsitektur tradisional yang autentik dan suasana yang tenang, Omah Joglo Balas menjadi pilihan menarik bagi pengunjung yang ingin menikmati wisata budaya dan suasana Jawa yang kental di Surabaya.</t>
  </si>
  <si>
    <t>Wisata Budaya, Budaya Jawa, Rumah Joglo, Arsitektur Tradisional, Heritage, Edukasi, Family Friendly, Kids Friendly, Outdoor, Aesthetic, Instagramable, Fotografi, Wisata Keluarga, Tradisional, Community Space, Sejarah, Rekreasi, Spot Foto, Wisata Edukatif, Kearifan Lokal, Suasana Pedesaan, Hidden Gem, Surabaya, Cultural Tourism.</t>
  </si>
  <si>
    <t>-7.3321946, 112.6907989</t>
  </si>
  <si>
    <t>https://www.google.com/maps/place/OMAH+JOGLO+BALAS/@-7.3321946,112.6907989,17z/data=!3m1!4b1!4m6!3m5!1s0x2dd7fd8ff2af3ef1:0x720fc97db2cfba79!8m2!3d-7.3321946!4d112.6907989!16s%2Fg%2F11vhd5hhs8?entry=ttu&amp;g_ep=EgoyMDI2MDYyOS4wIKXMDSoASAFQAw%3D%3D</t>
  </si>
  <si>
    <t>TETRA Coffee &amp; Eatery</t>
  </si>
  <si>
    <t>TETRA Coffee &amp; Eatery adalah kafe yang buka 24 jam dengan konsep all-in-one sebagai tempat ngopi sekaligus makan. Memadukan menu kopi dan makanan berat dalam satu tempat, TETRA menjadi pilihan fleksibel untuk berbagai kebutuhan mulai dari sarapan, makan siang, dinner, hingga nongkrong malam. Konsep eatery-nya yang lengkap menjadikan TETRA destinasi serba ada yang praktis bagi warga Surabaya.</t>
  </si>
  <si>
    <t>Kafe, Eatery, Coffee Shop, 24 Jam, All Day Dining, Nongkrong, Hangout, Work From Cafe, WFC, Makanan Berat, Kopi, Late Night, Indoor, Affordable, Family Friendly, Couple Friendly, Friend Gathering, Lifestyle, Surabaya Pusat.</t>
  </si>
  <si>
    <t>-7.277908273853585, 112.7531993202376</t>
  </si>
  <si>
    <t>https://www.google.com/maps/place/TETRA+Coffee+%26+Eatery+-+Surabaya/@-7.2782914,112.7532476,17z/data=!3m1!4b1!4m6!3m5!1s0x2dd7fb73b554413b:0x385bdc7442e7c05!8m2!3d-7.2782914!4d112.7532476!16s%2Fg%2F11x970s5yk?entry=ttu&amp;g_ep=EgoyMDI2MDYyOS4wIKXMDSoASAFQAw%3D%3D</t>
  </si>
  <si>
    <t>Alas Dapuda</t>
  </si>
  <si>
    <t>Alas Dapuda merupakan destinasi wisata alam yang menawarkan suasana hijau, rindang, dan menenangkan di tengah lingkungan perkotaan. Dengan area terbuka yang dipenuhi pepohonan serta berbagai fasilitas rekreasi, tempat ini cocok untuk bersantai, berkumpul bersama keluarga, maupun menikmati aktivitas luar ruangan. Suasana yang asri dan alami menjadikan Alas Dapuda sebagai pilihan menarik bagi pengunjung yang ingin melepas penat dan menikmati udara segar.</t>
  </si>
  <si>
    <t>Wisata Alam, Nature, Outdoor, Hutan Kota, Ruang Terbuka Hijau, Healing, Santai, Sejuk, Family Friendly, Kids Friendly, Rekreasi, Piknik, Jogging, Walking Track, Fotografi Alam, Instagramable, Aesthetic, Eco Tourism, Wisata Keluarga, Community Space, Hidden Gem, Spot Foto, Wisata Gratis, Urban Forest, Surabaya.</t>
  </si>
  <si>
    <t>-7.3353081, 112.6697325</t>
  </si>
  <si>
    <t>https://www.google.com/maps/place/Alas+Dapuda/@-7.3353081,112.6697325,17z/data=!3m1!4b1!4m6!3m5!1s0x2dd7fcdf3d09ba4f:0x41cc8dc17781897b!8m2!3d-7.3353081!4d112.6697325!16s%2Fg%2F11csr3r_m0?entry=ttu&amp;g_ep=EgoyMDI2MDYyOS4wIKXMDSoASAFQAw%3D%3D</t>
  </si>
  <si>
    <t>ALECTA</t>
  </si>
  <si>
    <t>ALECTA adalah kafe bergaya modern yang menawarkan pengalaman nongkrong premium dengan menu minuman dan makanan yang variatif. Buka hingga tengah malam, ALECTA menjadi pilihan tepat untuk mengakhiri hari sambil menikmati suasana kafe yang hidup dan stylish. Desain interior yang eye-catching dan menu yang konsisten menjadikan ALECTA salah satu kafe populer di Surabaya.</t>
  </si>
  <si>
    <t>Kafe, Coffee Shop, Nongkrong, Hangout, Night Out, Late Night, Aesthetic, Instagramable, Stylish, Modern, Cozy, Makanan, Minuman, Indoor, Couple Friendly, Friend Gathering, Lifestyle, Work From Cafe, WFC, Surabaya Pusat.</t>
  </si>
  <si>
    <t>-7.289913347295393, 112.74997901349171</t>
  </si>
  <si>
    <t>https://www.google.com/maps/place/ALECTA/@-7.2903816,112.7500112,17z/data=!3m1!4b1!4m6!3m5!1s0x2dd7f91d92314b61:0x5505aaf970acc5a5!8m2!3d-7.2903816!4d112.7500112!16s%2Fg%2F11rchrb06d?entry=ttu&amp;g_ep=EgoyMDI2MDYyOS4wIKXMDSoASAFQAw%3D%3D</t>
  </si>
  <si>
    <t>Hutan Kota (Tahura)</t>
  </si>
  <si>
    <t>Hutan Kota (Tahura) Sumur Welut merupakan kawasan konservasi dan ruang terbuka hijau yang dikelola oleh Dinas Pertanian Kota Surabaya. Area ini menghadirkan suasana alami dengan beragam jenis pepohonan, jalur pejalan kaki, serta lingkungan yang sejuk dan tenang. Selain menjadi tempat rekreasi, Tahura Sumur Welut juga berfungsi sebagai sarana edukasi lingkungan dan pelestarian keanekaragaman hayati, sehingga cocok untuk dikunjungi bersama keluarga, pelajar, maupun pecinta alam.</t>
  </si>
  <si>
    <t>Hutan Kota, Tahura, Wisata Alam, Nature, Outdoor, Eco Tourism, Konservasi, Edukasi Lingkungan, Ruang Terbuka Hijau, Keanekaragaman Hayati, Family Friendly, Kids Friendly, Healing, Santai, Sejuk, Walking Track, Jogging, Fotografi Alam, Bird Watching, Wisata Edukatif, Green Space, Urban Forest, Rekreasi, Wisata Gratis, Surabaya.</t>
  </si>
  <si>
    <t>-7.3324759, 112.6681051</t>
  </si>
  <si>
    <t>https://www.google.com/maps/place/Hutan+Kota+(Tahura)+Sumur+Welut,+Dinas+Pertanian+Kota+Surabaya/@-7.3324759,112.6330862,13z/data=!4m10!1m2!2m1!1shutan+kota+tahur!3m6!1s0x2dd7fd809bf20bb9:0x76e5e6751bdfab08!8m2!3d-7.3324759!4d112.6681051!15sChBodXRhbiBrb3RhIHRhaHVyWhIiEGh1dGFuIGtvdGEgdGFodXKSAQRwYXJrmgEjQ2haRFNVaE5NRzluUzBWSlEwRm5TVVJpWDBveVJVcG5FQUXgAQD6AQUI2QEQSQ!16s%2Fg%2F11rwrw99gk?entry=ttu&amp;g_ep=EgoyMDI2MDYyOS4wIKXMDSoASAFQAw%3D%3D</t>
  </si>
  <si>
    <t>Notredame Wisata Bukit Mas 2</t>
  </si>
  <si>
    <t>Notre Dame Wisata Bukit Mas 2 merupakan salah satu bangunan ikonik di kawasan Wisata Bukit Mas Surabaya yang dikenal dengan arsitekturnya yang terinspirasi dari gaya Eropa klasik. Desain bangunan yang megah, detail arsitektur yang unik, serta suasana kawasan yang tertata rapi menjadikannya daya tarik bagi pengunjung yang ingin menikmati pemandangan estetik dan mengabadikan momen melalui fotografi. Tempat ini sering menjadi pilihan untuk bersantai, berjalan-jalan, maupun berburu spot foto dengan nuansa khas Eropa.</t>
  </si>
  <si>
    <t>Arsitektur Eropa, Landmark, Aesthetic, Instagramable, Spot Foto, Fotografi, Wisata Kota, Outdoor, Heritage Style, European Vibes, City Walk, Couple Friendly, Family Friendly, Hidden Gem, Rekreasi, Santai, Ikonik, Urban Tourism, Lifestyle, Pemandangan Estetik, Wisata Keluarga, Surabaya Barat.</t>
  </si>
  <si>
    <t>-7.3153605, 112.6635047</t>
  </si>
  <si>
    <t>https://www.google.com/maps/place/Notredame+Wisata+bukit+mas+2/@-7.3153605,112.6635047,17z/data=!3m1!4b1!4m6!3m5!1s0x2dd7fd01963c60dd:0xe403e58129fc06ff!8m2!3d-7.3153605!4d112.6635047!16s%2Fg%2F11cllcmxqg?entry=ttu&amp;g_ep=EgoyMDI2MDYyOS4wIKXMDSoASAFQAw%3D%3D</t>
  </si>
  <si>
    <t>Pelican Hill Park</t>
  </si>
  <si>
    <t>Pelican Hill Park merupakan taman rekreasi terbuka di kawasan Surabaya Barat yang menawarkan suasana hijau, area danau, serta lanskap yang tertata dengan baik. Tempat ini cocok untuk berjalan santai, berolahraga ringan, menikmati pemandangan alam, maupun menghabiskan waktu bersama keluarga dan teman. Dengan suasana yang tenang serta berbagai sudut yang menarik untuk berfoto, Pelican Hill Park menjadi salah satu pilihan destinasi rekreasi dan healing di tengah lingkungan perkotaan.</t>
  </si>
  <si>
    <t>Taman Kota, Danau, Outdoor, Nature, Aesthetic, Instagramable, Spot Foto, Fotografi, Family Friendly, Kids Friendly, Couple Friendly, Healing, Santai, Jogging, Walking Track, Piknik, Ruang Terbuka Hijau, Rekreasi Keluarga, Sunset Spot, Community Space, Sejuk, Urban Tourism, Wisata Gratis, Surabaya Barat.</t>
  </si>
  <si>
    <t>-7.2604342, 112.6377358</t>
  </si>
  <si>
    <t>https://www.google.com/maps/place/Pelican+Hill+Park/@-7.2604342,112.6377358,17z/data=!3m1!4b1!4m6!3m5!1s0x2dd7ff659a0ee11f:0xf6abe51c08722610!8m2!3d-7.2604342!4d112.6377358!16s%2Fg%2F11fjz2fg6v?entry=ttu&amp;g_ep=EgoyMDI2MDYyOS4wIKXMDSoASAFQAw%3D%3D</t>
  </si>
  <si>
    <t>Allegra</t>
  </si>
  <si>
    <t>Allegra Surabaya merupakan restoran dan kafe dengan suasana modern yang menawarkan pengalaman bersantap yang nyaman dan estetik. Dikenal dengan desain interior yang elegan serta pilihan menu yang beragam, tempat ini menjadi favorit untuk berkumpul bersama teman, keluarga, maupun pasangan. Atmosfer yang hangat dan berbagai sudut yang menarik untuk berfoto menjadikan Allegra sebagai salah satu destinasi kuliner yang populer di Surabaya.</t>
  </si>
  <si>
    <t>Restoran, Kafe, Kuliner, Brunch Spot, Lunch Spot, Dinner Spot, Hangout Spot, Family Friendly, Couple Friendly, Cozy, Aesthetic, Instagramable, Modern, Elegant, Fotografi, Lifestyle, Premium Dining, Casual Dining, Coffee Spot, Indoor, Wisata Kuliner, Surabaya.</t>
  </si>
  <si>
    <t>-7.2747720, 112.7487700</t>
  </si>
  <si>
    <t>https://www.google.com/maps/place/Allegra/@-7.274772,112.74877,17z/data=!3m1!4b1!4m6!3m5!1s0x2dd7fb12dfdd37e3:0x4692eb113d89dd9!8m2!3d-7.274772!4d112.74877!16s%2Fg%2F11jy_v38vd?entry=ttu&amp;g_ep=EgoyMDI2MDYyOS4wIKXMDSoASAFQAw%3D%3D</t>
  </si>
  <si>
    <t>Brunsj bake house</t>
  </si>
  <si>
    <t>Brunsj Bake House merupakan bakery dan kafe yang terkenal dengan aneka pastry, roti artisan, serta menu brunch yang berkualitas. Mengusung konsep modern dan minimalis, tempat ini menawarkan suasana yang nyaman untuk menikmati sarapan, bekerja, maupun berkumpul bersama teman dan keluarga. Aroma roti yang baru dipanggang serta interior yang estetik menjadikan Brunsj Bake House sebagai salah satu destinasi favorit bagi pecinta kopi, pastry, dan fotografi di Surabaya.</t>
  </si>
  <si>
    <t>Bakery, Bake House, Pastry, Artisan Bread, Brunch Spot, Breakfast Spot, Coffee Shop, Kafe, Kuliner, Aesthetic, Instagramable, Cozy, Modern, Minimalist, Hangout Spot, Family Friendly, Couple Friendly, Fotografi, Dessert, Coffee Time, Lifestyle, Indoor, Wisata Kuliner, Surabaya.</t>
  </si>
  <si>
    <t>-7.2754879, 112.7504945</t>
  </si>
  <si>
    <t>https://www.google.com/maps/place/Brunsj+Bake+House/@-7.2754879,112.7504945,17z/data=!3m1!4b1!4m6!3m5!1s0x2dd7fb002d4f6bb1:0xecc18b44ee628b62!8m2!3d-7.2754879!4d112.7504945!16s%2Fg%2F11ms_1cryj?entry=ttu&amp;g_ep=EgoyMDI2MDYyOS4wIKXMDSoASAFQAw%3D%3D</t>
  </si>
  <si>
    <t>Suroboyo Skate &amp; BMX Park</t>
  </si>
  <si>
    <t>Area olahraga ekstrem yang menyediakan fasilitas skateboarding dan BMX bagi masyarakat Surabaya. Menjadi tempat berkumpul komunitas olahraga dan sering digunakan untuk latihan maupun kompetisi.</t>
  </si>
  <si>
    <t>Skate Park, BMX, Olahraga, Outdoor, Komunitas, Rekreasi, Urban Sport, Youth Activity, Instagramable</t>
  </si>
  <si>
    <t>-7.26385823636462, 112.75024672257756</t>
  </si>
  <si>
    <t>-7,26385823636462</t>
  </si>
  <si>
    <t>112,75024672257756</t>
  </si>
  <si>
    <t>https://www.google.com/maps/place/Suroboyo+Skate+%26+BMX+Park/@-7.2639221,112.7503111,17z/data=!3m1!4b1!4m6!3m5!1s0x2dd7f963288689e5:0x193aa102acba9766!8m2!3d-7.2639221!4d112.7503111!16s%2Fg%2F11f06j7v72?entry=ttu&amp;g_ep=EgoyMDI2MDYyOS4wIKXMDSoASAFQAw%3D%3D</t>
  </si>
  <si>
    <t>Museum Pusat TNI AL Jalesveva Jayamahe</t>
  </si>
  <si>
    <t>Museum Pusat TNI AL Jalesveva Jayamahe adalah museum kelautan dan kemiliteran yang menyimpan koleksi lengkap peralatan, senjata, dan artefak bersejarah milik Tentara Nasional Indonesia Angkatan Laut. Museum ini menjadi salah satu pusat edukasi maritim terpenting di Indonesia, menampilkan berbagai koleksi mulai dari replika kapal perang, perlengkapan tempur, hingga dokumentasi sejarah perjuangan TNI AL. Berlokasi di Ujung, kawasan markas besar TNI AL Armada Timur Surabaya.</t>
  </si>
  <si>
    <t>Museum, Sejarah, Militer, Maritim, TNI AL, Angkatan Laut, Kapal Perang, Wisata Edukatif, Edukasi, Koleksi Bersejarah, Heritage, Nasionalisme, Perjuangan, Family Friendly, Kids Friendly, Wisata Sejarah, Landmark Surabaya, Indoor, Wisata Pelajar, Surabaya Utara.</t>
  </si>
  <si>
    <t>-7.221626234807643, 112.74005177116464</t>
  </si>
  <si>
    <t>http://google.com/maps/place/Museum+Pusat+TNI+AL+Jalesveva+Jayamahe/@-7.2218125,112.7400625,17z/data=!3m1!4b1!4m6!3m5!1s0x2dd7f929f5c6077d:0xb44b611cbfff6e96!8m2!3d-7.2218125!4d112.7400625!16s%2Fg%2F11stq03qlp?entry=ttu&amp;g_ep=EgoyMDI2MDYyOS4wIKXMDSoASAFQAw%3D%3D</t>
  </si>
  <si>
    <t>Galeri Prabangkara</t>
  </si>
  <si>
    <t>Galeri seni yang menampilkan berbagai karya seni rupa serta menjadi tempat penyelenggaraan pameran seni dan budaya.</t>
  </si>
  <si>
    <t>Seni, Art Gallery, Budaya, Pameran, Kreatif, Fotografi, Indoor, Edukasi</t>
  </si>
  <si>
    <t>-7.2560906720306235, 112.74014538455653</t>
  </si>
  <si>
    <t>-7,2560906720306235</t>
  </si>
  <si>
    <t>112,74014538455653</t>
  </si>
  <si>
    <t>https://www.google.com/maps/place/Galeri+Prabangkara/@-7.2565236,112.7401734,17z/data=!3m1!4b1!4m6!3m5!1s0x2dd7f96808b375f3:0x2e87e6e8a1068a36!8m2!3d-7.2565236!4d112.7401734!16s%2Fg%2F11g6wdxy58?entry=ttu&amp;g_ep=EgoyMDI2MDYyOS4wIKXMDSoASAFQAw%3D%3D</t>
  </si>
  <si>
    <t>Galeri Merah Putih</t>
  </si>
  <si>
    <t>Galeri seni kontemporer yang menampilkan karya seniman lokal dan nasional serta menjadi ruang apresiasi seni.</t>
  </si>
  <si>
    <t>Seni Kontemporer, Art Gallery, Kreatif, Pameran, Budaya, Fotografi, Indoor</t>
  </si>
  <si>
    <t>-7.263294393993097, 112.74559920778704</t>
  </si>
  <si>
    <t>-7,263294393993097</t>
  </si>
  <si>
    <t>112,74559920778704</t>
  </si>
  <si>
    <t>https://www.google.com/maps/place/Galeri+Merah+Putih+Surabaya/@-7.26398,112.7454831,17z/data=!3m1!4b1!4m6!3m5!1s0x2dd7f900514b573b:0xbc4710c10d68e6db!8m2!3d-7.26398!4d112.7454831!16s%2Fg%2F11w24j_0rn?entry=ttu&amp;g_ep=EgoyMDI2MDYyOS4wIKXMDSoASAFQAw%3D%3D</t>
  </si>
  <si>
    <t>UYCC Art Galery</t>
  </si>
  <si>
    <t>Galeri seni yang menjadi ruang pamer karya seni, kegiatan kreatif, dan pengembangan komunitas seni di Surabaya.</t>
  </si>
  <si>
    <t>Art Gallery, Kreatif, Seni, Pameran, Komunitas, Budaya, Indoor</t>
  </si>
  <si>
    <t>-7.2680621, 112.7477999</t>
  </si>
  <si>
    <t>https://www.google.com/maps/place/UYCC+Art+Gallery/@-7.2680568,112.745225,17z/data=!3m1!4b1!4m6!3m5!1s0x2dd7fbba0ecf7001:0x4b6154623e3a2150!8m2!3d-7.2680621!4d112.7477999!16s%2Fg%2F11txjw2b14?entry=ttu&amp;g_ep=EgoyMDI2MDYyOS4wIKXMDSoASAFQAw%3D%3D</t>
  </si>
  <si>
    <t>Teh Villa Gallery</t>
  </si>
  <si>
    <t>Galeri seni dan budaya yang menampilkan berbagai karya seni visual serta menjadi ruang kegiatan kreatif dan edukatif.</t>
  </si>
  <si>
    <t>Seni, Budaya, Galeri, Kreatif, Pameran, Indoor, Fotografi</t>
  </si>
  <si>
    <t>5</t>
  </si>
  <si>
    <t>Kamis - Sabtu</t>
  </si>
  <si>
    <t>Minggu - Rabu</t>
  </si>
  <si>
    <t>-7.32843018962419, 112.76386684524785</t>
  </si>
  <si>
    <t>-7,32843018962419</t>
  </si>
  <si>
    <t>112,76386684524785</t>
  </si>
  <si>
    <t>https://www.google.com/maps/place/Teh+Villa+Gallery/@-7.3285925,112.7639834,17z/data=!3m1!4b1!4m6!3m5!1s0x2dd7fb08074b8ef9:0xcd2ab06ad0bb81fb!8m2!3d-7.3285925!4d112.7639834!16s%2Fg%2F11k51mtmym?entry=ttu&amp;g_ep=EgoyMDI2MDYyOS4wIKXMDSoASAFQAw%3D%3D</t>
  </si>
  <si>
    <t>Kampoeng Seni</t>
  </si>
  <si>
    <t>Kawasan kreatif yang menjadi tempat berkumpul komunitas seni dan budaya serta penyelenggaraan berbagai kegiatan artistik.</t>
  </si>
  <si>
    <t>Seni, Budaya, Komunitas, Kreatif, Edukasi, Workshop, Heritage, Fotografi</t>
  </si>
  <si>
    <t>-7.25440070211139, 112.73312843332478</t>
  </si>
  <si>
    <t>-7,25440070211139</t>
  </si>
  <si>
    <t>112,73312843332478</t>
  </si>
  <si>
    <t>https://www.google.com/maps/place/Kampoeng+Seni/@-7.254636,112.73302,17z/data=!3m1!4b1!4m6!3m5!1s0x2dd7f9447f6e7f03:0x8fe5cc5a5cd9ba32!8m2!3d-7.254636!4d112.73302!16s%2Fg%2F11b6s3nwr6?entry=ttu&amp;g_ep=EgoyMDI2MDYyOS4wIKXMDSoASAFQAw%3D%3D</t>
  </si>
  <si>
    <t>Museum H.O.S Tjokroaminoto</t>
  </si>
  <si>
    <t>Museum yang menampilkan sejarah perjuangan H.O.S. Tjokroaminoto dan perannya dalam perjalanan bangsa Indonesia.</t>
  </si>
  <si>
    <t>Sejarah, Nasional, Edukasi, Tokoh Indonesia, Heritage, Museum, Wisata Edukatif</t>
  </si>
  <si>
    <t>-7.25224516794754, 112.73765308280612</t>
  </si>
  <si>
    <t>-7,25224516794754</t>
  </si>
  <si>
    <t>112,73765308280612</t>
  </si>
  <si>
    <t>google.com/maps/place/Museum+H.+O.+S.+Tjokroaminoto/@-7.254636,112.73302,17z/data=!4m6!3m5!1s0x2dd7f9b178b9c013:0x58f9a33cc4dce09e!8m2!3d-7.2525006!4d112.7377711!16s%2Fg%2F11b6b9tjng?entry=ttu&amp;g_ep=EgoyMDI2MDYyOS4wIKXMDSoASAFQAw%3D%3D</t>
  </si>
  <si>
    <t>Kembang Jepun (Kya-kya)</t>
  </si>
  <si>
    <t>Kawasan heritage Pecinan Surabaya yang dikenal dengan wisata budaya, kuliner, dan sejarah kawasan kota lama.</t>
  </si>
  <si>
    <t>Heritage, Pecinan, Budaya, Sejarah, Wisata Kota, Kuliner, Fotografi, Night Tourism</t>
  </si>
  <si>
    <t>-7.236580428963887, 112.7391172288358</t>
  </si>
  <si>
    <t>-7,236580428963887</t>
  </si>
  <si>
    <t>112,7391172288358</t>
  </si>
  <si>
    <t>https://www.google.com/maps/place/Kawasan+Pecinan+Surabaya/@-7.2368678,112.7391065,17z/data=!3m1!4b1!4m6!3m5!1s0x2dd7f9178e34764d:0x3aca6b0e54d9e5d4!8m2!3d-7.2368678!4d112.7391065!16s%2Fg%2F120phfdf?entry=ttu&amp;g_ep=EgoyMDI2MDYyOS4wIKXMDSoASAFQAw%3D%3D</t>
  </si>
  <si>
    <t>Gedung Cak Durasim</t>
  </si>
  <si>
    <t>Pusat pertunjukan seni dan budaya Jawa Timur yang sering digunakan untuk pementasan teater, tari, dan kesenian tradisional.</t>
  </si>
  <si>
    <t>Seni Pertunjukan, Budaya, Teater, Tari Tradisional, Edukasi, Heritage, Indoor</t>
  </si>
  <si>
    <t>-7.256486713253616, 112.739560755821</t>
  </si>
  <si>
    <t>-7,256486713253616</t>
  </si>
  <si>
    <t>112,739560755821</t>
  </si>
  <si>
    <t>https://www.google.com/maps/place/Gedung+Cak+Durasim/@-7.2567315,112.7396144,17z/data=!3m1!4b1!4m6!3m5!1s0x2dd7f97d349c4d7d:0xc51c4e012d92fdb8!8m2!3d-7.2567315!4d112.7396144!16s%2Fg%2F11l3ccbw06?entry=ttu&amp;g_ep=EgoyMDI2MDYyOS4wIKXMDSoASAFQAw%3D%3D</t>
  </si>
  <si>
    <t>Tunjungan Plaza</t>
  </si>
  <si>
    <t>Pusat perbelanjaan terbesar dan paling ikonik di Surabaya yang terdiri dari beberapa bangunan terintegrasi. Menawarkan berbagai tenant fashion, kuliner, hiburan, dan pusat gaya hidup modern.</t>
  </si>
  <si>
    <t>Shopping Mall, Lifestyle, Family Friendly, Entertainment, Fashion, Kuliner, Indoor, Modern, Urban Tourism, Hangout, Premium, Instagramable</t>
  </si>
  <si>
    <t>-7.262883745746215, 112.7400389134926</t>
  </si>
  <si>
    <t>-7,262883745746215</t>
  </si>
  <si>
    <t>112,7400389134926</t>
  </si>
  <si>
    <t>https://www.google.com/maps/place/Tunjungan+Plaza/@-7.2631711,112.7400711,17z/data=!3m1!4b1!4m6!3m5!1s0x2dd7f960aee9a64d:0xaa9e2f2c4ed67175!8m2!3d-7.2631711!4d112.7400711!16s%2Fm%2F03nn8x_?entry=ttu&amp;g_ep=EgoyMDI2MDYyOS4wIKXMDSoASAFQAw%3D%3D</t>
  </si>
  <si>
    <t>Galaxy Mall 3</t>
  </si>
  <si>
    <t>Salah satu pusat perbelanjaan terbesar di Surabaya Timur yang menyediakan berbagai pilihan belanja, kuliner, bioskop, dan hiburan keluarga.</t>
  </si>
  <si>
    <t>Shopping Mall, Lifestyle, Family Friendly, Entertainment, Fashion, Kuliner, Indoor, Modern, Hangout, Urban Tourism</t>
  </si>
  <si>
    <t>-7.275980036062656, 112.7802640153432</t>
  </si>
  <si>
    <t>-7,275980036062656</t>
  </si>
  <si>
    <t>112,7802640153432</t>
  </si>
  <si>
    <t>google.com/maps/place/Galaxy+Mall+3/@-7.2755008,112.7814488,17z/data=!3m1!5s0x2dd7fa3b6771b933:0xd3c42d771036b0b9!4m6!3m5!1s0x2dd7fba7c21aba85:0xe63dd66f7ec7d384!8m2!3d-7.2761716!4d112.7802211!16s%2Fg%2F11fktvdtvg?entry=ttu&amp;g_ep=EgoyMDI2MDYyOS4wIKXMDSoASAFQAw%3D%3D</t>
  </si>
  <si>
    <t>Pavilion Restaurant at JW Marriott Surabaya</t>
  </si>
  <si>
    <t>Restoran buffet premium di hotel JW Marriott yang menyajikan hidangan Indonesia, Asia, dan internasional dengan konsep all-you-can-eat berkualitas tinggi.</t>
  </si>
  <si>
    <t>Buffet Hotel, All You Can Eat, Fine Dining, Hotel Bintang Lima, Seafood, Premium Dining, Surabaya</t>
  </si>
  <si>
    <t>-7.259352309426676, 112.73508220911657</t>
  </si>
  <si>
    <t>https://www.google.com/maps/place/Pavilion+Restaurant+at+JW+Marriott+Surabaya/@-7.2595865,112.7350547,17z/data=!3m1!4b1!4m6!3m5!1s0x2dd7f95cf4375601:0x4a94f51675f8d8ad!8m2!3d-7.2595865!4d112.7350547!16s%2Fg%2F1pztwwk6g?entry=ttu&amp;g_ep=EgoyMDI2MDYyOS4wIKXMDSoASAFQAw%3D%3D</t>
  </si>
  <si>
    <t>Plaza Surabaya</t>
  </si>
  <si>
    <t>Pusat perbelanjaan yang berada di pusat kota Surabaya dan terhubung dengan kawasan bisnis serta wisata kota. Menawarkan berbagai tenant retail dan kuliner.</t>
  </si>
  <si>
    <t>Shopping Mall, Lifestyle, Family Friendly, Kuliner, Fashion, Indoor, Urban Tourism, Hangout, City Center</t>
  </si>
  <si>
    <t>-7.26503767521153, 112.74868181534322</t>
  </si>
  <si>
    <t>-7,26503767521153</t>
  </si>
  <si>
    <t>112,74868181534322</t>
  </si>
  <si>
    <t>https://www.google.com/maps/place/Plaza+Surabaya,+Embong+Kaliasin,+Kec.+Genteng,+Surabaya,+Jawa+Timur/@-7.2648774,112.7485448,17z/data=!3m1!4b1!4m6!3m5!1s0x2dd7f962f04afc1b:0x7715dd8149b0875d!8m2!3d-7.2648774!4d112.7485448!16s%2Fg%2F1q64f3z71?entry=ttu&amp;g_ep=EgoyMDI2MDYyOS4wIKXMDSoASAFQAw%3D%3D</t>
  </si>
  <si>
    <t>Bakso Ambon Nginden</t>
  </si>
  <si>
    <t>Tempat makan bakso yang terkenal dengan bakso berukuran besar, kuah gurih, dan berbagai pilihan isian.</t>
  </si>
  <si>
    <t>Bakso, Comfort Food, Kuliner Lokal, Family Friendly, Makan Siang, Hidden Gem, Kuliner Surabaya</t>
  </si>
  <si>
    <t>-7.303657164338292, 112.76629691534322</t>
  </si>
  <si>
    <t>-7,303657164338292</t>
  </si>
  <si>
    <t>112,76629691534322</t>
  </si>
  <si>
    <t>https://www.google.com/maps/place/Bakso+Ambon+Nginden/@-7.30387,112.766254,17z/data=!3m1!4b1!4m6!3m5!1s0x2dd7fa55a8aec12b:0xc20c373b7213b6a2!8m2!3d-7.30387!4d112.766254!16s%2Fg%2F11fy_6c9wt?entry=ttu&amp;g_ep=EgoyMDI2MDYyOS4wIKXMDSoASAFQAw%3D%3D</t>
  </si>
  <si>
    <t>Rujak Cingur dan Sop Buntut Genteng Durasim</t>
  </si>
  <si>
    <t>Rumah makan yang menawarkan perpaduan kuliner khas Surabaya berupa rujak cingur dan sop buntut dengan cita rasa tradisional.</t>
  </si>
  <si>
    <t>Rujak Cingur, Sop Buntut, Kuliner Khas Surabaya, Tradisional, Family Friendly, Kuliner Lokal, Legendaris</t>
  </si>
  <si>
    <t>-7.257512585313168, 112.74056935767163</t>
  </si>
  <si>
    <t>-7,257512585313168</t>
  </si>
  <si>
    <t>112,74056935767163</t>
  </si>
  <si>
    <t>https://www.google.com/maps/place/Rujak+Cingur+dan+Sop+Buntut+Genteng+Durasim/@-7.2577148,112.7405479,17z/data=!3m2!4b1!5s0x2dd7f967e826b2f9:0xaa5ec3e355ca151d!4m6!3m5!1s0x2dd7f967dd290603:0x636770e38d3152c8!8m2!3d-7.2577148!4d112.7405479!16s%2Fg%2F1hdzccp2y?entry=ttu&amp;g_ep=EgoyMDI2MDYyOS4wIKXMDSoASAFQAw%3D%3D</t>
  </si>
  <si>
    <t>Nasi Mandhi Bosgil Ampel Surabaya</t>
  </si>
  <si>
    <t>Restoran Timur Tengah yang menyajikan nasi mandhi, kebuli, dan aneka olahan kambing serta ayam dengan rempah khas Arab. Populer di kawasan wisata religi Ampel.</t>
  </si>
  <si>
    <t>Nasi Mandhi, Kuliner Timur Tengah, Nasi Kebuli, Kambing, Ayam Bakar Arab, Halal, Ampel, Surabaya</t>
  </si>
  <si>
    <t>-7.230908428517518, 112.74097234011323</t>
  </si>
  <si>
    <t>https://www.google.com/maps/place/Nasi+Mandhi+Bosgil+Ampel+Surabaya/@-7.2311735,112.7409681,17z/data=!3m1!4b1!4m6!3m5!1s0x2dd7f93a638d9185:0xdbf2e98715388c37!8m2!3d-7.2311735!4d112.7409681!16s%2Fg%2F11v3pmqyzl?entry=ttu&amp;g_ep=EgoyMDI2MDYyOS4wIKXMDSoASAFQAw%3D%3D</t>
  </si>
  <si>
    <t>Phermitage, Pantrysserie &amp; Coffe House</t>
  </si>
  <si>
    <t>Cafe dengan konsep heritage yang memadukan suasana bangunan klasik, bakery artisan, dan sajian kopi premium.</t>
  </si>
  <si>
    <t>Heritage Cafe, Coffee House, Bakery, Aesthetic, Instagramable, Indoor, Hangout, Premium, Hidden Gem</t>
  </si>
  <si>
    <t>-7.257431313767522, 112.73770212883578</t>
  </si>
  <si>
    <t>-7,257431313767522</t>
  </si>
  <si>
    <t>112,73770212883578</t>
  </si>
  <si>
    <t>https://www.google.com/maps/place/Phermitage,+Pantrysserie+%26+Coffee+House/@-7.2576761,112.7376914,17z/data=!3m1!4b1!4m6!3m5!1s0x2dd7f990413b6ddb:0xa136050c48e7bcef!8m2!3d-7.2576761!4d112.7376914!16s%2Fg%2F11rznnbqfl?entry=ttu&amp;g_ep=EgoyMDI2MDYyOS4wIKXMDSoASAFQAw%3D%3D</t>
  </si>
  <si>
    <t>Cocari Indragiri</t>
  </si>
  <si>
    <t>Restoran all-you-can-eat dan grill yang terkenal di Surabaya. Menyediakan berbagai pilihan daging, seafood, dan menu pendamping dengan konsep makan sepuasnya.</t>
  </si>
  <si>
    <t>All You Can Eat, Korean BBQ, Grill, Seafood, Daging Sapi, Keluarga, Premium Dining, Surabaya</t>
  </si>
  <si>
    <t>150000-175000</t>
  </si>
  <si>
    <t>-7.289271987052663, 112.73133214563875</t>
  </si>
  <si>
    <t>https://www.google.com/maps/place/Cocari+-+Indragiri/@-7.2895816,112.7312155,17z/data=!3m1!4b1!4m6!3m5!1s0x2dd7fb931279f64d:0x977f710c4438a4ac!8m2!3d-7.2895816!4d112.7312155!16s%2Fg%2F1tdv38xz?entry=ttu&amp;g_ep=EgoyMDI2MDYyOS4wIKXMDSoASAFQAw%3D%3D</t>
  </si>
  <si>
    <t>Depot Bedjo</t>
  </si>
  <si>
    <t>Rumah makan yang menyajikan berbagai menu masakan Indonesia dan Chinese food dengan cita rasa rumahan. Cocok untuk makan bersama keluarga maupun acara santai.</t>
  </si>
  <si>
    <t>Kuliner Keluarga, Masakan Indonesia, Chinese Food, Nasi Goreng, Mie Goreng, Halal, Surabaya</t>
  </si>
  <si>
    <t>-7.266265111722068, 112.7672489360039</t>
  </si>
  <si>
    <t>https://www.google.com/maps/place/Depot+Bedjo/@-7.2885376,112.7485623,14z/data=!4m10!1m2!2m1!1sepot+bedjo!3m6!1s0x2dd7fa2420623557:0xe1366472af68dcba!8m2!3d-7.2665312!4d112.7672008!15sCgplcG90IGJlZGpvWgwiCmVwb3QgYmVkam-SARJjaGluZXNlX3Jlc3RhdXJhbnSaAURDaTlEUVVsUlFVTnZaRU5vZEhsalJqbHZUMjVHUlU5Rk1XeFdiVkV5V1RBeFMxTXlNVTlUTUd4b1pWUkdXRll3UlJBQuABAPoBBQiIAxAT!16s%2Fg%2F1hc3jphnf?entry=ttu&amp;g_ep=EgoyMDI2MDYyOS4wIKXMDSoASAFQAw%3D%3D</t>
  </si>
  <si>
    <t>Bubur Ayam Mang Endut</t>
  </si>
  <si>
    <t>Warung bubur ayam yang buka hampir 24 jam dan terkenal dengan porsi melimpah serta topping lengkap seperti ayam suwir, cakwe, telur, dan kerupuk.</t>
  </si>
  <si>
    <t>Bubur Ayam, Sarapan, Kuliner 24 Jam, Makanan Tradisional, Halal, Murah, Surabaya</t>
  </si>
  <si>
    <t>-7.267646994257676, 112.734277546412</t>
  </si>
  <si>
    <t>https://www.google.com/maps/place/Bubur+Ayam+Mang+Endut/@-7.2678911,112.7342831,17z/data=!3m1!4b1!4m6!3m5!1s0x2dd7fbe1fd31f577:0x605778c583a60034!8m2!3d-7.2678911!4d112.7342831!16s%2Fg%2F11c534yr8w?entry=ttu&amp;g_ep=EgoyMDI2MDYyOS4wIKXMDSoASAFQAw%3D%3D</t>
  </si>
  <si>
    <t>Ceker Pedas Cocote Tonggo</t>
  </si>
  <si>
    <t>Tempat makan yang terkenal dengan menu ceker ayam pedas berbagai tingkat kepedasan. Menawarkan cita rasa khas dengan bumbu meresap dan harga yang ramah di kantong</t>
  </si>
  <si>
    <t>Ceker Pedas, Kuliner Pedas, Ayam, Makanan Pedas, Kuliner Malam, Murah, Halal, Surabaya</t>
  </si>
  <si>
    <t>-7.268543303279916, 112.73822676391039</t>
  </si>
  <si>
    <t>google.com/maps/place/Ceker+Pedas+Cocote+Tonggo/@-7.2678911,112.7342831,17z/data=!4m6!3m5!1s0x2dd7fba354d87ea5:0xc51155bbfa508ac7!8m2!3d-7.2687905!4d112.7381996!16s%2Fg%2F11jpt_h84w?entry=ttu&amp;g_ep=EgoyMDI2MDYyOS4wIKXMDSoASAFQAw%3D%3D</t>
  </si>
  <si>
    <t>Essel Surabaya</t>
  </si>
  <si>
    <t>Kafe premium dengan konsep estetik dan modern yang menyajikan kopi spesialti, pastry, dessert, dan hidangan western. Menjadi salah satu tempat favorit untuk bekerja maupun berkumpul.</t>
  </si>
  <si>
    <t>Cafe Premium, Specialty Coffee, Pastry, Dessert, Brunch, Instagramable, WFC, Surabaya Barat</t>
  </si>
  <si>
    <t>-7.290186718405247, 112.65515400132062</t>
  </si>
  <si>
    <t>https://www.google.com/maps/place/ESSEL+SURABAYA/@-7.2904054,112.6551446,17z/data=!3m1!4b1!4m6!3m5!1s0x2dd7fd7dcb6a97e3:0xb81b0999627ec9d9!8m2!3d-7.2904054!4d112.6551446!16s%2Fg%2F11wvlkxf3z?entry=ttu&amp;g_ep=EgoyMDI2MDYyOS4wIKXMDSoASAFQAw%3D%3D</t>
  </si>
  <si>
    <t>Museum Olahraga Surabaya</t>
  </si>
  <si>
    <t>Museum yang didirikan 8 Mei 2021 untuk melestarikan sejarah olahraga Surabaya dan Indonesia. Menampilkan ratusan koleksi berupa kostum atlet, piala, medali, piagam penghargaan, dan berbagai peninggalan pahlawan olahraga dalam bangunan bergaya kolonial Belanda berwarna merah.</t>
  </si>
  <si>
    <t>Museum, Olahraga, Sejarah, Edukasi, Atlet Indonesia, Cagar Budaya, Family Friendly, Kids Friendly, Spot Foto, Surabaya Selatan</t>
  </si>
  <si>
    <t>-7.286392096729434, 112.7311634595248</t>
  </si>
  <si>
    <t>-7,286392096729434</t>
  </si>
  <si>
    <t>112,7311634595248</t>
  </si>
  <si>
    <t>https://www.google.com/maps/place/Museum+Olahraga+Surabaya/@-7.2867965,112.7310669,17z/data=!3m1!4b1!4m6!3m5!1s0x2dd7fb4ee430e3ab:0x79f8833b1326b969!8m2!3d-7.2867965!4d112.7310669!16s%2Fg%2F11rfdk4_56?entry=ttu&amp;g_ep=EgoyMDI2MDYyOS4wIKXMDSoASAFQAw%3D%3D</t>
  </si>
  <si>
    <t>Kopi Calf Signature Tunjungan Surabaya</t>
  </si>
  <si>
    <t>Kedai kopi populer di pusat kota Surabaya yang menawarkan berbagai varian kopi susu, espresso-based drinks, dan makanan ringan dengan konsep modern dan instagramable.</t>
  </si>
  <si>
    <t>Cafe, Coffee Shop, Kopi Susu, Espresso, Tunjungan, Nongkrong, Instagramable, Surabaya Pusat</t>
  </si>
  <si>
    <t>-7.267056327296016, 112.74583518505737</t>
  </si>
  <si>
    <t>https://www.google.com/maps/place/Kopi+Calf+Signature+Tunjungan+Surabaya/@-7.2672692,112.7457654,17z/data=!3m1!4b1!4m6!3m5!1s0x2dd7fb34c2ca4047:0x1434efb9ce6345e0!8m2!3d-7.2672692!4d112.7457654!16s%2Fg%2F11y4lr38hd?entry=ttu&amp;g_ep=EgoyMDI2MDYyOS4wIKXMDSoASAFQAw%3D%3D</t>
  </si>
  <si>
    <t>Museum Etnografi dan Pusat Kajian Kematian Universitas Airlangga</t>
  </si>
  <si>
    <t>Satu-satunya museum di Indonesia yang mengusung tema kematian, berdiri sejak 25 September 2005 di Kampus B UNAIR. Menampilkan replika makam Nusantara, tradisi pemakaman dari berbagai suku, kerangka manusia, dan infografis unik tentang kematian sebagai bagian dari siklus hidup.</t>
  </si>
  <si>
    <t>Museum, Etnografi, Antropologi, Edukasi, Unik, Akademik, Wisata Gratis, Cagar Budaya, Surabaya Pusat</t>
  </si>
  <si>
    <t>-7.272007473444307, 112.75957512883606</t>
  </si>
  <si>
    <t>-7,272007473444307</t>
  </si>
  <si>
    <t>112,75957512883606</t>
  </si>
  <si>
    <t>https://www.google.com/maps/place/Museum+Etnografi+dan+Pusat+Kajian+Kematian+Universitas+Airlangga/@-7.2725396,112.7595644,17z/data=!3m1!4b1!4m6!3m5!1s0x2dd7fbd41261934f:0xe258fac5ac2188a6!8m2!3d-7.2725396!4d112.7595644!16s%2Fg%2F1pzv3k65h?entry=ttu&amp;g_ep=EgoyMDI2MDYyOS4wIKXMDSoASAFQAw%3D%3D</t>
  </si>
  <si>
    <t>HOHO Coffee - Tunjungan</t>
  </si>
  <si>
    <t>-7.2596594, 112.7389009</t>
  </si>
  <si>
    <t>-7,2596594</t>
  </si>
  <si>
    <t>112,7389009</t>
  </si>
  <si>
    <t>https://www.google.com/maps/place/HOHO+Coffee+-+Tunjungan/@-7.2596594,112.7389009,17z/data=!3m1!4b1!4m6!3m5!1s0x2dd7f934e95ee58f:0xb492e21d29203648!8m2!3d-7.2596594!4d112.7389009!16s%2Fg%2F11hgdzxdlr?entry=ttu&amp;g_ep=EgoyMDI2MDYyOS4wIKXMDSoASAFQAw%3D%3D</t>
  </si>
  <si>
    <t>Depot Mie HAKKA</t>
  </si>
  <si>
    <t>Restoran yang menyajikan hidangan khas Hakka dan aneka olahan mie dengan cita rasa oriental. Menu favorit meliputi mie ayam, mie goreng, kwetiau, dan berbagai hidangan Chinese food halal</t>
  </si>
  <si>
    <t>Mie Hakka, Chinese Food, Mie Goreng, Kwetiau, Kuliner Surabaya, Halal, Oriental Food, Surabaya Timur</t>
  </si>
  <si>
    <t>19.30</t>
  </si>
  <si>
    <t>-7.254072100775317, 112.77818410703489</t>
  </si>
  <si>
    <t>https://www.google.com/maps/place/Depot+%22MIE+HAKKA%22/@-7.2544184,112.7781209,17z/data=!3m1!4b1!4m6!3m5!1s0x2dd7fa1cfeb05b47:0xec24efd7a18d90e6!8m2!3d-7.2544184!4d112.7781209!16s%2Fg%2F11css0b3qp?entry=ttu&amp;g_ep=EgoyMDI2MDYyOS4wIKXMDSoASAFQAw%3D%3D</t>
  </si>
  <si>
    <t>Depot Kalijudan Chinese Food Halal</t>
  </si>
  <si>
    <t>Restoran Chinese food halal yang menawarkan berbagai hidangan seperti capcay, fuyunghai, nasi goreng, mie goreng, dan aneka seafood. Dikenal dengan porsi besar, rasa konsisten, dan cocok untuk makan keluarga.</t>
  </si>
  <si>
    <t>Chinese Food, Halal, Seafood, Nasi Goreng, Mie Goreng, Fuyunghai, Capcay, Keluarga, Surabaya Timur</t>
  </si>
  <si>
    <t>-7.257394117697718, 112.77848782250655</t>
  </si>
  <si>
    <t>google.com/maps/place/Depot+Kalijudan+Chinese+Food+Halal/@-7.2544184,112.7781209,17z/data=!4m6!3m5!1s0x2dd7f9d2896a7d4f:0x47fee0e46f8426b7!8m2!3d-7.2576697!4d112.7784895!16s%2Fg%2F11ssdnv6s_?entry=ttu&amp;g_ep=EgoyMDI2MDYyOS4wIKXMDSoASAFQAw%3D%3D</t>
  </si>
  <si>
    <t>Lagoon avenue mall</t>
  </si>
  <si>
    <t>Lagoon Avenue Park merupakan taman modern di kawasan Surabaya Barat yang menawarkan pemandangan danau buatan, area hijau yang tertata rapi, serta suasana yang tenang dan nyaman. Taman ini cocok untuk berjalan santai, berolahraga ringan, menikmati udara segar, atau sekadar bersantai sambil menikmati pemandangan air. Dengan desain lanskap yang estetik dan berbagai sudut menarik untuk berfoto, Lagoon Avenue Park menjadi salah satu destinasi rekreasi favorit bagi keluarga, pasangan, maupun pecinta fotografi.</t>
  </si>
  <si>
    <t>Taman Kota, Danau, Outdoor, Nature, Aesthetic, Instagramable, Family Friendly, Couple Friendly, Healing, Santai, Jogging, Piknik, Fotografi, Sunset Spot, Ruang Terbuka Hijau, City Park, Kids Friendly, Wisata Keluarga, Rekreasi, Urban Tourism, Sejuk, Pemandangan Danau, Spot Foto, Surabaya Barat.</t>
  </si>
  <si>
    <t>10;00</t>
  </si>
  <si>
    <t>-7.2898778, 112.7064354</t>
  </si>
  <si>
    <t>https://www.google.com/maps/place/Lagoon+Avenue+Mall+Sungkono/@-7.2898778,112.7064354,17z/data=!3m1!4b1!4m6!3m5!1s0x2dd7fd75060c03fd:0xb1b866cbf154c739!8m2!3d-7.2898778!4d112.7064354!16s%2Fg%2F11nn4j3qt3?entry=ttu&amp;g_ep=EgoyMDI2MDYyOS4wIKXMDSoASAFQAw%3D%3D</t>
  </si>
  <si>
    <t>Tahu Tek Pak Nur Villa Kalijudan Indah</t>
  </si>
  <si>
    <t>Warung legendaris yang menyajikan tahu tek khas Surabaya dengan perpaduan tahu goreng, lontong, kentang, tauge, dan telur yang disiram bumbu petis kacang kental. Dikenal karena cita rasa autentik dan harga yang terjangkau.</t>
  </si>
  <si>
    <t>Kuliner Surabaya, Tahu Tek, Petis, Makanan Khas Surabaya, Kuliner Malam, Murah, Halal, Surabaya Timur</t>
  </si>
  <si>
    <t>-7.260422745320723, 112.77712220071004</t>
  </si>
  <si>
    <t>https://www.google.com/maps/place/Tahu+Tek+Pak+Nur+Villa+Kalijudan+Indah/@-7.260627,112.7771057,17z/data=!3m1!4b1!4m6!3m5!1s0x2dd7f988da1baf31:0x66266e117c303639!8m2!3d-7.260627!4d112.7771057!16s%2Fg%2F11d_8gg7hp?entry=ttu&amp;g_ep=EgoyMDI2MDYyOS4wIKXMDSoASAFQAw%3D%3D</t>
  </si>
  <si>
    <t>Coto Makassar Daeng Kulle</t>
  </si>
  <si>
    <t>Warung kuliner khas Makassar yang menyajikan coto Makassar otentik di Surabaya. Coto adalah sup daging sapi khas Sulawesi Selatan dengan bumbu rempah yang kaya dan disajikan dengan ketupat atau buras. Buka dari pagi hari, cocok untuk sarapan dan makan siang.</t>
  </si>
  <si>
    <t>Kuliner Makassar, Coto Makassar, Sup Sapi, Rempah, Sulawesi, Halal, Autentik, Murah Meriah, Sarapan, Surabaya Barat</t>
  </si>
  <si>
    <t>-7.255319498472645, 112.74234709325411</t>
  </si>
  <si>
    <t>-7,255319498472645</t>
  </si>
  <si>
    <t>112,74234709325411</t>
  </si>
  <si>
    <t>https://www.google.com/maps/place/Coto+Makassar+Daeng+Kulle/@-7.255543,112.742331,17z/data=!3m1!4b1!4m6!3m5!1s0x2dd7f968f40a5e21:0x820f8c116669e9a0!8m2!3d-7.255543!4d112.742331!16s%2Fg%2F1w8g3hlr?entry=ttu&amp;g_ep=EgoyMDI2MDYyOS4wIKXMDSoASAFQAw%3D%3D</t>
  </si>
  <si>
    <t>Park shanghai pakuwon city</t>
  </si>
  <si>
    <t>Park Shanghai merupakan area tematik di kawasan Pakuwon City Mall yang mengusung nuansa taman modern dengan sentuhan arsitektur dan dekorasi khas Shanghai. Tempat ini menawarkan suasana yang estetik dengan berbagai spot foto menarik, area terbuka yang nyaman, serta atmosfer yang cocok untuk bersantai bersama keluarga maupun teman. Kombinasi elemen budaya, pencahayaan yang menarik, dan desain yang unik menjadikan Park Shanghai sebagai salah satu destinasi favorit untuk rekreasi dan berburu foto di Surabaya.</t>
  </si>
  <si>
    <t>Aesthetic, Instagramable, Spot Foto, Outdoor, Urban Tourism, Family Friendly, Couple Friendly, Fotografi, Wisata Kota, Modern Park, Landmark, Rekreasi, Santai, City View, Night View, Tematik, Chinese Style, Lifestyle, Hangout Spot, Kids Friendly, Entertainment, Surabaya Timur, Mall Attraction.</t>
  </si>
  <si>
    <t>-7.2771449, 112.8073719</t>
  </si>
  <si>
    <t>https://www.google.com/maps/place/Park+Shanghai-+Pakuwon+City/@-7.2771449,112.8073719,17z/data=!3m1!4b1!4m6!3m5!1s0x2dd7fb708d1d495d:0xabf87debf35240ca!8m2!3d-7.2771449!4d112.8073719!16s%2Fg%2F11vbq47h_b?entry=ttu&amp;g_ep=EgoyMDI2MDYyOS4wIKXMDSoASAFQAw%3D%3D</t>
  </si>
  <si>
    <t>Bara Cafe</t>
  </si>
  <si>
    <t>Kafe dengan konsep minimalis modern dominasi warna putih dan hitam yang terletak dekat Masjid Agung Surabaya. Tersedia dua lantai: lantai 1 ber-AC untuk indoor dan lantai 2 outdoor rooftop. Cocok untuk WFC, nugas, maupun bersantai. Halal certified dengan harga terjangkau.</t>
  </si>
  <si>
    <t>Cafe, Minimalis, WFC, Cozy, Outdoor Rooftop, Halal, Coffee, Makanan Berat, Terjangkau, Surabaya Selatan</t>
  </si>
  <si>
    <t>-7.334830277829127, 112.71630942822131</t>
  </si>
  <si>
    <t>-7,334830277829127</t>
  </si>
  <si>
    <t>112,71630942822131</t>
  </si>
  <si>
    <t>https://www.google.com/maps/place/BARA+CAFE/@-7.335074,112.6812639,13z/data=!4m10!1m2!2m1!1sBARA+COFFEE!3m6!1s0x2dd7fbda3ed8ac23:0x8dcb4a4ad028ba75!8m2!3d-7.335074!4d112.7162828!15sCgtCQVJBIENPRkZFRVoNIgtiYXJhIGNvZmZlZZIBBGNhZmWaAURDaTlEUVVsUlFVTnZaRU5vZEhsalJqbHZUMnM1YUZVd01IcGpXR1JOWTFkV2VGVnVXa3RXUlZab1pGUkNNMkZ0WXhBQuABAPoBBAgAECk!16s%2Fg%2F11q1c_mhg2?entry=ttu&amp;g_ep=EgoyMDI2MDYyOS4wIKXMDSoASAFQAw%3D%3D</t>
  </si>
  <si>
    <t>Taman bhinneka nusantara</t>
  </si>
  <si>
    <t>Taman Bhinneka Nusantara merupakan ruang terbuka hijau yang menghadirkan suasana nyaman dengan konsep yang mencerminkan keberagaman budaya Indonesia. Taman ini menawarkan area yang luas untuk bersantai, berolahraga ringan, dan berkumpul bersama keluarga maupun teman. Dengan lingkungan yang asri, tertata rapi, serta berbagai elemen yang merepresentasikan semangat persatuan dalam keberagaman, taman ini menjadi pilihan menarik untuk rekreasi sekaligus menikmati suasana kota yang lebih tenang.</t>
  </si>
  <si>
    <t>Taman Kota, Outdoor, Ruang Terbuka Hijau, Family Friendly, Kids Friendly, Aesthetic, Instagramable, Santai, Healing, Rekreasi, Wisata Keluarga, Edukasi, Budaya, Keberagaman, Fotografi, Community Space, Jogging, Walking Track, Piknik, Ramah Anak, Sejuk, Spot Foto, Urban Tourism</t>
  </si>
  <si>
    <t>-7.302542, 112.7969525</t>
  </si>
  <si>
    <t>-7,302542</t>
  </si>
  <si>
    <t>112,7969525</t>
  </si>
  <si>
    <t>https://www.google.com/maps/place/Taman+Bhinneka+(Nusantara+Creativity+Center)/@-7.3025473,112.7995274,17z/data=!3m1!4b1!4m6!3m5!1s0x2dd7fbf1fe18c411:0x7a5b54f79a30b082!8m2!3d-7.3025473!4d112.7995274!16s%2Fg%2F11yf7s41wc?entry=ttu&amp;g_ep=EgoyMDI2MDYyOS4wIKXMDSoASAFQAw%3D%3D</t>
  </si>
  <si>
    <t>Taman Sejarah dan Museum Hidup Kota Lama Surabaya</t>
  </si>
  <si>
    <t>Kawasan wisata sejarah yang memperkenalkan perkembangan Kota Surabaya melalui bangunan dan informasi sejarah kota.</t>
  </si>
  <si>
    <t>Heritage, Sejarah, Kota Lama, Edukasi, Budaya, Wisata Kota, Fotografi, Family Friendly</t>
  </si>
  <si>
    <t>-7.235503107408794, 112.73779952698958</t>
  </si>
  <si>
    <t>-7,235503107408794</t>
  </si>
  <si>
    <t>112,73779952698958</t>
  </si>
  <si>
    <t>https://www.google.com/maps/place/Taman+Sejarah+dan+Museum+Hidup+Kota+Lama+Surabaya/@-7.2361058,112.7378073,17z/data=!3m1!4b1!4m6!3m5!1s0x2dd7f92218534b13:0x8f19b844ebcac285!8m2!3d-7.2361058!4d112.7378073!16s%2Fg%2F11dzt6cd3b?entry=ttu&amp;g_ep=EgoyMDI2MDYyOS4wIKXMDSoASAFQAw%3D%3D</t>
  </si>
  <si>
    <t>Link</t>
  </si>
  <si>
    <t xml:space="preserve">Hutan Wisata Mangrove Surabaya merupakan wisata yang menggabungkan wisata rekreasi dan edukasi. Di area dengan luas kurang lebih 200 hektar ini ditanami berbagai tanaman bakau. Lokasi wisata ini dikelola dengan baik oleh pemerintah Kota Surabaya. Sehingga wisata ini diminati pengunjung karena tertata rapi dan bersih. Aktivitas wisata yang bisa dilakukan antara lain berkeliling hutan mangrove baik menggunakan perahu atau berjalan kaki . Serta wisata edukasi mengenai ekosistem sekitar.
</t>
  </si>
  <si>
    <t>Ekowisata, Mangrove, Wisata Alam, Nature, Outdoor, Konservasi, Edukasi Lingkungan, Eco Tourism, Hutan Mangrove, Wisata Perahu, Family Friendly, Kids Friendly, Fotografi Alam, Bird Watching, Healing, Santai, Spot Foto, Instagramable, Aesthetic, Keanekaragaman Hayati, Wisata Edukatif, Pesisir, Green Tourism, Rekreasi, Surabaya Timur.</t>
  </si>
  <si>
    <t>4,4</t>
  </si>
  <si>
    <t>-7.3073636, 112.8401148</t>
  </si>
  <si>
    <t>-7,3073636</t>
  </si>
  <si>
    <t>112,8401148</t>
  </si>
  <si>
    <t>Taman Harmoni Keputih</t>
  </si>
  <si>
    <t>Tempat tersebut ialah Taman Hatmoni Keputih Surabaya yang memiliki segudang koleksi bunga warna-warni. Dulunya tempat ini merupakan lokasi pembuangan sampah atau TPA, namun kini bertransformasi menjadi sebuah wisata taman yang sangat cantik. Bukan hanya cantik, namun bunga-bunga yang bermekaran di Taman Harmoni terlihat sangat instagramable, sehingga tak heran jika mayoritas pengunjung tempat ini merupakan para kaum kawula muda penggiat sosial media. Lantas berapa sih budget untuk memasuki kawasan Taman Harmoni Surabaya ini? Kamu nggak perlu khawatir, karena harga tiket masuk Taman Harmoni Keputih Surabaya ini gratis. Kamu hanya perlu menyiapkan kocek untuk membayar karcis parkir saja.</t>
  </si>
  <si>
    <t>Taman Kota, Taman Bunga, Outdoor, Nature, Aesthetic, Instagramable, Spot Foto, Fotografi, Family Friendly, Kids Friendly, Healing, Santai, Piknik, Jogging, Walking Track, Ruang Terbuka Hijau, Rekreasi Keluarga, Wisata Gratis, Community Space, Edukasi Lingkungan, Landmark Surabaya, Urban Tourism, Sejuk, Surabaya Timur.</t>
  </si>
  <si>
    <t>4,5</t>
  </si>
  <si>
    <t>-7.2951994, 112.7851062</t>
  </si>
  <si>
    <t>-7,2951994</t>
  </si>
  <si>
    <t>112,7851062</t>
  </si>
  <si>
    <t>Air Mancur Menari</t>
  </si>
  <si>
    <t>Jembatan Kenjeran dengan air mancur menarinya sejatinya bukan hanya sebuah jembatan penghubung jalan saja, namun juga dimanfaatkan sebagai destinasi wisata oleh pemerintah kota Surabaya. Posisi air mancur menari sendiri berada di ujung jembatan Kenjeran dekat dengan anjungan penyeberangan atau di Taman Hiburan Pantai (THP). Lokasi ini sangat ramah kaum difabel karena tersedia lift yang dapat mereka gunakan untuk mempermudah perjalanan mereka. Sembari menunggu pertunjukan air mancur menari yang spektakuler di jembatan Kenjeran ini, Anda dapat menikmati pemandangan indah matahari terbenam (sunset) di jembatan ini. Jangan lewatkan untuk berfoto dengan laut lepas yang memesona sebagai latar belakangnya. Anda juga dapat menikmati berbagai kuliner lezat khas Jawa Timur di lokasi ini karena banyak pedagang kaki lima yang berjualan di sini. Berbagai mainan anak-anak pun dijual di lokasi ini. Jadi tidak perlu kuatir bahwa anak-anak akan merasa bosan menunggu pertunjukan air mancur menari yang mereka tunggu-tunggu. Silakan atur jadwal kunjungan Anda untuk menyaksikan taman air mancur menari Kenjeran ini dan buktikan sendiri keindahannya. Pastikan bahwa mobilitas Anda terjamin dengan sewa mobil Surabaya karena di lokasi ini masih minim transportasi online pada malam hari.</t>
  </si>
  <si>
    <t>Air Mancur, Wisata Malam, Night View, Atraksi Wisata, Hiburan, Outdoor, Landmark, Instagramable, Aesthetic, Spot Foto, Fotografi, Family Friendly, Kids Friendly, Couple Friendly, City View, Rekreasi, Wisata Keluarga, Lampu Warna-warni, Entertainment, Ikonik, Urban Tourism, Pusat Kota, Wisata Gratis, Surabaya.</t>
  </si>
  <si>
    <t>-7,2356933</t>
  </si>
  <si>
    <t>112,7955234</t>
  </si>
  <si>
    <t>Taman Prestasi</t>
  </si>
  <si>
    <t>Taman Prestasi Surabaya merupakan salah satu taman yang begitu terkenal di Kota Pahlawan dan banyak dikunjungi, sehingga tak heran jika menjadi tempat favorit bagi keluarga terutama pada saat weekend. di tempat lain juga ada loh nama stadion dan taman yang sama persis dengan yang di Surabaya ini, di Bontang, Kaltim yang punya Stadion dengan nama stadion “Taman Prestasi”. Jalan Ahmad Yani, Sukarasa, Kota Tangerang, Banten 15111, juga ada sebuah taman bernama “Taman Prestasi” persis bukan? Di Jogja juga ada sebuah taman yang serupa bernama “Taman Pintar”.</t>
  </si>
  <si>
    <t>Taman Kota, Tepi Sungai, Sungai Kalimas, Outdoor, Nature, Family Friendly, Kids Friendly, Aesthetic, Instagramable, Spot Foto, Fotografi, Healing, Santai, Jogging, Walking Track, Area Bermain Anak, Wisata Keluarga, Rekreasi, Ruang Terbuka Hijau, Wisata Perahu, City Park, Wisata Gratis, Pusat Kota, Surabaya.</t>
  </si>
  <si>
    <t>4,6</t>
  </si>
  <si>
    <t>-7,2614722</t>
  </si>
  <si>
    <t>112,7428284</t>
  </si>
  <si>
    <t>Monumen Kapal Selam</t>
  </si>
  <si>
    <t>Monumen Kapal Selam, atau disingkat Monkasel, adalah sebuah museum kapal selam yang terdapat di Embong Kaliasin, Genteng, Surabaya. Terletak di pusat kota, monumen ini sebenarnya merupakan kapal selam KRI Pasopati 410, salah satu armada Angkatan Laut Republik Indonesia buatan Uni Soviet tahun 1952. Kapal selam ini pernah dilibatkan dalam Pertempuran Laut Aru untuk membebaskan Irian Barat dari pendudukan Belanda.\nKapal selam ini kemudian dibawa ke darat dan dijadikan monumen untuk memperingati keberanian pahlawan Indonesia. Monkasel berada di Jalan Pemuda, tepat di sebelah Plaza Surabaya. Selain interior kapal selam, di sini juga diadakan pemutaran film tentang proses peperangan yang terjadi di Laut Aru. Jika ingin mengunjungi tempat wisata ini, maka akan ditemani oleh seorang pemandu lokal yang terdapat di sana.\nAda cerita unik di balik hadirnya monumen Kapal Selam ini. Pada suatu malam Pak Drajat Budiyanto yang merupakan mantan KKM KRI Pasopati 410 (buatan Rusia) ini dan juga mantan KKM KRI Cakra 401 (buatan Jerman Barat), bermimpi diperintahkan oleh KSAL pada waktu itu untuk membawa kapal selam ini melayari Kali Mas. Ternyata mimpi itu menjadi kenyataan. Dia ditugaskan untuk memajang kapal selam di samping Surabaya Plaza. Caranya dengan memotong kapal selam ini menjadi beberapa bagian, kemudian diangkut ke darat, dan dirangkai dan disambung kembali menjadi kapal selam yang utuh.</t>
  </si>
  <si>
    <t>Museum, Monumen, Sejarah, Edukasi, Wisata Edukatif, Wisata Sejarah, Kapal Selam, Maritim, TNI AL, Heritage, Landmark Surabaya, Family Friendly, Kids Friendly, Fotografi, Instagramable, Spot Foto, Budaya, Historical Tour, Teknologi, Wisata Keluarga, Ikonik, Pusat Kota, Urban Tourism, Surabaya.</t>
  </si>
  <si>
    <t>-7.2654304, 112.7503052</t>
  </si>
  <si>
    <t>-7,2654304</t>
  </si>
  <si>
    <t>112,7503052</t>
  </si>
  <si>
    <t>Taman Kunang – Kunang di Surabaya ini mempunyai luas 400 meter persegi dan Taman Kunang – Kunang di Surabaya ini diresmikan oleh walikota Surabaya, Ibu Tri Rismaharini pada hari sabtu 28 Oktober 2010. Lokasi Taman Kunang – Kunang di Surabaya ini terletak di Jalan Panjaringan Timur, Panjaringan Sari, Kecamatan Rungkut, Kota Surabaya. Taman Kunang – Kunang di Surabaya ini letaknya persis berada di antara dua bangunan rumah susun dan terdapat tulisan “Taman Kunang – Kunang,” dengan latar belakang putih. Taman Kunang – Kunang di Surabaya mempunyai banyak fasilitas publik yang cukup lengkap diantaranya adalah lapangan futsal, lapangan basket, dan area bermain untuk anak – anak. Taman Kunang – Kunang di Surabaya ini telah menjadi kawasan bermain di Surabaya untuk semua kalangan, mulai dari anak – anak, remaja, maupun dewasa. Bahkan Taman Kunang – Kunang di Surabaya ini juga tidak jarang dikunjungi oleh para lansia.</t>
  </si>
  <si>
    <t>Taman Kota, Taman Tematik, Outdoor, Night View, Aesthetic, Instagramable, Spot Foto, Fotografi, Lampu Hias, Wisata Malam, Family Friendly, Kids Friendly, Couple Friendly, Healing, Santai, Rekreasi, Ruang Terbuka Hijau, City Park, Community Space, Urban Tourism, Wisata Gratis, Landmark Surabaya, Pusat Kota, Surabaya.</t>
  </si>
  <si>
    <t>Taman Buah Surabaya</t>
  </si>
  <si>
    <t>Wisata Taman Buah Undaan di Surabaya adalah salah satu tempat wisata yang berada di blok m suturejo utara, kabupaten surabaya, provinsi jawa timur, negara indonesia. Wisata Taman Buah Undaan di Surabaya adalah tempat wisata yang ramai dengan wisatawan pada hari biasa maupun hari liburan. Tempat ini sangat indah dan bisa memberikan sensasi yang berbeda dengan aktivitas kita sehari hari. Wisata Taman Buah Undaan di Surabaya memiliki pesona keindahan yang sangat menarik untuk dikunjungi. Sangat di sayangkan jika anda berada di kota surabaya tidak mengunjungi wisata taman yang mempunyai keindahan yang tiada duanya tersebut. Wisata Taman Buah Undaan di Surabaya sangat cocok untuk mengisi kegiatan liburan anda, apalagi saat liburan panjang seperti libur nasional, ataupun hari ibur lainnya. Keindahan Wisata Taman Buah Undaan di Surabaya ini sangatlah baik bagi anda semua yang berada di dekat atau di kejauhan untuk merapat mengunjungi tempat Wisata Taman Buah Undaan di Surabaya di kota surabaya.</t>
  </si>
  <si>
    <t>Taman Kota, Taman Edukasi, Taman Buah, Outdoor, Nature, Edukasi Lingkungan, Family Friendly, Kids Friendly, Ruang Terbuka Hijau, Rekreasi, Healing, Santai, Jogging, Walking Track, Wisata Edukatif, Fotografi, Instagramable, Aesthetic, Wisata Keluarga, Community Space, Green Space, Wisata Gratis, Urban Tourism, Surabaya.</t>
  </si>
  <si>
    <t>4,1</t>
  </si>
  <si>
    <t>-7.255299, 112.7071725</t>
  </si>
  <si>
    <t>-7,255299</t>
  </si>
  <si>
    <t>112,7071725</t>
  </si>
  <si>
    <t>Kalau pelangi biasanya ada di siang hari pasca hujan, maka di Taman Pelangi Yogyakarta pengunjung justru bisa menikmatinya setiap malam hari. Ya, ini lantaran taman ini merupakan Taman Lampion beraneka warna dan rupa. Buka sejak petang, Taman ini memang sangat cocok dijadikan pilihan destinasi rekreasi keluarga saat malam hari. Namun karena merupakan taman outdoor alias terbuka, maka pilihan paling tepat untuk datang ialah saat cuaca tidak hujan.</t>
  </si>
  <si>
    <t>Taman Kota, Taman Tematik, Outdoor, Warna-warni, Aesthetic, Instagramable, Spot Foto, Fotografi, Family Friendly, Kids Friendly, Rekreasi, Santai, Healing, Jogging, Walking Track, Ruang Terbuka Hijau, Community Space, Wisata Keluarga, Ramah Anak, Creative Park, Urban Tourism, Wisata Gratis, Surabaya.</t>
  </si>
  <si>
    <t>-7.2655589, 112.7131998</t>
  </si>
  <si>
    <t>-7,2655589</t>
  </si>
  <si>
    <t>112,7131998</t>
  </si>
  <si>
    <t>Hutan Bambu Keputih</t>
  </si>
  <si>
    <t>Surabaya menjadi kota metropolitan kedua setelah Jakarta. Kepadatan penduduk Surabaya pun cukup tinggi, dan karena terletak di pesisir, suhu kota terasa panas. Meski begitu, masih ada tempat sejuk, teduh, dan asri di tengah Kota Surabaya. Ialah Hutan Bambu Surabaya, tepatnya berada di Keputih. Mendengar nama “Hutan Bambu”, mungkin yang terlintas adalah hutan di pedesaan. Tapi jangan salah, di tengah kota pun dapat terwujud tempat asri seperti ini. Suasananya yang asri membuat pengunjung berbondong-bondong datang ke lokasi ini. Dan sekarang, taman rekreasi ini tengah menjadi favorit pengunjung menghabiskan waktu luang.</t>
  </si>
  <si>
    <t>Hutan Bambu, Wisata Alam, Nature, Outdoor, Aesthetic, Instagramable, Spot Foto, Fotografi Alam, Healing, Santai, Sejuk, Ruang Terbuka Hijau, Family Friendly, Couple Friendly, City Walk, Rekreasi, Wisata Gratis, Hidden Gem, Landmark Surabaya, Eco Tourism, Green Space, Urban Forest, Wisata Keluarga, Surabaya Timur.</t>
  </si>
  <si>
    <t>4,3</t>
  </si>
  <si>
    <t>-7.294150992457638, 112.8017211177917</t>
  </si>
  <si>
    <t>-7,294150992457638</t>
  </si>
  <si>
    <t>112,8017211177917</t>
  </si>
  <si>
    <t xml:space="preserve">Ntah, mengapa nama taman ini disebut dengan taman keputran, namun jika dikaitkan dengan lokasi taman, berada di persimpangan jalan Keputran Surabaya. Selain itu, di seberang sungai terdapat juga sebuah taman yang bernama Taman Lalu Lintas Surabaya. Keunikan Taman Keputran dibandingkan dengan taman lainnya adalah adanya lampu yang kerangka tiangnya mirip dengan manusia, dengan gaya pose yang berbeda-beda itu, membuat taman ini terlihat ada sentuhan kreatif dan inovatif. Lampu-lampu itu terang dan indah pada malam hari. Untuknya, taman ini cukup representatif sebagai pilihan mendapatkan tempat tongkrongan yang tenang pada malam hari. Tak hanya itu, jalur pijat refleksi kaki juga tersedia disana. Cocok untuk pengunjung yang ingin mencoba pengobatan refleksi kaki sederhana. Melalui pemahaman tentang jalur refleksi secara mendalam, sebagian orang memilih sarana ini dalam usaha menyembuhkan penyakit.
</t>
  </si>
  <si>
    <t>Taman Kota, Outdoor, Ruang Terbuka Hijau, Family Friendly, Kids Friendly, Santai, Healing, Jogging, Walking Track, Rekreasi, Wisata Keluarga, Community Space, Sejuk, Aesthetic, Instagramable, Fotografi, Spot Foto, City Park, Urban Tourism, Ramah Anak, Wisata Gratis, Pusat Kota, Surabaya.</t>
  </si>
  <si>
    <t>-7.27314255435577, 112.74411097273959</t>
  </si>
  <si>
    <t>-7,27314255435577</t>
  </si>
  <si>
    <t>112,74411097273959</t>
  </si>
  <si>
    <t>Food Junction Grand Pakuwon</t>
  </si>
  <si>
    <t>Food Junction Grand Pakuwon sebetulnya merupakan suatu pujasera dengan konsep yang sedikit berbeda dengan tempat lainnya. Tempatnya yang terletak di area Tandes, Surabaya Barat (strategis dengan suasana romantis dan unik) dimana jika dari arah pusat kota hanya membutuhkan waktu 20 menit untuk sampai ke lokasi. Sehingga tidak heran apabila banyak warga Surabaya yang menghabiskan waktu sore hari ditempat ini. Kumpulan kedai makanan yang ramai dan dikelilingi taman, danau, dan patung yang bercahaya di malam hari.</t>
  </si>
  <si>
    <t>Kuliner, Wisata Kuliner, Food Court, Food Street, Family Friendly, Kids Friendly, Hangout Spot, Lifestyle, Danau, Outdoor, Rekreasi, Hiburan, Wahana Permainan, Aesthetic, Instagramable, Spot Foto, Fotografi, Night View, Couple Friendly, Community Space, Wisata Keluarga, Modern, Entertainment, Surabaya Barat.</t>
  </si>
  <si>
    <t>-7.250963014697838, 112.66194105148935</t>
  </si>
  <si>
    <t>-7,250963014697838</t>
  </si>
  <si>
    <t>112,66194105148935</t>
  </si>
  <si>
    <t>Taman Barunawati yang lokasinya berada di kota Surabaya bagian utara. Taman yang satu ini bisa menjadi referensi untuk dikunjungi karena cukup recommended terutama bagi warga Surabaya atau bahkan warga luar Surabaya. Layaknya taman pada umumnya, memanglah menjadi tempat berlibur yang paling murah namun ada manfaat tersendiri yang bisa dirasakan oleh pengunjung seperti pikiran jadi tenang. Selain itu kita juga bisa mengajak anak atau anggota keluarga yang masih kecil untuk sekedar bermain di playground yang ada di dalam Taman Barunawati. Taman yang diresmikan pada 9 Oktober 2019 itu sekarang kondisinya nampak indah dan asri sehingga dapat mengalihkan perhatian bagi siapa saja yang melewati jalan Perak Barat Surabaya. Berkunjung ke taman ini pun kita tidak perlu merogoh kocek sepeser pun, namun pengunjung masih dapat menikmati pemandangan dan semua fasilitas yang ada di dalamnya.</t>
  </si>
  <si>
    <t>Taman Kota, Outdoor, Ruang Terbuka Hijau, Family Friendly, Kids Friendly, Santai, Healing, Jogging, Walking Track, Rekreasi, Wisata Keluarga, Community Space, Sejuk, Aesthetic, Instagramable, Fotografi, Spot Foto, City Park, Urban Tourism, Ramah Anak, Piknik, Wisata Gratis, Surabaya.</t>
  </si>
  <si>
    <t>-7.221938819093935, 112.73200206441803</t>
  </si>
  <si>
    <t>-7,221938819093935</t>
  </si>
  <si>
    <t>112,73200206441803</t>
  </si>
  <si>
    <t>Kenjeran Park merupakan salah satu tempat wisata kekinian di Surabaya. Tempat wisata ini berlokasi tepat di Jalan Sukolilo, Desa Sukolilo Baru, Kecamatan Bulak, Surabaya, Jawa Timur. Dulunya, Kenjeran Park merupakan tempat yang kumuh dan kurang terawat. Tetapi, tempat ini kembali terawat hingga bertransformasi menjadi destinasi wisata modern dan kekinian di tengah Kota Surabaya. Kenjeran Park terdiri dari beberapa kawasan wisata yang bisa pengunjung pilih. Bagi yang membawa anak-anak dan suka berenang, pengunjung bisa mengunjungi Atlantis Land Kenjeran. Lalu, pengunjung juga bisa menyambangi beberapa tempat yang ikonik dari Kenjeran Park. Salah satunya adalah Pagoda Tian Ti. Pagoda Tian Ti ini punya desain yang terinspirasi dari Pagoda Tian Tan di Beijing, China. Namun, Pagoda Tian Ti terdiri dari tiga lantai dengan diameter 60 meter dan tinggi 58 meter. Tempat ikonik lainnya adalah Patung Buddha 4 Wajah. Patung Buddha memiliki ketinggian 36 meter. Tempat menarik lainnya yang bisa pengunjung sambangi adalah Klenteng Sanggar Agung. Di klenteng ini, pengunjung bisa melihat patung Dewi Kwan Im dan sepasang naga merah keemasan yang langsung menghadap ke pantai.</t>
  </si>
  <si>
    <t>Wisata Keluarga, Taman Rekreasi, Pantai, Wisata Pesisir, Outdoor, Family Friendly, Kids Friendly, Wahana Permainan, Hiburan, Landmark, Aesthetic, Instagramable, Spot Foto, Fotografi, Pemandangan Laut, Rekreasi, Wisata Budaya, Couple Friendly, City Tourism, Sunset Spot, Theme Park, Entertainment, Ikonik, Surabaya Timur.</t>
  </si>
  <si>
    <t>4,2</t>
  </si>
  <si>
    <t>-7.252404947513533, 112.79695195767069</t>
  </si>
  <si>
    <t>-7,252404947513533</t>
  </si>
  <si>
    <t>112,79695195767069</t>
  </si>
  <si>
    <t>Surabaya menjadi kota besar yang sering menjadi tempat tujuan wisata. Berbagai tempat belanja dari tradisional hingga modern ada di Ibukota Jawa Timur ini. Namun, apakah tidak bosan wisata belanja saja di Surabaya? Jika bosan, datanglah ke Surabaya North Quay, objek wisata baru di Surabaya. Surabaya North Quay sebenarnya adalah terminal bagi kapal pesiar mewah yang bersandar. Namun, tempat ini sengaja dibenahi supaya dapat menjadi tempat wisata bagi warga Surabaya dan sekitarnya. Bahkan, tak sedikit yang berasal dari luar daerah yang penasaran ingin menikmati pemandangan menakjubkan. Lautan lepas dengan kapal pesiar mewah yang bersandar di terminal ini, menjadi daya tarik utamanya.</t>
  </si>
  <si>
    <t>Wisata Bahari, Tepi Laut, Ocean View, Seaview, Sunset Spot, City View, Night View, Outdoor, Aesthetic, Instagramable, Spot Foto, Fotografi, Landmark, Maritim, Pelabuhan, Kapal, Family Friendly, Couple Friendly, Rekreasi, Healing, Santai, Wisata Kota, Ikonik, Surabaya Utara, Urban Tourism.</t>
  </si>
  <si>
    <t>-7.196719735948982, 112.7322829</t>
  </si>
  <si>
    <t>-7,196719735948982</t>
  </si>
  <si>
    <t>112,7322829</t>
  </si>
  <si>
    <t>Meskipun namanya kebun bibit, namun kawasan ini rasanya lebih cocok disebut sebagai taman. Kawasan Kebun Bibit Wonorejo ini terbagi menjadi 2 bagian, yaitu Taman Aktif dan Taman Pasif yang total keduanya mempunyai luas sebesar 5.9 hektare. Cuaca panas yang bikin gerah memang paling enak didinginkan dengan berkunjung ke tempat adem. Selain mall, taman kota di Surabaya seperti Kebun Bibit Wonorejo ini juga pilihan yang tepat. Pengunjung akan dimanjakan dengan udara sejuk. Hal ini karena banyaknya pepohonan yang menjulang tinggi.</t>
  </si>
  <si>
    <t>Taman Kota, Kebun Bibit, Taman Edukasi, Outdoor, Nature, Family Friendly, Kids Friendly, Edukasi Lingkungan, Danau, Ruang Terbuka Hijau, Rekreasi, Wisata Keluarga, Healing, Santai, Jogging, Walking Track, Area Bermain Anak, Fotografi, Instagramable, Aesthetic, Community Space, Wisata Edukatif, Wisata Gratis, Surabaya Timur.</t>
  </si>
  <si>
    <t>-7.311871195024282, 112.78921561534138</t>
  </si>
  <si>
    <t>-7,311871195024282</t>
  </si>
  <si>
    <t>112,78921561534138</t>
  </si>
  <si>
    <t>Taman Ekspresi Surabaya tidak hanya menyuguhkan taman yang rindang dan asri. Taman di Jalan Gentengkali ini juga punya fasilitas penunjang berupa perpustakaan di sisi barat. Perpustakaan yang dikelola Dinas Perpustakaan dan Kearsipan Kota Surabaya tersebut memiliki 3.412 koleksi buku. Buku-buku yang ada di perpustakaan sangat lengkap dan baru, dari cetakan 2009 sampai terbaru 2019. Mulai buku bahasa, filsafat, psikologi, agama, matematika, ilmu alam, ilmu sosial, keluarga, teknologi, seni, sastra, geografis, sejarah, hingga bacaan untuk anak-anak.</t>
  </si>
  <si>
    <t>Taman Kota, Perpustakaan, Taman Edukasi, Ruang Baca, Wisata Edukatif, Outdoor, Ruang Terbuka Hijau, Family Friendly, Kids Friendly, Community Space, Edukasi, Literasi, City Park, Urban Tourism, Healing, Santai, Sejuk, Jogging, Walking Track, Rekreasi, Wisata Keluarga, Aesthetic, Instagramable, Spot Foto, Fotografi, Ramah Anak, Wisata Gratis, Pusat Kota, Landmark Surabaya</t>
  </si>
  <si>
    <t>-7.257046449229589, 112.74373062883534</t>
  </si>
  <si>
    <t>-7,257046449229589</t>
  </si>
  <si>
    <t>112,74373062883534</t>
  </si>
  <si>
    <t>Kebun Binatang Surabaya</t>
  </si>
  <si>
    <t xml:space="preserve">Kebun Binatang Surabaya (KBS) (Dialek Arekan: Kebon Binatang Suroboyo) adalah salah satu kebun binatang yang populer di Indonesia dan terletak di Surabaya. KBS merupakan kebun binatang yang pernah terlengkap se-Asia Tenggara, di dalamnya terdapat lebih dari 981 spesies satwa yang berbeda yang terdiri lebih dari 2.806 binatang. Termasuk di dalamnya satwa langka Indonesia maupun dunia terdiri dari Mamalia, Aves, Reptilia, dan Pisces.
</t>
  </si>
  <si>
    <t>Zoo, Kebun Binatang, Wisata Keluarga, Edukasi, Satwa, Konservasi, Anak-anak, Outdoor, Rekreasi, Taman Kota</t>
  </si>
  <si>
    <t>-7.295954599999999, 112.7366094</t>
  </si>
  <si>
    <t>-7,295954599999999</t>
  </si>
  <si>
    <t>112,7366094</t>
  </si>
  <si>
    <t>Rumah Batik</t>
  </si>
  <si>
    <t xml:space="preserve">Di rumah batik ini terdapat sekitar 2000 lembar batik yang memiliki ragam corak yang beraneka macam. Aneka batik tersebut terbuat dari berbagai macam jenis bahan yaitu seperti prima, primis, santio, sutra, prishmina dan sarimpit. Tidak hanya kain batik saja yang dapat anda temukan di rumah batik ini melainkan juga ada sarung batik, baju batik, celana batik, rok batik, selendang batik, dan lain sebagainya. Untuk anda yang ingin segera mengunjungi rumah batik di Surabaya ini maka berikut informasi alamat dari rumah batik itu sendiri. Jadi rumah batik tersebut pada mulanya terletak di jalan tambak, dukuh 1, no.4, rt.01, rw.09, kelurahan kapasari, kecamatan genteng, Surabaya. Di tempat ini anda akan melihat berbagai macam batik yang di pajang yaitu mulai dari batik Surabaya, bangkalan, sidoarjo, sumenep, mojokerto, ponorogo, tuban, jombang, dan bojonegoro. Karena koleksi yang di miliki di rumah batik Surabaya ini sangat beragam tentu saja membuat banyak pengunjung yang ingin datang ke lokasi ini. Setelah itu rumah batik ini di pindah di lokasi jalan margorejo, no. 143, Surabaya.
</t>
  </si>
  <si>
    <t>Batik, Budaya, Kerajinan, Edukasi, Heritage, Wisata Belanja, UMKM, Seni Tradisional, Workshop, Lokal</t>
  </si>
  <si>
    <t>-7.277905209002063, 112.71863223068642</t>
  </si>
  <si>
    <t>-7,277905209002063</t>
  </si>
  <si>
    <t>112,71863223068642</t>
  </si>
  <si>
    <t>Masjid Cheng Hoo Surabaya adalah Masjid bernuansa Muslim Tionghoa yang berlokasi di Jalan Gading, Ketabang, Genteng, Surabaya atau 1.000 m utara Gedung Balaikota Surabaya. Masjid ini didirikan atas prakarsa para sespuh, penasehat, pengurus PITI, dan pengurus Yayasan Haji Muhammad Cheng Ho Indonesia Jawa Timur serta tokoh masyarakat Tionghoa di Surabaya. Pembangunan masjid ini diawali dengan peletakkan batu pertama 15 Oktober 2001 bertepatan dengan Isra' Mi'raj Nabi Muhammad SAW. Sedangkan pembangunannya baru dilaksanakan 10 Maret 2002 dan baru diresmikan pada 13 Oktober 2002. Masjid Cheng Ho, atau juga dikenal dengan nama Masjid Muhammad Cheng Ho Surabaya, ialah bangunan masjid yang menyerupai kelenteng (rumah ibadah umat Tri Dharma). Gedung ini terletak di areal komplek gedung serba guna PITI (Pembina Imam Tauhid Islam) Jawa Timur Jalan Gading No.2 (Belakang Taman Makam Pahlawan Kusuma Bangsa), Surabaya. Masjid ini didominasi warna merah, hijau, dan kuning. Ornamennya kental nuansa Tiongkok lama. Pintu masuknya menyerupai bentuk pagoda, terdapat juga relief naga dan patung singa dari lilin dengan lafaz Allah dalam huruf Arab di puncak pagoda. Di sisi kiri bangunan terdapat sebuah beduk sebagai pelengkap bangunan masjid.Selain Surabaya di Palembang juga telah ada masjid serupa dengan nama Masjid Cheng Ho Palembang atau Masjid Al Islam Muhammad Cheng Hoo Sriwijaya Palembang. Nama masjid ini merupakan bentuk penghormatan pada Cheng Ho, Laksamana asal Cina yang beragama Islam. Dalam perjalanannya di kawasan Asia Tenggara, Cheng Ho bukan hanya berdagang dan menjalin persahabatan, juga menyebarkan agama Islam.</t>
  </si>
  <si>
    <t>Masjid, Wisata Religi, Arsitektur Tionghoa, Budaya Tionghoa, Sejarah, Ikon Kota, Fotografi, Akulturasi Budaya, Landmark, Heritage</t>
  </si>
  <si>
    <t>4,7</t>
  </si>
  <si>
    <t>Masjid Nasional Al-Akbar</t>
  </si>
  <si>
    <t xml:space="preserve">Masjid Nasional Al Akbar (atau biasa disebut Masjid Agung Surabaya) ialah masjid terbesar kedua di Indonesia yang berlokasi di Kota Surabaya, Jawa Timur setelah Masjid Istiqlal di Jakarta. Posisi masjid ini berada di wilayah Kelurahan Pagesangan, Kecamatan Jambangan, Surabaya dan tepat di samping Jalan Tol Surabaya-Gempol. Ciri yang mudah dilihat adalah kubahnya yang besar didampingi 4 kubah kecil yang berwarna biru. Serta memiliki satu menara yang tingginya 99 meter. Masjid Nasional Al-Akbar Surabaya dibangun sejak tanggal 4 Agustus 1995, atas gagasan Wali Kota Surabaya saat itu, H. Soenarto Soemoprawiro. Pembangunan Masjid ini ditandai dengan peletakan batu pertama oleh Wakil Presiden RI Try Sutrisno. Namun karena krisis moneter pembangunannya dihentikan sementara waktu. Tahun 1999, masjid ini dibangun lagi dan selesai tahun 2001. Pada 10 November 2000, Masjid ini diresmikan oleh Presiden RI KH. Abdurrahman Wahid.
</t>
  </si>
  <si>
    <t>Masjid, Wisata Religi, Landmark, Ikon Kota, Menara Pandang, Arsitektur Islam, Fotografi, Wisata Keluarga, Tempat Ibadah, Panorama Kota</t>
  </si>
  <si>
    <t>4,9</t>
  </si>
  <si>
    <t>-7.336614099999998, 112.7151806</t>
  </si>
  <si>
    <t>-7,336614099999998</t>
  </si>
  <si>
    <t>112,7151806</t>
  </si>
  <si>
    <t xml:space="preserve">Museum Loka Jala Crana berdiri pada tanggal 19 September 1969 oleh Ibu R. Mulyadi, isteri panglima Angkatan Laut Laksamana R. Moeljadi, dengan nama Museum Akabri Laut. Pada tahun 1973, tepatnya pada tanggal 10 Juli 1973, statusnya ditingkatkan menjadi Museum TNI Angkatan Laut. Selanjutnya tanggal 6 Oktober 1979 namanya berubah kembali menjadi Museum TNI Angkatan Laut Loka Jala Crana. Loka jala Crana berarti tempat untuk menyimpan, mengabadikan dan menyajikan peralatan atau sarana yang dipergunakan oleh TNI Angkatan Laut. Di dalam museum ini terdapat beberapa koleksi peralatan pertempuran Angkatan Laut, disamping itu juga satu koleksi berupa planetarium dan astronavigasi. Museum ini menyuguhkan dan menyelamatkan objek benda-benda bersejarah yang pernah dimiliki serta dipakai oleh prajurit-prajurit TNI Angkatan Laut sejak dari zaman revolusi fisik hingga saat ini, di antaranya berupa berbagai jenis meriam kapal perang, pesawat, helikopter, artileri medan, replica KRI Dewaruci. Ada juga benda bersejarah lain seperti meriam kapal "HRMS De Zeven Provencien“.
</t>
  </si>
  <si>
    <t>Museum, Sejarah, Militer, Maritim, Edukasi, TNI AL, Kapal Laut, Wisata Pelajar, Koleksi Bersejarah, Indoor</t>
  </si>
  <si>
    <t>8000-10000</t>
  </si>
  <si>
    <t>-7,227185</t>
  </si>
  <si>
    <t>112,718997</t>
  </si>
  <si>
    <t>Jembatan Merah</t>
  </si>
  <si>
    <t>Jembatan Merah merupakan salah satu monumen sejarah di Surabaya, Jawa Timur yang dibiarkan seperti adanya: sebagai jembatan. Jembatan yang menjadi salah satu judul lagu ciptaan Gesang ini, semasa zaman VOC dahulu dinilai penting karena menjadi sarana perhubungan paling vital melewati Kalimas menuju Gedung Karesidenan Surabaya, yang sudah tidak berbekas lagi.\nKawasan Jembatan Merah merupakan daerah perniagaan yang mulai berkembang sebagai akibat dari Perjanjian Paku Buwono II dari Mataram dengan VOC pada 11 November 1743. Dalam perjanjian itu sebagian daerah pantai utara, termasuk Surabaya, diserahkan penguasaannya kepada VOC. Sejak saat itulah Surabaya berada sepenuhnya dalam kekuasaan Belanda. Kini, posisinya sebagai pusat perniagaan terus berlangsung. Di sekitar jembatan terdapat indikator-indikator ekonomi, termasuk salah satunya Plaza Jembatan Merah.\nPerubahan fisiknya terjadi sekitar tahun 1890-an, ketika pagar pembatasnya dengan sungai diubah dari kayu menjadi besi. Kini kondisi jembatan yang menghubungkan Jalan Rajawali dan Jalan Kembang Jepun di sisi utara Surabaya itu, hampir sama persis dengan jembatan lainnya. Pembedanya hanyalah warna merah.</t>
  </si>
  <si>
    <t>Sejarah, Cagar Budaya, Landmark, Heritage, Perjuangan Kemerdekaan, Fotografi, Wisata Kota Lama, Ikon Surabaya, Spot Sejarah</t>
  </si>
  <si>
    <t>-7.2367447, 112.7383009</t>
  </si>
  <si>
    <t>-7,2367447</t>
  </si>
  <si>
    <t>112,7383009</t>
  </si>
  <si>
    <t>Museum Bank Indonesia (Bahasa Indonesia: Museum Bank Indonesia) adalah museum bank yang terletak di Surabaya, Indonesia. Secara resmi didirikan oleh Bank Indonesia dan dibuka pada 27 Januari 2012 setelah direstorasi. Museum ini menempati gedung yang dulunya bernama De Javasche Bank, bank sentral Hindia Belanda. Setelah Kemerdekaan Indonesia gedung ini terus berfungsi sebagai kantor cabang Bank Indonesia di Surabaya hingga tahun 1973. Museum tutup pada hari Senin dan hari libur nasional. Tidak ada biaya masuk.</t>
  </si>
  <si>
    <t>Museum, Sejarah, Ekonomi, Perbankan, Heritage, Arsitektur Kolonial, Edukasi, Wisata Pelajar, Kota Lama, Fotografi</t>
  </si>
  <si>
    <t>-7,2353939</t>
  </si>
  <si>
    <t>112,7367646</t>
  </si>
  <si>
    <t>Klenteng Sanggar Agung</t>
  </si>
  <si>
    <t>Kelenteng Sanggar Agung atau Klenteng Hong San Tang adalah sebuah klenteng di Kota Surabaya. Alamatnya berada di Jalan Sukolilo Nomor 100, Pantai Ria Kenjeran, Surabaya. Kuil ini, selain menjadi tempat ibadah bagi pemeluk Tridharma, juga menjadi tempat tujuan wisata bagi para wisatawan. Klenteng ini dibuka pada tahun 1999.\nCiri khas dari klenteng ini adalah sebuah patung Kwan Im setinggi 20 meter yang terletak di tepi laut. Klenteng ini dipersembahkan kepada Nan Hai Guan Shi Yin Pu Sa atau Bodhisatwa Kwan Im Laut Selatan. Patung ini dibangun setelah seorang karyawan Sanggar Agung melihat sesosok wanita berjubah putih berjalan di atas air pada saat ia sedang menutup Klenteng di malam hari. Penampakan tersebut dipercaya sebagai penampakan Kwan Im sendiri. Ikon lain dari Sanggar Agung adalah patung Phra Phrom raksasa berlapis emas.</t>
  </si>
  <si>
    <t>Klenteng, Wisata Religi, Tridharma, Budaya Tionghoa, Arsitektur Tiongkok, Dewi Kwan Im, Naga Raksasa, Patung, Kenjeran, Tepi Laut, Pantai, Instagramable, Toleransi, Budaya Jawa, Budaya Bali, Healing, Spot Foto, Edukasi, Family Friendly, Outdoor, MURI, Lampion, Barongsai, Surabaya Timur, Gratis</t>
  </si>
  <si>
    <t>-7.246944, 112.802222</t>
  </si>
  <si>
    <t>-7,246944</t>
  </si>
  <si>
    <t>112,802222</t>
  </si>
  <si>
    <t>Monumen Tugu Pahlawan dan Museum Sepuluh Nopembe</t>
  </si>
  <si>
    <t xml:space="preserve">Museum Sepuluh November Surabaya adalah salah satu museum yang terletak di Kota Surabaya, dibangun pada tahun 1945. Museum ini dibangun dengan tujuan untuk mempelajari dan memperdalam peristiwa Pertempuran Sepuluh November 1945, Museum Sepuluh November beralamat di Jalan Pahlawan, Surabaya.
</t>
  </si>
  <si>
    <t>Monumen, Tugu Pahlawan, Sejarah, Kemerdekaan, 10 November 1945, Paku Terbalik, Soekarno, Patung, Edukasi, Surabaya Pusat, Bubutan, Landmark, Iconic, Family Friendly, Outdoor, Foto, Nasionalisme, Pahlawan, Gratis, Taman, Proklamasi, Museum, Wisata Sejarah, Alun-alun, Heritage</t>
  </si>
  <si>
    <t>-7.245436900000001, 112.7378985</t>
  </si>
  <si>
    <t>-7,245436900000001</t>
  </si>
  <si>
    <t>112,7378985</t>
  </si>
  <si>
    <t>Rumah Kelahiran Bung Karno</t>
  </si>
  <si>
    <t xml:space="preserve">Rumah Kelahiran Bung Karno adalah cagar budaya di Jl. Peneleh Gang Pandean IV No.40, Genteng, tempat lahirnya Soekarno pada 6 Juni 1901. Terdiri dari 4 ruangan: Ruang Depan, Ruang Soekeni, Ruang Kusno, dan Ruang Srimben. Dilengkapi teknologi Augmented Reality dan video mapping. </t>
  </si>
  <si>
    <t>Museum, Sejarah, Soekarno, Proklamator, Cagar Budaya, Gratis, Heritage, Edukasi, Augmented Reality, Video Mapping, Peneleh, Genteng, Family Friendly, Nasionalisme, Kemerdekaan, Wisata Sejarah, Instagramable, Surabaya Pusat, Wajib Dikunjungi, Reservasi, Pagi, Indoor, AC, Kampung Heritage, 1901</t>
  </si>
  <si>
    <t>4,8</t>
  </si>
  <si>
    <t>-7.2629, 112.7432</t>
  </si>
  <si>
    <t>-7,2629</t>
  </si>
  <si>
    <t>112,7432</t>
  </si>
  <si>
    <t>Saat ini Museum Surabaya Siola menjelma menjadi sebuah destinasi wisata sejarah yang unik dan menarik untuk dikunjungi. Bukan hanya menyuguhkan cerita masa lampau yang ditampilkan dengan berbagai macam bentuk, Museum Surabaya Siola juga menjadi tempat incaran untuk berburu foto. Bagi pengunjung yang ingin mendatangi Museum Surabaya Siola ini maka tidak harus membayar tiket masuk alias gratis. Siapa saja boleh masuk kedalam Museum Surabaya Siola, karena tempat ini terbuka untuk semua kalangan mulai dari anak-anak sampai dewasa. Manjajal Museum Surabaya untuk dijadikan sebagai destinasi wisata akhir pekanmu sepertinya tidak ada salahnya. Selain bisa mempelajari sejarah Kota Pahlawan, kamu pun akan mendapatkan ilmu pengetahuan yang bermanfaat.</t>
  </si>
  <si>
    <t>Museum, Gedung Siola, Sejarah Kota, Heritage, Kolonial Belanda, Arsitektur, Surabaya Pusat, Tunjungan, Edukasi, Family Friendly, Gratis, Peta Kota, Trem Surabaya, Koleksi Sejarah, Foto, Retro, Vintage, Iconic, Landmark, Instagramable, Budaya, Pameran, Komunitas, Urban, Bangunan Tua</t>
  </si>
  <si>
    <t>-7.256297200000001, 112.7379955</t>
  </si>
  <si>
    <t>-7,256297200000001</t>
  </si>
  <si>
    <t>112,7379955</t>
  </si>
  <si>
    <t>Monumen Jalesveva Jayamahe</t>
  </si>
  <si>
    <t>Monumen Jalesveva Jayamahe atau Monjaya adalah sebuah monumen yang terletak di Kota Surabaya, Jawa Timur. Monumen ini menggambarkan sosok Perwira TNI Angkatan Laut berbusana Pakaian Dinas Upacara (PDU) lengkap dengan pedang kehormatan yang sedang menerawang ke arah laut, serasa siap menantang gelombang dan badai di lautan, begitu pula yang ingin di perlihatkan bahwa angkatan laut Indonesia siap berjaya. Patung tersebut berdiri di atas bangunan dan tingginya mencapai 30,6 meter. Monumen Jalesveva Jayamahe menggambarkan generasi penerus bangsa yang yakin dan optimis untuk mencapai cita-cita bangsa Indonesia.Monumen Jalesveva Jayamahe ini juga sesuai dengan motto angkatan laut Jalesveva Jayamahe yang berarti, Di Laut Kita Berjaya. Monumen ini dibangun pada tahun 1993 oleh Pemimpin Kepala Staf TNI Angkatan Laut Maritim Indonesia yang kemudian dilanjutkan dengan Laksamana TNI Muhamad Arifin dan dirancang oleh I Nyoman Nuarta. Selain sebagai monumen, bangunan ini juga difungsikan sebagai mercusuar bagi kapal-kapal yang ada di laut sekitar.</t>
  </si>
  <si>
    <t>Monumen, TNI AL, Jalesveva Jayamahe, Patung Prajurit, Tanjung Perak, Surabaya Utara, Landmark, Iconic, Sejarah, Maritim, Laut, Foto, Instagramable, Outdoor, Suramadu View, Pelabuhan, Militer, Edukasi, Nasionalisme, Gagah, Megah, Pemandangan Laut, Gratis, Heritage, Family Friendly</t>
  </si>
  <si>
    <t>-7.195474799999999, 112.7395206</t>
  </si>
  <si>
    <t>-7,195474799999999</t>
  </si>
  <si>
    <t>112,7395206</t>
  </si>
  <si>
    <t>Patung Sura dan Buaya</t>
  </si>
  <si>
    <t>Patung Sura dan Baya (Jawa: Patung Suro lan Boyo) adalah sebuah patung yang merupakan lambang kota Surabaya. Patung ini berada di depan Kebun Binatang Surabaya. Patung ini terdiri atas dua hewan ini yang menjadi inspirasi nama kota Surabaya: ikan sura (hiu) dan baya (buaya).</t>
  </si>
  <si>
    <t>Patung, Ikon Kota, Sura, Buaya, Lambang Surabaya, Foto, Instagramable, Outdoor, Gratis, Surabaya Pusat, Landmark, Legendaris, Heritage, Edukasi, Family Friendly, Taman, Sejarah Kota, Budaya, Wisata Gratis, Mitos, Cerita Rakyat, Spot Foto, Urban, Ikonik, Wajib Dikunjungi</t>
  </si>
  <si>
    <t>-7.296049199999999, 112.7387012</t>
  </si>
  <si>
    <t>-7,296049199999999</t>
  </si>
  <si>
    <t>112,7387012</t>
  </si>
  <si>
    <t>Pantai Ria Kenjeran</t>
  </si>
  <si>
    <t>Obyek wisata Pantai Ria Kenjeran Surabaya merupakan salah satu destinasi wisata ketika mengujungi kota Surabaya. Pantai ini termasuk salah satu wisata andalan kota Surabaya yang selalu ramai pengunjung. Lokasi Pantai Ria Kenjeran terletak di Kecamatan Kenjeran Timur Surabaya, Propinsi Jawa Timur. Kawasan Pantai Ria Kenjeran ini sudah terkenal dengan berbagai wahana dan tempat rekreasi keluarga khususnya bagi warga Kenjeran. Pantai yang juga mendapatkan julukan sebagai Kenpark ini berdekatan dengan Jembatan Suramadu. Pantai Kenjeran biasanya dimanfaatkan masyarakat sekitar untuk melepas penat dari rutinitas setiap hari. Banyak juga wisatawan yang juga berwisata ke pantai ini. Pantai yang terletak tak begitu jauh dari pusat Kota Surabaya ini juga buka setiap hari selama 24 jam, jadi tidak perlu khawatir jika Anda ingin berkunjung kapan saja. Pantai ini memiliki fasilitas yang cukup lengkap, seperti arena bermain untuk anak yang disebut Kya kya Seaside, ada juga Pagoda Tuan Ti, jembatan kayu dengan gazebo untuk bersantai dan foto. Ada juga waterpark dan area bermain anak di sekitar pantai ini. Juga terdapat persewaan perahu yang dapat dinaiki oleh para pengunjung untuk menikmati keindahan Pantai Ria Kenjeran dari area pesisir laut dengan tarif sekitar Rp 5.000,-.</t>
  </si>
  <si>
    <t>Pantai, Wisata Bahari, Kenjeran, Sunrise, Sunset, Pemandangan Laut, Suramadu, Perahu Wisata, Jet Ski, Memancing, Camping, Seafood, Murah, Outdoor, Family Friendly, Surabaya Timur, Bulak, Pasir Putih, Berjemur, Kuliner Pantai, Pedagang Kaki Lima, Parkir, Mushola, Taman, Affordable</t>
  </si>
  <si>
    <t>-7.250916399999999, 112.8009332</t>
  </si>
  <si>
    <t>-7,250916399999999</t>
  </si>
  <si>
    <t>112,8009332</t>
  </si>
  <si>
    <t>Waterpark Kenjeran Surabaya</t>
  </si>
  <si>
    <t xml:space="preserve">Waterpark Kenjeran Surabaya merupakan wisata keluarga dengan permainan air dan olahraga renang. Terdapat berbagai wahana menarik bagi keluarga dan anak-anak. Berlokasi tidak jauh dari kawasan wisata pantai kenjeran dan Atlantis Land Kenjeran. Suasana pepohonan di sekitar area kolam renang memberikan kesan yang teduh di kolam. Terdapat bangunan dengan bentuk istana negeri dongeng yang menghiasi. Dengan warna-warni khas buku cerita anak.
</t>
  </si>
  <si>
    <t>waterpark, taman-air, keluarga, anak-anak, kolam-renang, rekreasi, outdoor, liburan-keluarga</t>
  </si>
  <si>
    <t>-7.247796300000002, 112.7998235</t>
  </si>
  <si>
    <t>-7,247796300000002</t>
  </si>
  <si>
    <t>112,7998235</t>
  </si>
  <si>
    <t>Balai Kota Surabaya</t>
  </si>
  <si>
    <t>Surabaya sebagai Resort Gemeente (Haminte) secara resmi mulai berdiri pada tanggal 1 April 1906. Sebelumnya Surabaya merupakan bagian dari karesidenan Pemerintah Haminte dijalankan oleh Dewan Haminte yang diketuai oleh asisten residen sebagai Kepala Daerah.\nTahun 1916 diangkat Wali kota Surabaya pertama, A. Meyroos yang bertugas sampai tahun 1921. Baru setelah wali kota yang kedua, G.J. DIJKERMAN, terpilih, rencana membangun gedung Balai Kota diwujudkan.\nGedung utama Balai Kota di Taman Surya di daerah Ketabang itu mulai dibangun pada tahun 1923 dan mulai ditempati pada tahun 1927. Arsiteknya ialah C. Citroen dan pelaksanaannya H.V. Hollandsche Beton Mij. Biaya seluruhnya, termasuk perlengkapan dan lain-lainnya, menghabiskan dana sekitar 1000 gulden.\n\nUkuran gedung utama: panjang 102 m dan lebar 19 m. Konstruksinya terdiri dari tiang-tiang pancang beton bertulang yang ditanam, sedangkan dinding-dindingnya diisi dengan bata dan semen. Atapnya terbuat dari rangka besi dan ditutup dengan sirap, Belakangan atap ini kemudian diganti dengan genteng.\nSetelah Republik Indonesia diproklamirkan, dilantiklah Radjamin Nasution sebagai Wali kota Kota Besar Surabaya. Berdasarkan Penpres 1959 No. 16 maka ditetapkan Wali kota menjadi Kepala Daerah Kota Surabaya. Tahun 1965 Kotapraja Surabaya resmi menjadi Kotamadya.</t>
  </si>
  <si>
    <t>landmark, sejarah, pemerintahan, taman-kota, arsitektur, wisata-kota, edukasi, fotografi</t>
  </si>
  <si>
    <t>-7.2592948, 112.7470512</t>
  </si>
  <si>
    <t>-7,2592948</t>
  </si>
  <si>
    <t>112,7470512</t>
  </si>
  <si>
    <t>Patung Buddha Empat Rupa</t>
  </si>
  <si>
    <t>Terletak di sudut Pantai Ria Kenjeran, Patung Buddha Empat Rupa ini sering digunakan oleh pemuda-pemudi setempat untuk tempat nongkrong dan berkumpul. Dibangun mulai tahun 2003 dan mempunyai lahan sekitar 1,5 hektare dan berukuran 9×9 meter membuatnya menghabiskan sekitar Rp 4 Milyar dalam pembuatannya. Dan patung ini semakin megah karena dilapisi oleh emas murni yang diimpor langsung dari Thailand. Bangunan ini dikelilingi oleh 4 pilar, yaitu pilar hijau dan pilar emas. Empat wajah yang terdapat di patung ini menggambarkan empat sifat yang baik dari Buddha, yaitu pengasih, murah hati, adil, dan meditasi. Selain melihat patung Buddha ini, jika Kamu berkunjung ke sini maka Kamu akan melihat beberapa patung gajah yang ada di sekeliling patung Buddha ini. Dan menariknya, patung ini dianggap MURI sebagai patung tertinggi di Indonesia.</t>
  </si>
  <si>
    <t>religi, budaya, landmark, patung-ikonik, spiritual, fotografi, wisata-keluarga, heritage</t>
  </si>
  <si>
    <t>-7.247007378731678, 112.801135044179</t>
  </si>
  <si>
    <t>-7,247007378731678</t>
  </si>
  <si>
    <t>112,801135044179</t>
  </si>
  <si>
    <t>Monumen Bambu Runcing Surabaya</t>
  </si>
  <si>
    <t>Monumen Bambu Runcing adalah ikon pariwisata Surabaya yang berhubungan dengan situs sejarah perjuangan bangsa. Monumen ini terdiri dari 5 pilar dan memiliki tinggi yang tidak sama dan dibentuk seperti bambu runcing. Sayangnya, tidak ada estimasi yang tepat tentang tinggi pada masing-masing pilar. Pada waktu tertentu, akan ada air yang mengalir keluar dari bambu runcing, layaknya air mancur. Selain itu, monumen ini dikelilingi oleh taman kecil yang penuh dengan beragam tanaman hias. Monumen Bambu Runcing ini terletak di jantung kota Surabaya, di tengah ramainya lalu lintas jalan Panglima Sudirman. Para pengunjung yang datang ke Surabaya akan langsung mengenali keberadaan monumen ini saat melintasinya. Monumen ini juga dekat dengan Kebun Binatang Surabaya, Tunjungan Plaza, Surabaya Plaza dan Tugu Pahlawan Surabaya.</t>
  </si>
  <si>
    <t>sejarah, monumen, perjuangan, landmark, edukasi, fotografi, wisata-kota</t>
  </si>
  <si>
    <t>-7.267490648691803, 112.74432379814937</t>
  </si>
  <si>
    <t>-7,267490648691803</t>
  </si>
  <si>
    <t>112,74432379814937</t>
  </si>
  <si>
    <t>Atlantis Land Surabaya</t>
  </si>
  <si>
    <t>Sejak diresmikan pada bulan Desember 2017, Atlantis Land Kenjeran Surabaya sudah sukses mendatangkan banyak pengunjung. Taman wisata air ini menjadi taman air terbesar di Kota Surabaya. Lokasinya terletak satu wilayah dengan Kenjeran Park, atau familiar disebut Ken Park. Tepatnya di Jalan Pantai Ria Kenjeran, Sukolilo Baru, Bulak, Surabaya, Jawa Timur. Taman wisata air ini memiliki luas sekitar 15 hektar dengan desain asli milik arsitek Australia. Tema yang diambil untuk taman wisata air ini adalah istana bawah laut. Dengan tema tersebut, gerbang masuk Atlantis Land Kenjeran Surabaya memiliki dinding bangunan utama berwarna biru. Dinding utama tersebut dihiasi dengan garis-garis menyerupai ombak berwarna putih. Atapnya berwarna kuning kecokelatan dan menjulang tinggi bagai istana. Di kedua sisi bangunan utama, terdapat bangunan berdinding cokelat dengan ornamen belahan kayu. Bangunan ini memberi kesan bagaikan kapal pesiar yang belum rampung dibuat. Sebuah patung neptunus berwarna kuning juga terlihat menghiasi salah satu sudut tembok taman ini. Dekorasi yang ada di Atlantis Land Kenjeran akan memberi suasana bagaikan berada di sebuah kastil.</t>
  </si>
  <si>
    <t>taman-hiburan, theme-park, keluarga, anak-anak, wahana, waterpark, fotografi, rekreasi, outdoor</t>
  </si>
  <si>
    <t>-7.252382240011029, 112.80225265582098</t>
  </si>
  <si>
    <t>-7,252382240011029</t>
  </si>
  <si>
    <t>112,80225265582098</t>
  </si>
  <si>
    <t>Taman Mundu</t>
  </si>
  <si>
    <t>Taman Mundu merupakan salah satu taman atau ruang terbuka hijau terutama bagi warga kota Surabaya, taman ini lebih tepatnya berada di Jl. Tambaksari atau berada di seberang Stadion Gelora Sepuluh November Tambaksari Surabaya. Taman Mundu dibangun menempati area seluas 4.800 meter persegi dan pembangunannya diresmikan pada 10 Juli 2010. Taman yang cantik ini mempunyai berbagai fasilitas yang bisa dinikmati dan digunakan oleh warga Surabaya atau siapapun yang mengunjungi taman ini, diantarnya fasilitas arena bermain bagi anak-anak,</t>
  </si>
  <si>
    <t>taman-kota, olahraga, jogging, keluarga, ruang-terbuka-hijau, santai, anak-anak</t>
  </si>
  <si>
    <t>-7.2514130255930285, 112.75456611349259</t>
  </si>
  <si>
    <t>-7,2514130255930285</t>
  </si>
  <si>
    <t>112,75456611349259</t>
  </si>
  <si>
    <t>Museum Negeri Mpu Tantular adalah sebuah museum negeri yang berlokasi di kecamatan Buduran, Sidoarjo, Jawa Timur. Awalnya, museum ini bernama Stedelijk Historisch Museum Soerabaia, didirikan oleh Godfried von Faber pada tahun 1933 dan diresmikan pada tanggal 25 Juli 1937. Saat ini, museum ini dikelola oleh Unit Pelaksana Teknis pada Departemen Kebudayaan dan Pariwisata.</t>
  </si>
  <si>
    <t>museum, sejarah, budaya, edukasi, keluarga, artefak, indoor, wisata-pelajar</t>
  </si>
  <si>
    <t>-7.43310659448778, 112.71988781534321</t>
  </si>
  <si>
    <t>-7,43310659448778</t>
  </si>
  <si>
    <t>112,71988781534321</t>
  </si>
  <si>
    <t>Taman Bungkul adalah taman wisata kota yang terletak di pusat kota Surabaya, tepatnya di Jalan Raya Darmo. Taman ini berdiri di area seluas 900 meter persegi. Dilengkapi berbagai fasilitas penunjang, seperti amfiteater berdiameter 33 meter, lajur joging, lahan papan luncur, taman bermain anak-anak, air mancur, dan pujasera. Selain itu, taman ini juga dilengkapi akses internet nirkabel yang terbuka untuk umum sehingga siapapun bisa mengakses internet selama di taman ini. Letaknya yang berada di jantung Kota Surabaya membuat taman ini tidak hanya berfungsi sebagai lahan hijau saja, tetapi juga sebagai destinasi wisata yang populer di Surabaya.</t>
  </si>
  <si>
    <t>taman-kota, kuliner, olahraga, jogging, keluarga, ruang-terbuka-hijau, wisata-kota, fotografi</t>
  </si>
  <si>
    <t>-7.291208452959125, 112.73972524047777</t>
  </si>
  <si>
    <t>-7,291208452959125</t>
  </si>
  <si>
    <t>112,73972524047777</t>
  </si>
  <si>
    <t>Taman Air Mancur Menari Kenjeran</t>
  </si>
  <si>
    <t>Air mancur menari atau dancing fountain juga ada di kawasan jembatan kenjeran Surabaya. Air mancur ini di buat bersamaan dengan pembuatan jembatan kenjeran, di resmikan pada tanggal 9 juli 2016 lalu. Sejak diresmikannya air mancur dan jembatan yang membentang di atas laut dengan panjang 800 meter ini menjadi tujuan wisata bagi warga Surabaya dan sekitarnya. Dancing fountain yang indah tidak lepas dari komponen-komponen yang bekerja di dalamnya seperti nozzle sebagai tempat keluarnya air, dari nozzle inilah semburan air bisa berubah ubah. Air yang keluar di dorong oleh pompa air mancur yang mendorong dari tempat rendah ke tempat lebih tinggi. Pemilihan lampu yang tepat akan menambah kualitas pencahayaan lebih terang, sebaiknya menggunakan underwater led atau waterproof led karena lampu ini bersifat tahan air. Tentu akan menambah tampilan air mancur menari lebih memikat.</t>
  </si>
  <si>
    <t>air-mancur, pertunjukan, malam-hari, fotografi, keluarga, landmark, hiburan, waterfront</t>
  </si>
  <si>
    <t>-7.2355123622313595, 112.79559850185063</t>
  </si>
  <si>
    <t>-7,2355123622313595</t>
  </si>
  <si>
    <t>112,79559850185063</t>
  </si>
  <si>
    <t>Taman Flora adalah salah satu taman kota di Surabaya yang merupakan fasilitas publik dari Pemkot setempat. Sehingga tempat ini memang sengaja dibuat untuk dinikmati oleh khalayak umum. Karena taman ini merupakan fasilitas publik yang didirikan oleh Pemkot Surabaya maka bagi siapa saja jika ingin memanfaatkan taman kota ini tidak perlu membayar tiket masuk alias gratis.</t>
  </si>
  <si>
    <t>taman-kota, edukasi, satwa, keluarga, anak-anak, ruang-terbuka-hijau, fotografi, santai</t>
  </si>
  <si>
    <t>Gereja Katolik Kelahiran Santa Perawan Maria</t>
  </si>
  <si>
    <t xml:space="preserve">Gereja Katolik Kelahiran Santa Perawan Maria merupakan salah satu gereja tua di kota Surabaya, Jawa Timur, Indonesia. Berlokasi di Jalan Kepanjen, Surabaya, bangunan religius ini berdampingan dengan gedung SMA Katolik Frateran Surabaya.
</t>
  </si>
  <si>
    <t>religi, gereja, arsitektur, sejarah, spiritual, fotografi, wisata-rohani</t>
  </si>
  <si>
    <t>-7.241930148585813, 112.73679481719381</t>
  </si>
  <si>
    <t>-7,241930148585813</t>
  </si>
  <si>
    <t>112,73679481719381</t>
  </si>
  <si>
    <t>Threelogy Coffee adalah kafe cozy dan estetik yang berlokasi di dekat kawasan Darmo Surabaya. Kafe ini menawarkan suasana nyaman dengan interior didominasi warna putih yang terkesan bersih dan modern. Tersedia area indoor maupun outdoor yang adem tanpa AC. Cocok untuk ngopi, nugas, maupun meeting santai. Menu andalan meliputi manual brew kopi Arabica, matcha, pasta, dan berbagai pastry. Rating tinggi di Google karena suasana dan kualitas kopi yang konsisten.</t>
  </si>
  <si>
    <t>Kopi, Coffee Shop, Skandinavia, Minimalis, Aesthetic, WFC, Cozy, Instagramable, Nugas, Nongkrong, Wifi, Stop Kontak, Western Food, Pasta, Matcha, Breakfast, Outdoor, Indoor, Couple Friendly, Surabaya Pusat, Tegalsari, Dekat Widya Mandala, Affordable, Smoking Area, Non Smoking Area</t>
  </si>
  <si>
    <t>-7,2819229</t>
  </si>
  <si>
    <t>112,7415054</t>
  </si>
  <si>
    <t>Artap Cafe &amp; Art Gallery</t>
  </si>
  <si>
    <t>Artap Cafe &amp; Art Gallery adalah kafe unik yang memadukan konsep bites, vibes, dan arts dalam satu tempat. Berlokasi di Jl. Dr. Ir. H. Soekarno No.34 lantai 3, Mulyorejo. Interior tropis modern yang instagramable dengan area indoor dan outdoor. Terdapat mini art gallery dan live music akhir pekan. Menu beragam mulai dari main course Asia hingga bir dengan harga mulai Rp28.000.</t>
  </si>
  <si>
    <t>Cafe, Art Gallery, Tropis, Instagramable, Live Music, Outdoor, Indoor, Seni, Nongkrong, Surabaya Timur, Affordable, WFC, Art Cafe, Mural, Spot Foto, Aesthetic, Tanaman Artifisial, Western Food, Mocktail, Rooftop, Multi Lantai, Mulyorejo, Couple Friendly, Sunset View, Creative Space</t>
  </si>
  <si>
    <t>-7.2590613, 112.7821549</t>
  </si>
  <si>
    <t>-7,2590613</t>
  </si>
  <si>
    <t>112,7821549</t>
  </si>
  <si>
    <t>TBRK Rumah Kopi</t>
  </si>
  <si>
    <t>Tepi Barat Rumah Kopi atau TBRK adalah kafe unik bergaya Bali-Seminyak di tengah Surabaya. Interior didominasi warna putih dengan perabot rotan dan tanaman hias di setiap sudut ruangan. Kafe ini berdiri sejak 2016 dan menjadi favorit kaum milenial karena konsepnya yang segar dan estetik. Menu kopi unggulannya meliputi espresso, kopi susu, affogato, dan americano. Tersedia juga minuman non-kopi seperti taro latte dan mojito serta berbagai main course.</t>
  </si>
  <si>
    <t>Kopi, Rumah Kopi, Bali Vibes, Rotan, Aesthetic, Cozy, Instagramable, Tanaman, Outdoor, WFC, Nongkrong, Surabaya Barat, Affordable, Resort Vibes, Taro Latte, Affogato, Espresso, Kopi Susu, Minimalis, White Aesthetic, Darmo Permai, Healing, Santai, Couple Friendly, Main Course</t>
  </si>
  <si>
    <t>-7.2889386, 112.7526611</t>
  </si>
  <si>
    <t>-7,2889386</t>
  </si>
  <si>
    <t>112,7526611</t>
  </si>
  <si>
    <t>Historica Coffee &amp; Kitchen adalah kafe minimalis bergaya modern-retro yang berlokasi di Jalan Sumatera, Gubeng. Konsepnya memadukan kesan nostalgia old school dengan sentuhan modern yang elegan. Menu yang ditawarkan sangat beragam mulai dari kopi single origin, pastry homemade, eggs benedict, dan berbagai dessert. Tersedia juga ice cream yang menyegarkan. Suasananya nyaman dan cozy, cocok untuk work from cafe maupun ngumpul bareng teman.</t>
  </si>
  <si>
    <t>Kopi, Colonial, Vintage, Modern, Pastry, WFC, Cozy, Surabaya Pusat, Instagramable, Dekat Stasiun Gubeng, Outdoor, Affordable, Smoking Room, Wifi, Dessert, Eggs Benedict, Pasta, Non Coffee, Society Complex, Sumatera, Gubeng, Couple Friendly, Nongkrong, Healing, Buka Tiap Hari</t>
  </si>
  <si>
    <t>Rolag Kopi Kayoon</t>
  </si>
  <si>
    <t>Rolag Kopi Kayoon adalah kafe tepi sungai dengan pemandangan gedung-gedung tinggi Surabaya yang memukau. Berlokasi di Jalan Kayoon, kafe ini menawarkan area luas yang cocok untuk kumpul bersama teman-teman dengan harga yang sangat terjangkau. Suasana unik riverside dengan latar skyline kota menjadikan tempat ini salah satu hidden gem terbaik di Surabaya. Menu minuman mulai dari kopi klasik, teh, hingga minuman kekinian tersedia dengan harga ramah kantong.</t>
  </si>
  <si>
    <t>Kopi, Riverside, Kalimas, Live Music, Outdoor, Private Room, Affordable, Nongkrong, City View, Surabaya Pusat, Family Friendly, Instagramable, Sungai, Pemandangan Kota, AC, Malam, Hemat, Parkir, Kuliner Malam, Kayoon, Genteng, Couple Friendly, Santai, Komunitas, Hangout</t>
  </si>
  <si>
    <t>-7.2675033, 112.7494612</t>
  </si>
  <si>
    <t>-7,2675033</t>
  </si>
  <si>
    <t>112,7494612</t>
  </si>
  <si>
    <t>Ejji Coffee Corner</t>
  </si>
  <si>
    <t>Ejji Coffee Corner adalah kafe berkonsep Jepang yang unik di Surabaya, berlokasi di Simpang Darmo Permai Utara. Suasana hangat dan ceria khas Jepang langsung terasa begitu masuk. Dari segi pelayanan hingga konsep pengembangan produk pun mengikuti budaya Jepang. Minuman andalan adalah arabica house blend beans yang diseduh dengan teknik Japanese style. Harga yang sangat terjangkau membuatnya menjadi pilihan favorit mahasiswa dan anak muda Surabaya.</t>
  </si>
  <si>
    <t>Kopi, Japanese Style, Minimalis, Affordable, Cozy, Biscoff Latte, Nongkrong, Surabaya Barat, Takeaway, WFC, Instagramable, Kedai Kopi, MSG Coffee, Unik, Hemat, Ramah Mahasiswa, Sambikerep, Darmo Permai, Outdoor, Santai, Kopi Susu, Non Coffee, Cemilan, Aesthetic, Kekinian</t>
  </si>
  <si>
    <t>-7.2536945, 112.7892979</t>
  </si>
  <si>
    <t>-7,2536945</t>
  </si>
  <si>
    <t>112,7892979</t>
  </si>
  <si>
    <t>Grandfather Coffee Shop</t>
  </si>
  <si>
    <t>Grandfather Coffee Shop adalah kafe vintage yang menghadirkan suasana hangat dan nostalgia melalui furnitur dan dekorasi antik di setiap sudutnya. Berlokasi di Jalan Kalasan, Tambaksari, kafe ini sangat cocok untuk kamu yang suka suasana retro dan klasik. Buka sore hingga tengah malam, Grandfather Coffee menjadi tempat favorit untuk ngopi santai sambil menikmati suasana kota yang tenang. Tersedia berbagai pilihan kopi dan cemilan dengan harga terjangkau.</t>
  </si>
  <si>
    <t>Kopi, Vintage, Retro, Live Music, Nongkrong, Malam, Cozy, Klasik, Surabaya Timur, Affordable, Indoor, Kuliner Malam, Tambaksari, Kalasan, Antik, Dekorasi Tua, Nostalgia, Masakan Indonesia, Western Food, Outdoor, Couple Friendly, Komunitas, Santai, Late Night, Healing</t>
  </si>
  <si>
    <t>-7,2579476</t>
  </si>
  <si>
    <t>112,7573536</t>
  </si>
  <si>
    <t>Coloni Coffee</t>
  </si>
  <si>
    <t>Coloni Coffee adalah kafe industrial yang berlokasi bersandingan dengan toko kamera di kawasan Surabaya, menawarkan konsep unik yang memadukan dunia kopi dan fotografi. Interior didominasi warna abu-abu dengan furnitur kayu khas industrial. Lantai satu cocok untuk suasana ramai bersama kamera-kamera vintage yang dipajang, sementara lantai dua lebih tenang untuk WFC. Menu pastry dan kopi specialty menjadi andalan di sini.</t>
  </si>
  <si>
    <t>Kopi, Industrial, Fotografi, Kamera, Vintage, WFC, Specialty Coffee, Aesthetic, Nongkrong, Surabaya Pusat, Instagramable, Cozy, Kamera Antik, Multi Lantai, Kolaborasi, Unik, Genteng Kali, Pastry, Manual Brew, Single Origin, Couple Friendly, Komunitas Fotografi, Healing, Santai, Kekinian</t>
  </si>
  <si>
    <t>-7.2938637, 112.7601045</t>
  </si>
  <si>
    <t>-7,2938637</t>
  </si>
  <si>
    <t>112,7601045</t>
  </si>
  <si>
    <t>Kopi Nako Daur Baur</t>
  </si>
  <si>
    <t>Kopi Nako Daur Baur Surabaya adalah kedai kopi ke-59 dari jaringan Kopi Nako yang buka 24 jam non-stop. Dibuka pada April 2025, kafe ini langsung hits karena menggunakan perabot dari bahan daur ulang yang estetik dan ramah lingkungan. Konsep upcycled furniture menciptakan suasana industrial-eco yang instagramable. Berbagai pilihan kopi dan menu lainnya tersedia dengan harga terjangkau. Cocok untuk nongkrong kapan saja, termasuk begadang malam.</t>
  </si>
  <si>
    <t>Kopi, Daur Ulang, Eco Friendly, 24 Jam, Industrial, Aesthetic, Instagramable, Nongkrong, Surabaya Pusat, WFC, Affordable, Buka 24 Jam, Upcycle, Ramah Lingkungan, Gubeng, Kopi Nako, Multi Lantai, Outdoor, Indoor, Kopi Susu, Non Coffee, Cemilan, Late Night, Healing, Kekinian</t>
  </si>
  <si>
    <t>07:00/ 11:00:00</t>
  </si>
  <si>
    <t>03.00</t>
  </si>
  <si>
    <t>-7,2755699</t>
  </si>
  <si>
    <t>112,7460441</t>
  </si>
  <si>
    <t>Le Ble Boulangerie</t>
  </si>
  <si>
    <t>Le Ble Boulangerie adalah kafe bergaya Parisian dengan kolam air mancur sebagai centerpiece yang membuatnya tampak mewah dan romantis. Berlokasi di kawasan golf dengan pemandangan lapangan golf yang hijau sebagai latar belakang. Sangat ideal untuk brunch atau kencan makan malam. Tersedia berbagai roti artisan homemade, pastry Perancis, dan minuman kopi premium. Suasana European yang kental menjadikannya salah satu kafe paling unik di Surabaya.</t>
  </si>
  <si>
    <t>Kopi, Parisian, Boulangerie, Roti Artisan, Pastry, Romantic, Aesthetic, Golf View, Mewah, Surabaya Barat, Brunch, Instagramable, European, Air Mancur, Citraland, Graha Family, Couple Friendly, Fine Dining, Kopi Premium, Croissant, Outdoor, Santai, Eksklusif, Healing, Instagramable</t>
  </si>
  <si>
    <t>-7.2849545, 112.6825412</t>
  </si>
  <si>
    <t>-7,2849545</t>
  </si>
  <si>
    <t>112,6825412</t>
  </si>
  <si>
    <t>Rawon Setan</t>
  </si>
  <si>
    <t>Rawon Setan adalah warung rawon legendaris yang buka 24 jam di pusat kota Surabaya, berlokasi di Jalan Embong Malang. Disebut 'Setan' karena dulu buka sampai larut malam di jam yang dianggap jam setan. Kuah rawonnya lebih pekat dan pedas dari rawon biasa, dengan potongan daging sapi yang besar dan empuk. Menu lain yang tersedia antara lain nasi campur, nasi pecel, dan nasi bali daging. Tempat ini sudah menjadi ikon kuliner malam Surabaya selama puluhan tahun.</t>
  </si>
  <si>
    <t>Rawon, Kuliner Malam, Legendaris, 24 Jam, Surabaya Pusat, Daging Sapi, Kuah Hitam, Nasi Campur, Street Food, Warung, Khas Surabaya, Embong Malang, Dekat Tunjungan Plaza, JW Marriott, Telur Asin, Sate Usus, Paru, Empal, Kluwek, Jawa Timur, Affordable, Halal, Gojek, Grab, Otentik</t>
  </si>
  <si>
    <t>23:00/03.00</t>
  </si>
  <si>
    <t>-7,2590943</t>
  </si>
  <si>
    <t>112,7352172</t>
  </si>
  <si>
    <t>Rawon Kalkulator adalah warung rawon legendaris Surabaya yang sudah berdiri sejak 1975 dan kini dipegang generasi keempat. Mendapat julukan 'Kalkulator' karena para pelayannya mampu menghitung total pesanan puluhan orang dengan sangat cepat tanpa alat bantu. Dalam seporsi rawon tersaji 5-6 irisan daging sapi yang besar dan empuk dengan kuah pekat gurih. Berlokasi di area Taman Bungkul, warung ini selalu ramai terutama malam hari. Lauk tambahan seperti perkedel, babat, paru tersedia.</t>
  </si>
  <si>
    <t>Rawon, Legendaris, Kuliner Surabaya, Daging Sapi, 1975, Taman Bungkul, Murah, Street Food, Khas Jawa Timur, Warung, Malam, Affordable, Rawon Sumsum, Rawon Torpedo, Soto Dok, PKL, Kuah Pekat, Empuk, Nasi, Otentik, Generasi, Halal, Kalkulator, Unik, Surabaya Selatan</t>
  </si>
  <si>
    <t>-7,2918496</t>
  </si>
  <si>
    <t>112,7401047</t>
  </si>
  <si>
    <t>Rawon Nguling Surabaya</t>
  </si>
  <si>
    <t>Rawon Nguling adalah warung rawon legendaris yang sudah ada sejak tahun 1940-an, berasal dari Probolinggo dan kini hadir di Surabaya. Kuahnya terkenal gurih dan segar dengan taoge mentah krenyes yang khas. Tersedia pilihan rawon iga, rawon dengkul, dan rawon buntut yang menggugah selera. Pelengkap seperti telur asin dan gorengan membuat pengalaman makan semakin nikmat. Berlokasi di Jalan Kendang Sari Industri, tempat ini menjadi tujuan wajib pecinta rawon otentik.</t>
  </si>
  <si>
    <t>Rawon, Nguling, Khas Probolinggo, Otentik, Iga, Dengkul, Buntut, Kuliner Surabaya, Daging Sapi, Khas Jawa Timur, Affordable, Warung, Taoge, Telur Asin, Gorengan, Subuh, Sarapan, Kendang Sari, Surabaya Timur, Halal, Kuah Segar, Gurih, Legendaris, Nasi, Kluwek</t>
  </si>
  <si>
    <t>-7,329177</t>
  </si>
  <si>
    <t>112,7462533</t>
  </si>
  <si>
    <t>Rawon Ibu Supinah</t>
  </si>
  <si>
    <t>Rawon Ibu Supinah adalah warung rawon legendaris yang sudah eksis sejak tahun 1966 di Jalan Pasar Kembang. Keunikannya terletak pada cara penyajian yang berbeda dari rawon biasa, yaitu dimakan bersama nasi dan empal serundeng yang memberi cita rasa khas. Kuah rawonnya gurih dan berempah dengan aroma rempah yang kuat. Menu pendamping seperti nasi pecel, nasi campur, dan nasi bali juga tersedia. Warung ini hanya buka pagi hingga siang hari saja.</t>
  </si>
  <si>
    <t>Rawon, Legendaris, 1966, Empal, Serundeng, Kuliner Pagi, Khas Surabaya, Warung, Sarapan, Murah, Affordable, Jawa Timur, Pasar Kembang, Sawahan, Nasi Pecel, Nasi Bali, Nasi Campur, Kuah Berempah, Otentik, Halal, Buka Pagi, Subuh, Generasi, Kluwek, Daging Sapi</t>
  </si>
  <si>
    <t>-7,2721005</t>
  </si>
  <si>
    <t>112,7279788</t>
  </si>
  <si>
    <t>Warung Apung Rahmawati</t>
  </si>
  <si>
    <t>Warung Apung Rahmawati adalah restoran legendaris Surabaya dengan konsep unik berupa gazebo-gazebo yang berada di tepi kolam ikan. Suasana makan di atas air dengan angin sepoi-sepoi menjadi daya tarik utama yang membedakannya dari restoran biasa. Tersedia menu seafood lengkap mulai dari udang, ikan, bebek, ayam, cumi, kerang, hingga iga dengan berbagai olahan. Sudah memiliki 9 cabang di berbagai kota Jawa Timur sebagai bukti kepopulerannya. Cocok untuk makan keluarga.</t>
  </si>
  <si>
    <t>Seafood, Warung Apung, Kolam Ikan, Outdoor, Family Friendly, Ikan Bakar, Cumi, Udang, Surabaya Utara, Legendaris, Romantic, Kenjeran, Lesehan, Gazebo, Ayam Bakar, Gurami, Kepiting, Halal, Parkir, Reservasi, Delivery, AC Indoor, VIP Room, Nasi Kotak, Multi Cabang</t>
  </si>
  <si>
    <t>-7.2481268, 112.7926193</t>
  </si>
  <si>
    <t>-7,2481268</t>
  </si>
  <si>
    <t>112,7926193</t>
  </si>
  <si>
    <t>Bebek Goreng H. Slamet Kusuma Bangsa</t>
  </si>
  <si>
    <t>Bebek Goreng H. Slamet adalah salah satu ikon kuliner keluarga Surabaya yang sudah bertahun-tahun melayani pelanggan setia. Menu utama bebek goreng dengan sambal khas yang manis-gurih membuat tempat ini selalu ramai setiap harinya. Tekstur bebek gorengnya renyah di luar namun tetap lembut di dalam. Tersedia berbagai pilihan menu seperti bebek goreng, bebek bakar, ayam goreng, dan lalapan segar. Tempat yang nyaman dengan porsi besar cocok untuk makan bersama keluarga.</t>
  </si>
  <si>
    <t>Bebek Goreng, Kuliner Surabaya, Keluarga, Legendaris, Sambal, Ayam Goreng, Warung, Surabaya Pusat, Affordable, Nasi, Khas Jawa Timur, Kusuma Bangsa, Lalapan, Bebek Bakar, Renyah, Empuk, Porsi Besar, Halal, Parkir, Dine In, Takeaway, Otentik, Makan Siang, Makan Malam, Ramai</t>
  </si>
  <si>
    <t>-7.2713227, 112.7733553</t>
  </si>
  <si>
    <t>-7,2713227</t>
  </si>
  <si>
    <t>112,7733553</t>
  </si>
  <si>
    <t>Sego Sambel Mak Yeye adalah warung kuliner malam legendaris Surabaya sejak 1982, berlokasi di Jl. Pucang Anom No.17, Pucang Sewu. Terkenal dengan menu ikan pari goreng yang disajikan dengan sambal super pedas khas Mak Yeye. Buka pukul 18.00 hingga 03.30 dini hari. Menu lain: nasi pecel rawon, nasi campur, lauk pilihan dengan porsi melimpah harga terjangkau.</t>
  </si>
  <si>
    <t>Kuliner Malam, Sego Sambel, Ikan Pari, Sambal Pedas, Legendaris, 1982, Surabaya Pusat, Warung, Malam, Affordable, Street Food, Pucang, Nasi Pecel, Rawon, Late Night, Halal, Dine In, Takeaway, Otentik, Bungkus, Pedas, Lauk Pauk, Subuh, Nasi Campur, Khas Surabaya</t>
  </si>
  <si>
    <t>-7,3013703</t>
  </si>
  <si>
    <t>112,7380496</t>
  </si>
  <si>
    <t>Nasi Pecel Pucang Moro Seneng</t>
  </si>
  <si>
    <t>Nasi Pecel Pucang Moro Seneng adalah warung pecel legendaris Surabaya yang sudah buka sejak tahun 1996. Buka mulai malam hari, tempat ini menjadi destinasi favorit kuliner malam Surabaya. Resep bumbu kacangnya turun-temurun dan tidak pernah diganti sehingga rasanya tetap otentik. Pecel disajikan dengan bumbu kacang pedas-manis, kemangi, timun, tahu, tempe, dan berbagai lauk pilihan seperti telur, ayam goreng, ati ampela, paru, atau daging suwir.</t>
  </si>
  <si>
    <t>Nasi Pecel, Rawon, Kuliner Malam, Legendaris, Pucang, Surabaya Pusat, Murah, Warung, Late Night, Street Food, Khas Jawa Timur, Pecel Rawon, Bumbu Kacang, Lauk Pilihan, Subuh, Bawa Wadah, Otentik, Halal, Telur, Ayam Goreng, Ati Ampela, Paru, Tempe, Tahu, Lesehan</t>
  </si>
  <si>
    <t>-7,2842801</t>
  </si>
  <si>
    <t>112,7543599</t>
  </si>
  <si>
    <t>Rawon Pak Pangat</t>
  </si>
  <si>
    <t>Rawon Pak Pangat adalah warung rawon unik di Surabaya yang menawarkan variasi rawon yang tidak ditemukan di tempat lain. Menu spesialnya antara lain rawon empal suwir, rawon krengsengan, dan rawon campur dengan cita rasa yang menggugah selera. Kuah rawonnya cukup kental namun tetap gurih dan sedap. Selain rawon, tersedia juga nasi pecel, nasi rames, nasi cumi, nasi kari, dan nasi lodeh. Berlokasi di Jalan Ketintang Baru Selatan, buka dari subuh hingga malam.</t>
  </si>
  <si>
    <t>Rawon, Empal Suwir, Krengsengan, Kuliner Surabaya, Warung, Surabaya Selatan, Affordable, Khas Jawa Timur, Nasi Campur, Legendaris, Ketintang, Nasi Rames, Nasi Cumi, Nasi Kari, Nasi Lodeh, Kuah Kental, Gurih, Halal, Sarapan, Subuh, Buka Pagi, Dine In, Takeaway, Otentik, Parkir</t>
  </si>
  <si>
    <t>-7,3246861</t>
  </si>
  <si>
    <t>112,7254193</t>
  </si>
  <si>
    <t>Warung Lesehan Rumadi adalah tempat makan lesehan khas Surabaya Barat yang menawarkan pengalaman makan outdoor yang segar dan nyaman. Berlokasi di Jalan Raya Lidah Wetan, pengunjung bisa menikmati hidangan sambil duduk lesehan di saung-saung yang sejuk. Menu utama berupa seafood segar seperti gurami asam manis, bandeng bakar, patin goreng, lele penyet, kepiting asam manis, dan ayam goreng. Suasana asri dan harga yang terjangkau menjadikannya favorit keluarga Surabaya.</t>
  </si>
  <si>
    <t>Lesehan, Seafood, Gurami, Bandeng, Lele, Kepiting, Family Friendly, Outdoor, Saung, Surabaya Barat, Affordable, Makan Keluarga, Lidah Wetan, Lakarsantri, Asri, Nyaman, Ayam Goreng, Patin, Sejuk, Hijau, Halal, Parkir, Makan Siang, Makan Malam, Bungkus</t>
  </si>
  <si>
    <t>-7,3053905</t>
  </si>
  <si>
    <t>112,6613282</t>
  </si>
  <si>
    <t>Kampung Lawas Maspati</t>
  </si>
  <si>
    <t>Kampung Lawas Maspati adalah destinasi wisata kampung tematik bersejarah di Surabaya Barat yang sangat cocok bagi pecinta budaya dan fotografi urban. Kampung ini merupakan salah satu pemukiman tertua di Surabaya yang masih mempertahankan arsitektur dan suasana tempo dulu. Pengunjung bisa berinteraksi langsung dengan warga, mencoba jajanan khas, dan melihat galeri mini yang menjelaskan sejarah kampung. Tersedia berbagai spot foto instagramable dengan nuansa heritage yang kental. Cocok untuk wisata edukasi sejarah kebudayaan Surabaya.</t>
  </si>
  <si>
    <t xml:space="preserve">Wisata </t>
  </si>
  <si>
    <t>Wisata Heritage, Kolonial, Sejarah, Budaya, Kampung Wisata, Surabaya Pusat, Edukasi, Bubutan, Dekat Tugu Pahlawan, Gratis, Family Friendly, Mural, Urban, Workshop, Daur Ulang, Teh Herbal, Keripik, Rumah Baca, Arsitektur Indis, Belanda, Keraton Mataram, Komunitas, Foto, Instagramable, Kampung Tematik</t>
  </si>
  <si>
    <t>-7,2475283</t>
  </si>
  <si>
    <t>112,7341726</t>
  </si>
  <si>
    <t>Museum WR Soepratman</t>
  </si>
  <si>
    <t>Museum W.R. Soepratman adalah museum sejarah yang menyimpan koleksi barang-barang berkaitan dengan W.R. Soepratman, pencipta lagu kebangsaan Indonesia Raya. Berlokasi di bekas rumah kakak pertama W.R. Soepratman di Jalan Mangga, Tambaksari, museum ini menjadi dokumentasi perjalanan hidup sang maestro dalam dunia musik dan pergerakan kemerdekaan. Terdapat replika biola milik W.R. Soepratman dan berbagai arsip sejarah yang berharga. Tiket masuk gratis.</t>
  </si>
  <si>
    <t>Museum, Sejarah, WR Soepratman, Indonesia Raya, Biola, Edukasi, Heritage, Tambaksari, Gratis, Family Friendly, Pahlawan Nasional, Surabaya Utara, Budaya, Arsip Sejarah, Replika, Rumah Bersejarah, Wisata Edukatif, Sekolah, Fotografi, Senin Sabtu, Kota Surabaya, Kolonial, Nasionalisme, Musik, Kemerdekaan</t>
  </si>
  <si>
    <t>-7,2506354</t>
  </si>
  <si>
    <t>112,7537695</t>
  </si>
  <si>
    <t>Romokalisari Adventure Land</t>
  </si>
  <si>
    <t>Romokalisari Adventure Land adalah destinasi wisata keluarga di Surabaya Barat yang menggabungkan petualangan air dan edukasi alam pesisir. Pengunjung dapat menikmati aktivitas seperti naik kano, sepeda air, menelusuri hutan mangrove, dan naik perahu menjelajahi kawasan pesisir. Tersedia taman bermain anak dan berbagai spot foto estetik untuk konten media sosial. Pengunjung juga bisa mengenal lebih dekat ekosistem pesisir dan kehidupan warga lokal. Sangat cocok untuk wisata keluarga edukatif.</t>
  </si>
  <si>
    <t>Wisata Alam, Adventure, Kano, Perahu, Mangrove, Pesisir, Edukasi, Family Friendly, Outdoor, Surabaya Barat, Kids Friendly, Fotografi, Alam, Romokalisari, Benowo, Sepeda Air, Nelayan, Ekosistem, Healing, Taman Bermain, Spot Foto, Instagramable, Alam Terbuka, Air, Murah</t>
  </si>
  <si>
    <t>-7,1985305</t>
  </si>
  <si>
    <t>112,6648135</t>
  </si>
  <si>
    <t>Hutan Kota Pakal</t>
  </si>
  <si>
    <t>Hutan Kota Pakal adalah ruang terbuka hijau seluas 13 hektare di Surabaya Barat yang menawarkan suasana sejuk dan asri di tengah kota. Mulai dibangun tahun 2008, kawasan ini kini semakin rapi dengan akses yang mudah. Fasilitas yang tersedia antara lain tujuh gazebo untuk bersantai, lahan bermain anak, taman bunga, dan kolam ikan. Terdapat pula pembangkit energi bertenaga biogas dari kotoran hewan yang menjadi daya tarik edukasi unik. Cocok untuk liburan keluarga yang ingin merasakan alam hijau.</t>
  </si>
  <si>
    <t>Hutan Kota, Taman, Ruang Terbuka Hijau, Gratis, Family Friendly, Alam, Surabaya Barat, Gazebo, Edukasi, Biogas, Kids Friendly, Piknik, Outdoor, Pakal, Jogging, Walking Track, Taman Bunga, Kolam Ikan, Area Bermain, Sejuk, Healing, Santai, Komunitas, Lingkungan, Hijau</t>
  </si>
  <si>
    <t>-7,2352346</t>
  </si>
  <si>
    <t>112,6207765</t>
  </si>
  <si>
    <t>Visma Arts Surabaya</t>
  </si>
  <si>
    <t>Visma Arts adalah galeri seni rupa dan desain ikonik di Surabaya yang banyak memamerkan kreasi para desainer Indonesia. Berlokasi di Jalan Pahlawan, Alun-alun Contong, Bubutan, galeri ini secara rutin menyelenggarakan pameran karya seni dan desain dari seniman lokal maupun nasional. Selain pameran, tersedia pula workshop seni berbayar, coworking space, dan coffee shop di dalam area galeri. Menjadi ruang kreatif yang mempertemukan seniman, desainer, dan masyarakat umum. Tiket masuk gratis sehingga semua kalangan bisa menikmati seni.</t>
  </si>
  <si>
    <t>Galeri Seni, Art Gallery, Pameran, Workshop, Seni Rupa, Desain, Gratis, Surabaya Pusat, Kreatif, Coworking, Kopi, Bubutan, Instagramable, Pahlawan, Seniman Lokal, Nasional, Ruang Ekspresi, Komunitas Seni, Foto, Aesthetic, Tematik, Modern, Urban Art, Inspiratif, Multi Fungsi</t>
  </si>
  <si>
    <t>-7,265988</t>
  </si>
  <si>
    <t>112,738307</t>
  </si>
  <si>
    <t>Graha natura park</t>
  </si>
  <si>
    <t>7.275546, 112.6486753</t>
  </si>
  <si>
    <t>7,275546</t>
  </si>
  <si>
    <t>112,6486753</t>
  </si>
  <si>
    <t>wisata perahu kalimas</t>
  </si>
  <si>
    <t>Wisata Perahu Kalimas merupakan salah satu wisata ikonik di Surabaya yang menawarkan pengalaman menyusuri Sungai Kalimas dengan perahu sambil menikmati pemandangan kota dari sudut yang berbeda. Pengunjung dapat melihat panorama senja, gemerlap lampu kota di malam hari, serta berbagai landmark dan ruang publik di sepanjang sungai. Wisata ini cocok untuk rekreasi santai bersama keluarga, teman, maupun pasangan dengan suasana yang unik dan berkesan.</t>
  </si>
  <si>
    <t>Wisata Air, Perahu, Susur Sungai, Outdoor, City View, Night View, Sunset Spot, Instagramable, Aesthetic, Family Friendly, Couple Friendly, Wisata Keluarga, Murah, Santai, Healing, City Tour, Landmark Surabaya, Historical Tour, Edukasi, Photogenic, Lampu Kota, Hidden Gem Surabaya, Rekreasi Malam, Wisata Surabaya, River Cruise.</t>
  </si>
  <si>
    <t>Taman apsari</t>
  </si>
  <si>
    <t>Taman Apsari merupakan salah satu taman kota bersejarah di pusat Surabaya yang menawarkan suasana hijau, rindang, dan nyaman untuk bersantai. Berlokasi di dekat berbagai bangunan bersejarah, taman ini menjadi tempat favorit masyarakat untuk beristirahat, berolahraga ringan, maupun menikmati suasana kota.</t>
  </si>
  <si>
    <t>Taman Kota, Outdoor, Ruang Terbuka Hijau, Sejarah, Heritage, City Park, Rindang, Santai, Healing, Family Friendly, Kids Friendly, Edukasi, Fotografi, Instagramable, Aesthetic, Gratis, Landmark Surabaya, Wisata Kota, Rekreasi, Piknik Ringan, Urban Tourism, Pusat Kota, Ramah Pejalan Kaki.</t>
  </si>
  <si>
    <t>-7.2900963, 112.6873035</t>
  </si>
  <si>
    <t>-7,2900963</t>
  </si>
  <si>
    <t>112,6873035</t>
  </si>
  <si>
    <t>-7.3311928, 112.6919424</t>
  </si>
  <si>
    <t>-7,3311928</t>
  </si>
  <si>
    <t>112,6919424</t>
  </si>
  <si>
    <t>-7.2764124, 112.80489</t>
  </si>
  <si>
    <t>-7,2764124</t>
  </si>
  <si>
    <t>112,80489</t>
  </si>
  <si>
    <t>-7.2909598, 112.6596348</t>
  </si>
  <si>
    <t>-7,2909598</t>
  </si>
  <si>
    <t>112,6596348</t>
  </si>
  <si>
    <t>-7.2331388, 112.7717482</t>
  </si>
  <si>
    <t>-7,2331388</t>
  </si>
  <si>
    <t>112,7717482</t>
  </si>
  <si>
    <t>-7.2298458, 112.739928</t>
  </si>
  <si>
    <t>-7,2298458</t>
  </si>
  <si>
    <t>112,739928</t>
  </si>
  <si>
    <t>-7.3148746, 112.6873788</t>
  </si>
  <si>
    <t>-7,3148746</t>
  </si>
  <si>
    <t>112,6873788</t>
  </si>
  <si>
    <t>-7.3296647, 112.6886757</t>
  </si>
  <si>
    <t>-7,3296647</t>
  </si>
  <si>
    <t>112,6886757</t>
  </si>
  <si>
    <t>-7.3321893, 112.688224</t>
  </si>
  <si>
    <t>-7,3321893</t>
  </si>
  <si>
    <t>112,688224</t>
  </si>
  <si>
    <t>-7.3353028, 112.6671576</t>
  </si>
  <si>
    <t>-7,3353028</t>
  </si>
  <si>
    <t>112,6671576</t>
  </si>
  <si>
    <t>-7.3324542, 112.649651</t>
  </si>
  <si>
    <t>-7,3324542</t>
  </si>
  <si>
    <t>112,649651</t>
  </si>
  <si>
    <t>-7.3153552, 112.6609298</t>
  </si>
  <si>
    <t>-7,3153552</t>
  </si>
  <si>
    <t>112,6609298</t>
  </si>
  <si>
    <t>-7.2920769, 112.6518405</t>
  </si>
  <si>
    <t>-7,2920769</t>
  </si>
  <si>
    <t>112,6518405</t>
  </si>
  <si>
    <t>-7.2604289, 112.6351609</t>
  </si>
  <si>
    <t>-7,2604289</t>
  </si>
  <si>
    <t>112,6351609</t>
  </si>
  <si>
    <t>-7.2714743, 112.7455919</t>
  </si>
  <si>
    <t>-7,2714743</t>
  </si>
  <si>
    <t>112,7455919</t>
  </si>
  <si>
    <t>-7.275205, 112.7474593</t>
  </si>
  <si>
    <t>-7,275205</t>
  </si>
  <si>
    <t>112,7474593</t>
  </si>
  <si>
    <t>-7.2752063, 112.7488546</t>
  </si>
  <si>
    <t>-7,2752063</t>
  </si>
  <si>
    <t>112,7488546</t>
  </si>
  <si>
    <t>Museum yang menampilkan sejarah perkembangan pendidikan di Indonesia, khususnya di Surabaya. Menyediakan koleksi benda pendidikan dan informasi edukatif.</t>
  </si>
  <si>
    <t>Edukasi, Sejarah, Pendidikan, Museum, Wisata Edukatif, Family Friendly, Kids Friendly, Indoor</t>
  </si>
  <si>
    <t>Museum Dr. Soetomo</t>
  </si>
  <si>
    <t>Museum yang menyimpan berbagai koleksi dan informasi mengenai kehidupan serta perjuangan Dr. Soetomo sebagai tokoh nasional Indonesia.</t>
  </si>
  <si>
    <t>Sejarah, Nasional, Edukasi, Museum, Tokoh Indonesia, Wisata Edukatif, Heritage</t>
  </si>
  <si>
    <t>-7.249897709177494, 112.73534995017404</t>
  </si>
  <si>
    <t>-7,249897709177494</t>
  </si>
  <si>
    <t>112,73534995017404</t>
  </si>
  <si>
    <t>-7,2680621</t>
  </si>
  <si>
    <t>112,7477999</t>
  </si>
  <si>
    <t>Rumah makan legendaris yang menyajikan Soto Lamongan dengan kuah gurih khas dan berbagai pilihan lauk pendamping.</t>
  </si>
  <si>
    <t>Soto Lamongan, Kuliner Legendaris, Khas Jawa Timur, Family Friendly, Comfort Food, Kuliner Lokal, Sarapan, Makan Siang</t>
  </si>
  <si>
    <t>Soto Boyolali Hj. Hesti</t>
  </si>
  <si>
    <t>Soto Boyolali, Soto Seger, Kuliner Jawa Tengah, Family Friendly, Comfort Food, Sarapan, Kuliner Nusantara</t>
  </si>
  <si>
    <t>-7.226836745956587, 112.74561968650741</t>
  </si>
  <si>
    <t>-7,226836745956587</t>
  </si>
  <si>
    <t>112,74561968650741</t>
  </si>
  <si>
    <t>-7.290812084487335, 112.73510334417902</t>
  </si>
  <si>
    <t>-7,290812084487335</t>
  </si>
  <si>
    <t>112,73510334417902</t>
  </si>
  <si>
    <t>Historical Landmark, Cagar Budaya, Wisata Sejarah, Edukasi, Outdoor, Wisata Gratis, Taman Kota, Spot Foto, Family Friendly, Surabaya Pusat</t>
  </si>
  <si>
    <t>Taman kota yang asri dengan pepohonan rindang dan mini lapangan sepak bola buatan. Cocok untuk bersantai, olahraga ringan, dan rekreasi keluarga di tengah kota Surabaya.</t>
  </si>
  <si>
    <t>Taman Kota, City Park, Outdoor, Ruang Terbuka Hijau, Olahraga, Family Friendly, Kids Friendly, Rekreasi, Wisata Gratis, Surabaya Barat</t>
  </si>
  <si>
    <t>50000 - 80000</t>
  </si>
  <si>
    <t>-7.311235809548594, 112.78223312209022</t>
  </si>
  <si>
    <t>-7,311235809548594</t>
  </si>
  <si>
    <t>112,78223312209022</t>
  </si>
  <si>
    <t>Museum yang menyimpan koleksi bersejarah organisasi Islam terbesar di Indonesia, Nahdlatul Ulama. Menampilkan foto tokoh-tokoh penting NU, dokumen bersejarah termasuk Resolusi Jihad, kitab kuno, dan benda pusaka dari para ulama. Bangunan tiga lantai di Jl. Gayungsari Timur.</t>
  </si>
  <si>
    <t>Museum, Sejarah Islam, Nahdlatul Ulama, Edukasi, Religi, Cagar Budaya, Wisata Sejarah, Dokumen Sejarah, Surabaya Selatan</t>
  </si>
  <si>
    <t>Taman kota yang dirancang menyerupai bentuk daun teratai, dengan luas sekitar 400 m². Dilengkapi lapangan futsal, jogging track yang sebagian berfungsi sebagai jalur pijat refleksi, kolam air mancur, dan wahana bermain anak. Cocok untuk olahraga dan rekreasi keluarga.</t>
  </si>
  <si>
    <t>Taman Kota, Park, Outdoor, Lapangan Futsal, Jogging Track, Refleksi Kaki, Kolam Air Mancur, Family Friendly, Kids Friendly, Wisata Gratis, Surabaya Utara</t>
  </si>
  <si>
    <t>Cabang coffee shop premium asal Bandung yang hadir di Surabaya dengan konsep open bar sehingga pengunjung bisa menyaksikan proses pembuatan kopi secara langsung. Menempati bangunan bersejarah tahun 1930-an yang dipadukan dengan desain modern. Sajian unggulan meliputi specialty coffee dan berbagai pastry.</t>
  </si>
  <si>
    <t>Coffee Shop, Specialty Coffee, Aesthetic, Instagramable, Vintage Heritage, Open Bar, Pastry, Croissant, Spot Foto, Hangout, WFC, Surabaya Pusat</t>
  </si>
  <si>
    <t>Kafe tematik berganti tema secara musiman yang buka 24 jam nonstop, berlokasi di Surabaya Barat. Menawarkan berbagai pilihan menu makanan berat, dessert, dan minuman kopi premium. Tersedia promo Midnight Coffee Buy 1 Get 1 Free untuk pasta dan kopi pada jam 21.00-07.00 WIB.</t>
  </si>
  <si>
    <t>Cafe, Restaurant, Thematic, 24 Jam, Coffee, Pasta, Dessert, Tiramisu, Instagramable, Spot Foto, Hangout, WFC, Surabaya Barat</t>
  </si>
  <si>
    <t>Fifteenth Cafe</t>
  </si>
  <si>
    <t>Kafe bergaya industrial semi-vintage yang berlokasi di kawasan Kota Lama Surabaya, dengan rooftop yang menawarkan pemandangan senja yang memukau. Konsep bangunan cagar budaya yang dipadukan dengan sentuhan modern menciptakan suasana nostalgia. Menu kopi dan makanan beragam dengan harga terjangkau.</t>
  </si>
  <si>
    <t>Cafe, Coffee, Kota Lama, Heritage, Rooftop, Senja, Spot Foto, Instagramable, Aesthetic, Hangout, Sejarah, Surabaya Utara</t>
  </si>
  <si>
    <t>Cabang coffee shop ternama asal PIK Jakarta yang hadir di Citraland Surabaya Barat sejak Februari 2024. Mengusung konsep modern elegan dengan interior bernuansa putih yang luas dan eye-pleasing. Menyajikan specialty coffee, Modern Asian Fusion, dan minuman khas seperti Thai Tea Ice Cream.</t>
  </si>
  <si>
    <t>Coffee Shop, Specialty Coffee, Modern, Aesthetic, Instagramable, Cozy, Asian Fusion, Pastry, Hangout, Family Friendly, Surabaya Barat</t>
  </si>
  <si>
    <t>Coffee Shop, Specialty Coffee, View Golf, Aesthetic, Instagramable, Premium, Pastry, Quiet, Surabaya Barat</t>
  </si>
  <si>
    <t>-7.294302027149831, 112.76833891869202</t>
  </si>
  <si>
    <t>-7,294302027149831</t>
  </si>
  <si>
    <t>112,76833891869202</t>
  </si>
  <si>
    <t>-7.294051449725704, 112.74097822023761</t>
  </si>
  <si>
    <t>-7,294051449725704</t>
  </si>
  <si>
    <t>112,74097822023761</t>
  </si>
  <si>
    <t>Coffee shop kecil namun cozy milik warga Australia bernama Liam yang mengikuti budaya ngopi pagi ala Australia. Jam buka mengikuti jam kerja dari pagi hingga sore. Terkenal dengan specialty coffee seperti Cold Brew, Hot Cappuccino, single origin Tanzania, serta big breakfast dan pastry homemade. Harga di bawah Rp100.000.</t>
  </si>
  <si>
    <t>Coffee Shop, Specialty Coffee, Australian Style, Cozy, Minimalis, Homemade Pastry, Breakfast, Single Origin, Surabaya Pusat</t>
  </si>
  <si>
    <t>Senin - Rabu</t>
  </si>
  <si>
    <t>HOHO Coffee - GWalk</t>
  </si>
  <si>
    <t>Kafe modern di kawasan G-Walk yang menawarkan kopi spesialti, minuman non-kopi, serta berbagai camilan dan makanan ringan. Memiliki suasana nyaman untuk bekerja, belajar, maupun bersantai.</t>
  </si>
  <si>
    <t>Cafe, Coffee Shop, Specialty Coffee, Nongkrong, G-Walk, WFC, Dessert, Kopi Susu, Surabaya Barat</t>
  </si>
  <si>
    <t>-7.291104344259352, 112.65416120550873</t>
  </si>
  <si>
    <t>Restoran legendaris yang menyajikan kwetiau khas Medan dengan pilihan seafood, ayam, maupun sapi. Dikenal karena cita rasa autentik dan porsi yang besar.</t>
  </si>
  <si>
    <t>Kwetiau Medan, Chinese Food, Seafood, Kuliner Medan, Mie, Legendaris, Keluarga, Surabaya</t>
  </si>
  <si>
    <t>Kuliner legendaris khas Surabaya yang terkenal dengan nasi cumi hitam, telur, empal, dan sambal pedas. Menjadi salah satu ikon kuliner Pasar Atom</t>
  </si>
  <si>
    <t>Nasi Cumi, Kuliner Khas Surabaya, Pasar Atom, Cumi Hitam, Sambal Pedas, Legendaris, Halal</t>
  </si>
  <si>
    <t>25000-50001</t>
  </si>
  <si>
    <t>-7.280345253256878, 112.76890649325412</t>
  </si>
  <si>
    <t>Restoran bernuansa Timur Tengah dan Asia yang menyajikan berbagai hidangan Arab, India, dan Indonesia. Cocok untuk acara keluarga maupun pertemuan bisnis.</t>
  </si>
  <si>
    <t>Restoran Timur Tengah, Kuliner Arab, Nasi Briyani, Kebab, Keluarga, Halal, Gubeng, Surabaya</t>
  </si>
  <si>
    <t>-7.2724640937879705, 112.74804264307652</t>
  </si>
  <si>
    <t>-7.284704513095381, 112.73939817790979</t>
  </si>
  <si>
    <t>Spesial Soto Boyolali (SSB) Hj. Hesti Widodo, Surabaya</t>
  </si>
  <si>
    <t>Rumah makan yang terkenal dengan soto Boyolali kuah bening yang gurih dan segar. Menawarkan berbagai pilihan lauk pendamping seperti sate dan gorengan.</t>
  </si>
  <si>
    <t>Soto Boyolali, Soto Ayam, Kuliner Jawa Tengah, Sarapan, Halal, Kuliner Tradisional, Surabaya</t>
  </si>
  <si>
    <t>-7.259216613230063, 112.74975121021893</t>
  </si>
  <si>
    <t>Restoran keluarga dengan konsep saung di atas kolam yang menyajikan seafood, masakan Sunda, dan aneka menu khas Indonesia. Cocok untuk acara keluarga dan rombongan.</t>
  </si>
  <si>
    <t>Seafood, Masakan Sunda, Restoran Keluarga, Saung, Gurame, Udang, Makan Bersama, Surabaya</t>
  </si>
  <si>
    <t>-7.266926189546964, 112.75259224907369</t>
  </si>
  <si>
    <t>-7.263481759794532, 112.74283849325414</t>
  </si>
  <si>
    <t>Suroboyo Park</t>
  </si>
  <si>
    <t>Suroboyo Park adalah taman rekreasi modern di tepi Pantai Kenjeran yang menawarkan pemandangan laut lepas dan Jembatan Suroboyo yang ikonik. Taman ini dilengkapi berbagai wahana, area bermain anak, jogging track, serta spot foto instagramable dengan latar belakang laut dan skyline kota. Menjadi salah satu destinasi waterfront terpopuler di Surabaya, taman ini ramai dikunjungi terutama saat akhir pekan dan sore hari untuk menikmati matahari terbenam.</t>
  </si>
  <si>
    <t>Taman Kota, Waterfront, Tepi Laut, Pantai, Seaview, Sunset Spot, Outdoor, Jembatan Suroboyo, Aesthetic, Instagramable, Spot Foto, Fotografi, Family Friendly, Kids Friendly, Couple Friendly, Rekreasi, Jogging, Walking Track, Night View, Ikonik, Landmark Surabaya, Urban Tourism, Surabaya Timur.</t>
  </si>
  <si>
    <t>-7.223417996962583, 112.78839820164026</t>
  </si>
  <si>
    <t>-7.252757380316701, 112.74754813587776</t>
  </si>
  <si>
    <t>-7.24586352181419, 112.73774103781203</t>
  </si>
  <si>
    <t>-7.25139531689958, 112.75502035582326</t>
  </si>
  <si>
    <t>Taman Husada Graha Famili adalah taman kota yang terletak di kawasan perumahan Graha Famili, Surabaya Barat. Taman ini menawarkan ruang hijau yang tenang dan asri sebagai tempat bersantai dan berolahraga bagi warga sekitar. Fasilitas yang cukup lengkap seperti jogging track dan area bermain menjadikannya pilihan tepat untuk aktivitas outdoor bersama keluarga di tengah kawasan hunian premium kota.</t>
  </si>
  <si>
    <t>Taman Kota, Outdoor, Ruang Terbuka Hijau, Family Friendly, Kids Friendly, Jogging, Walking Track, Rekreasi, Healing, Santai, Area Bermain Anak, City Park, Community Space, Wisata Gratis, Perumahan, Sejuk, Aesthetic, Instagramable, Surabaya Barat, Urban Tourism, Surabaya.</t>
  </si>
  <si>
    <t>Wisata Batas Kampung Sejuk Alami Surabaya adalah destinasi wisata berbasis alam yang menonjolkan suasana perkampungan hijau dan asri di tengah kota metropolitan. Tempat ini menawarkan kesegaran alam terbuka dengan pepohonan rindang, udara yang sejuk, serta nuansa kampung yang autentik dan alami. Cocok untuk wisatawan yang ingin melarikan diri dari hiruk pikuk kota dan menikmati ketenangan alam sekitar Surabaya.</t>
  </si>
  <si>
    <t>Wisata Alam, Kampung Wisata, Outdoor, Nature, Sejuk, Alami, Ruang Terbuka Hijau, Healing, Santai, Rekreasi, Family Friendly, Kids Friendly, Eco Tourism, Green Space, Hidden Gem, Edukasi Lingkungan, Fotografi Alam, Community Based Tourism, Wisata Kampung, Surabaya Selatan.</t>
  </si>
  <si>
    <t>-7.247069386572969, 112.80174892883532</t>
  </si>
  <si>
    <t>-7.2685043806056, 112.73857394418044</t>
  </si>
  <si>
    <t>Demandailing Cafe JemurSari</t>
  </si>
  <si>
    <t>Demandailing Cafe JemurSari adalah salah satu cabang dari jaringan kafe populer Demandailing di Surabaya, berlokasi di kawasan Jemursari. Kafe ini terkenal dengan suasana yang nyaman, dekorasi industrial yang aesthetic, serta menu makanan dan minuman yang beragam dengan cita rasa memuaskan. Menjadi tempat favorit warga Surabaya Selatan untuk bersantai, mengobrol, dan menikmati waktu luang bersama keluarga atau sahabat.</t>
  </si>
  <si>
    <t>Kafe, Coffee Shop, Eatery, Nongkrong, Hangout, Industrial, Aesthetic, Instagramable, Cozy, Makanan Berat, Makanan Ringan, Kopi, Family Friendly, Friend Gathering, Indoor, Work From Cafe, WFC, Lifestyle, Couple Friendly, Surabaya Selatan.</t>
  </si>
  <si>
    <t>-7.322351197256054, 112.7423822085985</t>
  </si>
  <si>
    <t>Ultra Coffee adalah kafe kopi premium yang menyajikan minuman specialty coffee dengan standar tinggi, dilengkapi menu makanan yang beragam dan lezat. Dengan interior yang modern dan atmosphere yang nyaman, Ultra Coffee menjadi pilihan ideal untuk memulai hari dengan segelas kopi berkualitas atau sekadar bersantai di sore hari. Lokasi yang strategis dan jam buka yang panjang semakin menambah daya tarik kafe ini.</t>
  </si>
  <si>
    <t>Specialty Coffee, Kafe, Coffee Shop, Premium, Nongkrong, Hangout, Aesthetic, Instagramable, Cozy, Work From Cafe, WFC, Makanan, Minuman Kopi, Modern, Indoor, Lifestyle, Couple Friendly, Friend Gathering, Surabaya Pusat.</t>
  </si>
  <si>
    <t>-7.258036442685289, 112.72951016441804</t>
  </si>
  <si>
    <t>Brain Coffee Surabaya adalah kafe kopi dengan suasana yang cocok untuk bekerja dan belajar, menggabungkan kenyamanan kafe dengan produktivitas. Nama Brain mencerminkan semangat kafe ini untuk menjadi ruang kreatif bagi para pekerja, mahasiswa, dan profesional muda Surabaya. Menu kopi dan makanannya yang terjangkau namun berkualitas menjadi nilai lebih yang disukai pelanggan.</t>
  </si>
  <si>
    <t>Kafe, Coffee Shop, Work From Cafe, WFC, Study Cafe, Produktif, Nongkrong, Hangout, Aesthetic, Cozy, Instagramable, Kopi, Makanan Ringan, Affordable, Indoor, Mahasiswa, Profesional Muda, Friend Gathering, Lifestyle, Surabaya Pusat.</t>
  </si>
  <si>
    <t>-7.283172970064652, 112.74634160674586</t>
  </si>
  <si>
    <t>-7.28609962406274, 112.75613486767436</t>
  </si>
  <si>
    <t>Historica</t>
  </si>
  <si>
    <t>Restaurant</t>
  </si>
  <si>
    <t>{'lat': -7.2692971, 'lng': 112.7491243}</t>
  </si>
  <si>
    <t>https://www.google.com/maps/place/Historica/@-7.2692971,112.7491243,17z/data=!3m1!4b1!4m6!3m5!1s0x2dd7fbd9b663ee29:0x901e6ae85676211f!8m2!3d-7.2692971!4d112.7491243!16s%2Fg%2F11b6byrh0q?authuser=0&amp;hl=en&amp;entry=ttu&amp;g_ep=EgoyMDI2MDYwMy4xIKXMDSoASAFQAw%3D%3D</t>
  </si>
  <si>
    <t>{'lat': -7.2781271, 'lng': 112.7466016}</t>
  </si>
  <si>
    <t>https://www.google.com/maps/place/Fifteenth+Cafe+by+Mark+Design/@-7.2781271,112.7466016,17z/data=!3m1!4b1!4m6!3m5!1s0x2dd7fb058f8b2b57:0xa650e8fa56becfa7!8m2!3d-7.2781271!4d112.7466016!16s%2Fg%2F11s5qvpzyp?authuser=0&amp;hl=en&amp;entry=ttu&amp;g_ep=EgoyMDI2MDYwMy4xIKXMDSoASAFQAw%3D%3D</t>
  </si>
  <si>
    <t>Coffee shop</t>
  </si>
  <si>
    <t>{'lat': -7.2777983, 'lng': 112.7356596}</t>
  </si>
  <si>
    <t>https://www.google.com/maps/place/Blue+Doors+Surabaya/@-7.2777983,112.7356596,17z/data=!3m1!4b1!4m6!3m5!1s0x2dd7fbdef5aee58f:0x22bf0875498e0124!8m2!3d-7.2777983!4d112.7356596!16s%2Fg%2F11scl1g6lx?authuser=0&amp;hl=en&amp;entry=ttu&amp;g_ep=EgoyMDI2MDYwMy4xIKXMDSoASAFQAw%3D%3D</t>
  </si>
  <si>
    <t>International comfort food &amp; coffees served in a laid-back cafe within a trendy clothes shop.</t>
  </si>
  <si>
    <t>{'lat': -7.2850075, 'lng': 112.7362677}</t>
  </si>
  <si>
    <t>https://www.google.com/maps/place/Carpentier+Kitchen/@-7.2850075,112.7362677,17z/data=!3m1!4b1!4m6!3m5!1s0x2dd7fbea561d0f9d:0x351791d80fe14db3!8m2!3d-7.2850075!4d112.7362677!16s%2Fg%2F11bw5wkt42?authuser=0&amp;hl=en&amp;entry=ttu&amp;g_ep=EgoyMDI2MDYwMy4xIKXMDSoASAFQAw%3D%3D</t>
  </si>
  <si>
    <t>ï¸ڈ Kollabora | The Best Thematic Cafe &amp; Restaurant in Indonesia</t>
  </si>
  <si>
    <t>{'lat': -7.277767, 'lng': 112.7079299}</t>
  </si>
  <si>
    <t>https://www.google.com/maps/place/%EF%B8%8F+Kollabora+%7C+The+Best+Thematic+Cafe+%26+Restaurant+in+Indonesia/@-7.277767,112.7079299,17z/data=!3m1!4b1!4m6!3m5!1s0x2dd7fd25a3422c69:0xea8ba33292973f52!8m2!3d-7.277767!4d112.7079299!16s%2Fg%2F11fs2xnxbv?authuser=0&amp;hl=en&amp;entry=ttu&amp;g_ep=EgoyMDI2MDYwMy4xIKXMDSoASAFQAw%3D%3D</t>
  </si>
  <si>
    <t>{'lat': -7.266522, 'lng': 112.7510129}</t>
  </si>
  <si>
    <t>https://www.google.com/maps/place/wantutu./@-7.266522,112.7510129,17z/data=!3m1!4b1!4m6!3m5!1s0x2dd7fb5f07f8e511:0x98a29ed0ecf00015!8m2!3d-7.266522!4d112.7510129!16s%2Fg%2F11kspznqt8?authuser=0&amp;hl=en&amp;entry=ttu&amp;g_ep=EgoyMDI2MDYwMy4xIKXMDSoASAFQAw%3D%3D</t>
  </si>
  <si>
    <t>Brew and Else</t>
  </si>
  <si>
    <t>{'lat': -7.2975613, 'lng': 112.6586854}</t>
  </si>
  <si>
    <t>https://www.google.com/maps/place/Brew+and+Else/@-7.2975613,112.6586854,17z/data=!3m1!4b1!4m6!3m5!1s0x2dd7fdabd5e5f719:0x9cd496f4fdbff681!8m2!3d-7.2975613!4d112.6586854!16s%2Fg%2F11l5nwdwwb?authuser=0&amp;hl=en&amp;entry=ttu&amp;g_ep=EgoyMDI2MDYwMy4xIKXMDSoASAFQAw%3D%3D</t>
  </si>
  <si>
    <t>Kudos Cafe - Pakuwon Square</t>
  </si>
  <si>
    <t>{'lat': -7.2948389, 'lng': 112.6752565}</t>
  </si>
  <si>
    <t>https://www.google.com/maps/place/Kudos+Cafe+-+Pakuwon+Square/@-7.2948389,112.6752565,17z/data=!3m1!4b1!4m6!3m5!1s0x2dd7fc49d6eaaaab:0x37c978891819367f!8m2!3d-7.2948389!4d112.6752565!16s%2Fg%2F11bx4bhk3w?authuser=0&amp;hl=en&amp;entry=ttu&amp;g_ep=EgoyMDI2MDYwMy4xIKXMDSoASAFQAw%3D%3D</t>
  </si>
  <si>
    <t>Threelogy Coffee - Mojopahit</t>
  </si>
  <si>
    <t>{'lat': -7.2819229, 'lng': 112.7415054}</t>
  </si>
  <si>
    <t>https://www.google.com/maps/place/Threelogy+Coffee+-+Mojopahit/@-7.2819229,112.7415054,17z/data=!3m1!4b1!4m6!3m5!1s0x2dd7fbc229dfbcbf:0x49390c3a3758eacf!8m2!3d-7.2819229!4d112.7415054!16s%2Fg%2F11d_z77p6v?authuser=0&amp;hl=en&amp;entry=ttu&amp;g_ep=EgoyMDI2MDYwMy4xIKXMDSoASAFQAw%3D%3D</t>
  </si>
  <si>
    <t>High-end coffee spot &amp; cafe in fashionable digs offering gourmet blends &amp; elevated light eats.</t>
  </si>
  <si>
    <t>{'lat': -7.2612075, 'lng': 112.7488144}</t>
  </si>
  <si>
    <t>https://www.google.com/maps/place/Calibre+Coffee+Roasters/@-7.2612075,112.7488144,17z/data=!3m1!4b1!4m6!3m5!1s0x2dd7f96484aa2e85:0x9a8add2fb2242a50!8m2!3d-7.2612075!4d112.7488144!16s%2Fg%2F11bvvzglbt?authuser=0&amp;hl=en&amp;entry=ttu&amp;g_ep=EgoyMDI2MDYwMy4xIKXMDSoASAFQAw%3D%3D</t>
  </si>
  <si>
    <t>{'lat': -7.2934399, 'lng': 112.6854477}</t>
  </si>
  <si>
    <t>https://www.google.com/maps/place/Redback+Specialty+Coffee/@-7.2934399,112.6854477,17z/data=!3m1!4b1!4m6!3m5!1s0x2dd7fc4134abf039:0xa81da5bd83a49fe0!8m2!3d-7.2934399!4d112.6854477!16s%2Fg%2F11dxdkhbmb?authuser=0&amp;hl=en&amp;entry=ttu&amp;g_ep=EgoyMDI2MDYwMy4xIKXMDSoASAFQAw%3D%3D</t>
  </si>
  <si>
    <t>{'lat': -7.3045468, 'lng': 112.768486}</t>
  </si>
  <si>
    <t>https://www.google.com/maps/place/Andzero/@-7.3045468,112.768486,17z/data=!3m1!4b1!4m6!3m5!1s0x2dd7fb465757cab9:0x5db78d1d288272e5!8m2!3d-7.3045468!4d112.768486!16s%2Fg%2F11v007w6jf?authuser=0&amp;hl=en&amp;entry=ttu&amp;g_ep=EgoyMDI2MDYwMy4xIKXMDSoASAFQAw%3D%3D</t>
  </si>
  <si>
    <t>VERTE Cafأ©</t>
  </si>
  <si>
    <t>{'lat': -7.2908503, 'lng': 112.7321814}</t>
  </si>
  <si>
    <t>https://www.google.com/maps/place/VERTE+Caf%C3%A9/@-7.2908503,112.7321814,17z/data=!3m1!4b1!4m6!3m5!1s0x2dd7fb49db045aa1:0x8d16112d94cedc3!8m2!3d-7.2908503!4d112.7321814!16s%2Fg%2F11p5s2qtrr?authuser=0&amp;hl=en&amp;entry=ttu&amp;g_ep=EgoyMDI2MDYwMy4xIKXMDSoASAFQAw%3D%3D</t>
  </si>
  <si>
    <t>{'lat': -7.2689088, 'lng': 112.7385203}</t>
  </si>
  <si>
    <t>https://www.google.com/maps/place/Cw+Coffee+%26+Eatery+Surabaya/@-7.2689088,112.7385203,17z/data=!3m1!4b1!4m6!3m5!1s0x2dd7fb004f7274eb:0x1954f84eea9f98d0!8m2!3d-7.2689088!4d112.7385203!16s%2Fg%2F11w1qg_4st?authuser=0&amp;hl=en&amp;entry=ttu&amp;g_ep=EgoyMDI2MDYwMy4xIKXMDSoASAFQAw%3D%3D</t>
  </si>
  <si>
    <t>{'lat': -7.3225321, 'lng': 112.7423232}</t>
  </si>
  <si>
    <t>https://www.google.com/maps/place/Demandailing+Cafe/@-7.3225321,112.7423232,17z/data=!3m1!4b1!4m6!3m5!1s0x2dd7fb147ec16a17:0x627323705bdbc865!8m2!3d-7.3225321!4d112.7423232!16s%2Fg%2F11bt_h9mr_?authuser=0&amp;hl=en&amp;entry=ttu&amp;g_ep=EgoyMDI2MDYwMy4xIKXMDSoASAFQAw%3D%3D</t>
  </si>
  <si>
    <t>{'lat': -7.2582493, 'lng': 112.7295048}</t>
  </si>
  <si>
    <t>https://www.google.com/maps/place/Caturra+Espresso/@-7.2582493,112.7295048,17z/data=!3m1!4b1!4m6!3m5!1s0x2dd7f95ad04d011f:0xa79c2c899ffa251!8m2!3d-7.2582493!4d112.7295048!16s%2Fg%2F11btxklh9h?authuser=0&amp;hl=en&amp;entry=ttu&amp;g_ep=EgoyMDI2MDYwMy4xIKXMDSoASAFQAw%3D%3D</t>
  </si>
  <si>
    <t>Monopole Coffee Lab</t>
  </si>
  <si>
    <t>Quaint coffeehouse serving eclectic global fare including Chinese, Indonesian &amp; Western dishes.</t>
  </si>
  <si>
    <t>{'lat': -7.2828488, 'lng': 112.6949386}</t>
  </si>
  <si>
    <t>https://www.google.com/maps/place/Monopole+Coffee+Lab/@-7.2828488,112.6949386,17z/data=!3m1!4b1!4m6!3m5!1s0x2dd7fc16f115e1c1:0x23ffc9b695db7529!8m2!3d-7.2828488!4d112.6949386!16s%2Fg%2F11b6dg0cvf?authuser=0&amp;hl=en&amp;entry=ttu&amp;g_ep=EgoyMDI2MDYwMy4xIKXMDSoASAFQAw%3D%3D</t>
  </si>
  <si>
    <t>{'lat': -7.2903816, 'lng': 112.7500112}</t>
  </si>
  <si>
    <t>https://www.google.com/maps/place/ALECTA/@-7.2903816,112.7500112,17z/data=!3m1!4b1!4m6!3m5!1s0x2dd7f91d92314b61:0x5505aaf970acc5a5!8m2!3d-7.2903816!4d112.7500112!16s%2Fg%2F11rchrb06d?authuser=0&amp;hl=en&amp;entry=ttu&amp;g_ep=EgoyMDI2MDYwMy4xIKXMDSoASAFQAw%3D%3D</t>
  </si>
  <si>
    <t>Asian fusion restaurant</t>
  </si>
  <si>
    <t>{'lat': -7.2858283, 'lng': 112.7331216}</t>
  </si>
  <si>
    <t>https://www.google.com/maps/place/ONNI+House+Surabaya/@-7.2858283,112.7331216,17z/data=!3m1!4b1!4m6!3m5!1s0x2dd7fbec9d70db87:0x13b94624fef33e59!8m2!3d-7.2858283!4d112.7331216!16s%2Fg%2F11bx1yxzkb?authuser=0&amp;hl=en&amp;entry=ttu&amp;g_ep=EgoyMDI2MDYwMy4xIKXMDSoASAFQAw%3D%3D</t>
  </si>
  <si>
    <t>{'lat': -7.2862409, 'lng': 112.7561595}</t>
  </si>
  <si>
    <t>https://www.google.com/maps/place/Coste+Coffee/@-7.2862409,112.7561595,17z/data=!3m1!4b1!4m6!3m5!1s0x2dd7fbae16ba6159:0xb106b6dc19401000!8m2!3d-7.2862409!4d112.7561595!16s%2Fg%2F11rzgwj_bd?authuser=0&amp;hl=en&amp;entry=ttu&amp;g_ep=EgoyMDI2MDYwMy4xIKXMDSoASAFQAw%3D%3D</t>
  </si>
  <si>
    <t>{'lat': -7.2808387, 'lng': 112.6968022}</t>
  </si>
  <si>
    <t>https://www.google.com/maps/place/The+Oak+Tree+Surabaya/@-7.2808387,112.6968022,17z/data=!3m1!4b1!4m6!3m5!1s0x2dd7fd6a7d2bb3e3:0xd35448dd1d7417b!8m2!3d-7.2808387!4d112.6968022!16s%2Fg%2F11h70s73n0?authuser=0&amp;hl=en&amp;entry=ttu&amp;g_ep=EgoyMDI2MDYwMy4xIKXMDSoASAFQAw%3D%3D</t>
  </si>
  <si>
    <t>{'lat': -7.2564304, 'lng': 112.7434309}</t>
  </si>
  <si>
    <t>https://www.google.com/maps/place/Halaman+78/@-7.2564304,112.7434309,17z/data=!3m1!4b1!4m6!3m5!1s0x2dd7f94651674125:0x9248d36128b30aa9!8m2!3d-7.2564304!4d112.7434309!16s%2Fg%2F11mcrr_qw0?authuser=0&amp;hl=en&amp;entry=ttu&amp;g_ep=EgoyMDI2MDYwMy4xIKXMDSoASAFQAw%3D%3D</t>
  </si>
  <si>
    <t>{'lat': -7.2587001, 'lng': 112.7828312}</t>
  </si>
  <si>
    <t>https://www.google.com/maps/place/Seirama+Kafe/@-7.2587001,112.7828312,17z/data=!3m1!4b1!4m6!3m5!1s0x2dd7f94d14cc66a1:0xb305433d980803dc!8m2!3d-7.2587001!4d112.7828312!16s%2Fg%2F11ny0m53xr?authuser=0&amp;hl=en&amp;entry=ttu&amp;g_ep=EgoyMDI2MDYwMy4xIKXMDSoASAFQAw%3D%3D</t>
  </si>
  <si>
    <t>Creative coffee &amp; light cafe fare served in relaxed, artsy digs with vintage decor.</t>
  </si>
  <si>
    <t>{'lat': -7.2579476, 'lng': 112.7573536}</t>
  </si>
  <si>
    <t>https://www.google.com/maps/place/Grandfather+Coffeeshop/@-7.2579476,112.7573536,17z/data=!3m1!4b1!4m6!3m5!1s0x2dd7f9798f58c959:0x7b3d395d91372f73!8m2!3d-7.2579476!4d112.7573536!16s%2Fg%2F11ckrhlylv?authuser=0&amp;hl=en&amp;entry=ttu&amp;g_ep=EgoyMDI2MDYwMy4xIKXMDSoASAFQAw%3D%3D</t>
  </si>
  <si>
    <t>Oh Gelato Cafe</t>
  </si>
  <si>
    <t>Snug, inviting cafe with patio tables serving a selection of gelati &amp; casual Indonesian fare.</t>
  </si>
  <si>
    <t>Ice cream shop</t>
  </si>
  <si>
    <t>{'lat': -7.2603778, 'lng': 112.7510049}</t>
  </si>
  <si>
    <t>https://www.google.com/maps/place/Oh+Gelato+Cafe/@-7.2603778,112.7510049,17z/data=!3m1!4b1!4m6!3m5!1s0x2dd7f97b4a9375eb:0x8d4bf4d09eb6821e!8m2!3d-7.2603778!4d112.7510049!16s%2Fg%2F11c60f0lvn?authuser=0&amp;hl=en&amp;entry=ttu&amp;g_ep=EgoyMDI2MDYwMy4xIKXMDSoASAFQAw%3D%3D</t>
  </si>
  <si>
    <t>BnD Cafe</t>
  </si>
  <si>
    <t>{'lat': -7.304145, 'lng': 112.7944034}</t>
  </si>
  <si>
    <t>https://www.google.com/maps/place/BnD+Cafe/@-7.304145,112.7944034,17z/data=!3m1!4b1!4m6!3m5!1s0x2dd7fb09b50c6013:0x601723a863fbd01e!8m2!3d-7.304145!4d112.7944034!16s%2Fg%2F11j94q6nsw?authuser=0&amp;hl=en&amp;entry=ttu&amp;g_ep=EgoyMDI2MDYwMy4xIKXMDSoASAFQAw%3D%3D</t>
  </si>
  <si>
    <t>{'lat': -7.3314452, 'lng': 112.7181276}</t>
  </si>
  <si>
    <t>https://www.google.com/maps/place/Baradjawa+Coffee+-+Gayungsari/@-7.3314452,112.7181276,17z/data=!3m1!4b1!4m6!3m5!1s0x2dd7fbac66c3853f:0x5301133e58599b3c!8m2!3d-7.3314452!4d112.7181276!16s%2Fg%2F11t3dw6hq9?authuser=0&amp;hl=en&amp;entry=ttu&amp;g_ep=EgoyMDI2MDYwMy4xIKXMDSoASAFQAw%3D%3D</t>
  </si>
  <si>
    <t>Kateko Surabaya</t>
  </si>
  <si>
    <t>{}</t>
  </si>
  <si>
    <t>https://www.google.com/maps/place/Kateko+Surabaya/data=!4m7!3m6!1s0x2dd7fb639c34c7a7:0xe02af9595390bbcc!8m2!3d-7.2677841!4d112.7512513!16s%2Fg%2F11ft39hsbs!19sChIJp8c0nGP71y0RzLuQU1n5KuA?authuser=0&amp;hl=en&amp;rclk=1</t>
  </si>
  <si>
    <t>{'lat': -7.3029544, 'lng': 112.7319984}</t>
  </si>
  <si>
    <t>https://www.google.com/maps/place/Brain+Coffee+Surabaya/@-7.3029544,112.7319984,17z/data=!3m1!4b1!4m6!3m5!1s0x2dd7fbe4a7ffdb87:0x8a817c8c06e14e25!8m2!3d-7.3029544!4d112.7319984!16s%2Fg%2F11f64cflhq?authuser=0&amp;hl=en&amp;entry=ttu&amp;g_ep=EgoyMDI2MDYwMy4xIKXMDSoASAFQAw%3D%3D</t>
  </si>
  <si>
    <t>Brown Bear Bakery Cafe</t>
  </si>
  <si>
    <t>{'lat': -7.2921617, 'lng': 112.7153273}</t>
  </si>
  <si>
    <t>https://www.google.com/maps/place/Brown+Bear+Bakery+Cafe/@-7.2921617,112.7153273,17z/data=!3m1!4b1!4m6!3m5!1s0x2dd7fbac3f56901b:0x6cd10ae403c0d0fe!8m2!3d-7.2921617!4d112.7153273!16s%2Fg%2F11xp31lyn8?authuser=0&amp;hl=en&amp;entry=ttu&amp;g_ep=EgoyMDI2MDYwMy4xIKXMDSoASAFQAw%3D%3D</t>
  </si>
  <si>
    <t>Korean restaurant</t>
  </si>
  <si>
    <t>{'lat': -7.288463, 'lng': 112.731333}</t>
  </si>
  <si>
    <t>https://www.google.com/maps/place/Bunbee+Korean+Bakery+and+Cafe/@-7.288463,112.731333,17z/data=!3m1!4b1!4m6!3m5!1s0x2dd7fb3fea9269c7:0xe5998872582d503a!8m2!3d-7.288463!4d112.731333!16s%2Fg%2F11qp4ml4c_?authuser=0&amp;hl=en&amp;entry=ttu&amp;g_ep=EgoyMDI2MDYwMy4xIKXMDSoASAFQAw%3D%3D</t>
  </si>
  <si>
    <t>MOOGS Coffee</t>
  </si>
  <si>
    <t>{'lat': -7.3227956, 'lng': 112.780423}</t>
  </si>
  <si>
    <t>https://www.google.com/maps/place/MOOGS+Coffee/@-7.3227956,112.780423,17z/data=!3m1!4b1!4m6!3m5!1s0x2dd7fb74824b6f21:0xc29b820c6ca22460!8m2!3d-7.3227956!4d112.780423!16s%2Fg%2F11h1hp5t3z?authuser=0&amp;hl=en&amp;entry=ttu&amp;g_ep=EgoyMDI2MDYwMy4xIKXMDSoASAFQAw%3D%3D</t>
  </si>
  <si>
    <t>Picaroll Cafe &amp; Bakery</t>
  </si>
  <si>
    <t>{'lat': -7.2888502, 'lng': 112.7529441}</t>
  </si>
  <si>
    <t>https://www.google.com/maps/place/Picaroll+Cafe+%26+Bakery/@-7.2888502,112.7529441,17z/data=!3m1!4b1!4m6!3m5!1s0x2dd7fbbade6eebe1:0x42977d4ff2d3ffcd!8m2!3d-7.2888502!4d112.7529441!16s%2Fg%2F11tc2wwf1m?authuser=0&amp;hl=en&amp;entry=ttu&amp;g_ep=EgoyMDI2MDYwMy4xIKXMDSoASAFQAw%3D%3D</t>
  </si>
  <si>
    <t>Jengki Cafe</t>
  </si>
  <si>
    <t>{'lat': -7.3375527, 'lng': 112.7204565}</t>
  </si>
  <si>
    <t>https://www.google.com/maps/place/Jengki+Cafe/@-7.3375527,112.7204565,17z/data=!3m1!4b1!4m6!3m5!1s0x2dd7fb3d30b0cbe5:0x326aeff691c4326!8m2!3d-7.3375527!4d112.7204565!16s%2Fg%2F11h6lx_728?authuser=0&amp;hl=en&amp;entry=ttu&amp;g_ep=EgoyMDI2MDYwMy4xIKXMDSoASAFQAw%3D%3D</t>
  </si>
  <si>
    <t>{'lat': -7.2790442, 'lng': 112.7373881}</t>
  </si>
  <si>
    <t>https://www.google.com/maps/place/Shisha+Boss+Cafe+Surabaya/@-7.2790442,112.7373881,17z/data=!3m1!4b1!4m6!3m5!1s0x2dd7fb9369fada09:0x5f54f0073c2d47ca!8m2!3d-7.2790442!4d112.7373881!16s%2Fg%2F11ll_4bl0w?authuser=0&amp;hl=en&amp;entry=ttu&amp;g_ep=EgoyMDI2MDYwMy4xIKXMDSoASAFQAw%3D%3D</t>
  </si>
  <si>
    <t>Reldish | Casual Cafأ©</t>
  </si>
  <si>
    <t>{'lat': -7.3235333, 'lng': 112.7430632}</t>
  </si>
  <si>
    <t>https://www.google.com/maps/place/Reldish+%7C+Casual+Caf%C3%A9/@-7.3235333,112.7430632,17z/data=!3m1!4b1!4m6!3m5!1s0x2dd7fb2d7ade4d9b:0x4ae47678458a857c!8m2!3d-7.3235333!4d112.7430632!16s%2Fg%2F11sqc697g0?authuser=0&amp;hl=en&amp;entry=ttu&amp;g_ep=EgoyMDI2MDYwMy4xIKXMDSoASAFQAw%3D%3D</t>
  </si>
  <si>
    <t>The Cafe</t>
  </si>
  <si>
    <t>{'lat': -7.2922611, 'lng': 112.7153526}</t>
  </si>
  <si>
    <t>https://www.google.com/maps/place/The+Cafe/@-7.2922611,112.7153526,17z/data=!3m1!4b1!4m6!3m5!1s0x2dd7fb8a752d7d39:0x5f2530aeda6198d8!8m2!3d-7.2922611!4d112.7153526!16s%2Fg%2F11g65bv5nb?authuser=0&amp;hl=en&amp;entry=ttu&amp;g_ep=EgoyMDI2MDYwMy4xIKXMDSoASAFQAw%3D%3D</t>
  </si>
  <si>
    <t>NARCOS COFFEE</t>
  </si>
  <si>
    <t>{'lat': -7.258356, 'lng': 112.7487797}</t>
  </si>
  <si>
    <t>https://www.google.com/maps/place/NARCOS+COFFEE/@-7.258356,112.7487797,17z/data=!3m1!4b1!4m6!3m5!1s0x2dd7f99da3e2aef5:0x7c2be44d71c652a2!8m2!3d-7.258356!4d112.7487797!16s%2Fg%2F11qnkxql77?authuser=0&amp;hl=en&amp;entry=ttu&amp;g_ep=EgoyMDI2MDYwMy4xIKXMDSoASAFQAw%3D%3D</t>
  </si>
  <si>
    <t>ADA APA DENGAN KOPI - AADK TEGALSARI</t>
  </si>
  <si>
    <t>{'lat': -7.2655585, 'lng': 112.738032}</t>
  </si>
  <si>
    <t>https://www.google.com/maps/place/ADA+APA+DENGAN+KOPI+-+AADK+TEGALSARI/@-7.2655585,112.738032,17z/data=!3m1!4b1!4m6!3m5!1s0x2dd7f91f6324b4e5:0x4f37e1b390f62dc7!8m2!3d-7.2655585!4d112.738032!16s%2Fg%2F11jcmf2730?authuser=0&amp;hl=en&amp;entry=ttu&amp;g_ep=EgoyMDI2MDYwMy4xIKXMDSoASAFQAw%3D%3D</t>
  </si>
  <si>
    <t>Borre Cafe</t>
  </si>
  <si>
    <t>{'lat': -7.2693766, 'lng': 112.7737631}</t>
  </si>
  <si>
    <t>https://www.google.com/maps/place/Borre+Cafe/@-7.2693766,112.7737631,17z/data=!3m1!4b1!4m6!3m5!1s0x2dd7fbd3193d3c73:0x8f6c534a6c183acd!8m2!3d-7.2693766!4d112.7737631!16s%2Fg%2F11szbz6526?authuser=0&amp;hl=en&amp;entry=ttu&amp;g_ep=EgoyMDI2MDYwMy4xIKXMDSoASAFQAw%3D%3D</t>
  </si>
  <si>
    <t>Kannely Cafe &amp; Dining</t>
  </si>
  <si>
    <t>{'lat': -7.2785081, 'lng': 112.8079088}</t>
  </si>
  <si>
    <t>https://www.google.com/maps/place/Kannely+Cafe+%26+Dining/@-7.2785081,112.8079088,17z/data=!3m1!4b1!4m6!3m5!1s0x2dd7fb9565eb185f:0x4f15b75b124a2f34!8m2!3d-7.2785081!4d112.8079088!16s%2Fg%2F11l6ywgqq7?authuser=0&amp;hl=en&amp;entry=ttu&amp;g_ep=EgoyMDI2MDYwMy4xIKXMDSoASAFQAw%3D%3D</t>
  </si>
  <si>
    <t>{'lat': -7.2672692, 'lng': 112.7457654}</t>
  </si>
  <si>
    <t>https://www.google.com/maps/place/Kopi+Calf+Signature+Tunjungan+Surabaya/@-7.2672692,112.7457654,17z/data=!3m1!4b1!4m6!3m5!1s0x2dd7fb34c2ca4047:0x1434efb9ce6345e0!8m2!3d-7.2672692!4d112.7457654!16s%2Fg%2F11y4lr38hd?authuser=0&amp;hl=en&amp;entry=ttu&amp;g_ep=EgoyMDI2MDYwMy4xIKXMDSoASAFQAw%3D%3D</t>
  </si>
  <si>
    <t>SURABAYA COFFEE</t>
  </si>
  <si>
    <t>{'lat': -7.2374956, 'lng': 112.7206849}</t>
  </si>
  <si>
    <t>https://www.google.com/maps/place/SURABAYA+COFFEE/@-7.2374956,112.7206849,17z/data=!3m1!4b1!4m6!3m5!1s0x2dd7f9600b4d7437:0x1c036ee4a56826ed!8m2!3d-7.2374956!4d112.7206849!16s%2Fg%2F11gk155q7x?authuser=0&amp;hl=en&amp;entry=ttu&amp;g_ep=EgoyMDI2MDYwMy4xIKXMDSoASAFQAw%3D%3D</t>
  </si>
  <si>
    <t>Titik Tengah Surabaya</t>
  </si>
  <si>
    <t>{'lat': -7.2677313, 'lng': 112.7339446}</t>
  </si>
  <si>
    <t>https://www.google.com/maps/place/Titik+Tengah+Surabaya/@-7.2677313,112.7339446,17z/data=!3m1!4b1!4m6!3m5!1s0x2dd7fb736e844f45:0x7cace86772822696!8m2!3d-7.2677313!4d112.7339446!16s%2Fg%2F11llcw3_fj?authuser=0&amp;hl=en&amp;entry=ttu&amp;g_ep=EgoyMDI2MDYwMy4xIKXMDSoASAFQAw%3D%3D</t>
  </si>
  <si>
    <t>Glossus Coffee</t>
  </si>
  <si>
    <t>{'lat': -7.3351601, 'lng': 112.6993355}</t>
  </si>
  <si>
    <t>https://www.google.com/maps/place/Glossus+Coffee/@-7.3351601,112.6993355,17z/data=!3m1!4b1!4m6!3m5!1s0x2dd7fdd37a492f61:0x63a1b201c80dc45d!8m2!3d-7.3351601!4d112.6993355!16s%2Fg%2F11q28byzp8?authuser=0&amp;hl=en&amp;entry=ttu&amp;g_ep=EgoyMDI2MDYwMy4xIKXMDSoASAFQAw%3D%3D</t>
  </si>
  <si>
    <t>{'lat': -7.288892, 'lng': 112.734595}</t>
  </si>
  <si>
    <t>https://www.google.com/maps/place/Cafe+B.ARU/@-7.288892,112.734595,17z/data=!3m1!4b1!4m6!3m5!1s0x2dd7fb64cce2caa1:0x709aa53cf94c0da2!8m2!3d-7.288892!4d112.734595!16s%2Fg%2F11k9d48hy_?authuser=0&amp;hl=en&amp;entry=ttu&amp;g_ep=EgoyMDI2MDYwMy4xIKXMDSoASAFQAw%3D%3D</t>
  </si>
  <si>
    <t>{'lat': -7.2725651, 'lng': 112.773655}</t>
  </si>
  <si>
    <t>https://www.google.com/maps/place/Haewoo+One+Stop+Korean+Food+-+Dharmahusada+Indah+1/@-7.2725651,112.773655,17z/data=!3m1!4b1!4m6!3m5!1s0x2dd7fbe265170721:0xf93887d070261e8e!8m2!3d-7.2725651!4d112.773655!16s%2Fg%2F11p61px1gw?authuser=0&amp;hl=en&amp;entry=ttu&amp;g_ep=EgoyMDI2MDYwMy4xIKXMDSoASAFQAw%3D%3D</t>
  </si>
  <si>
    <t>https://www.google.com/maps/place/Zybrick+Coffee+%26+Cantina/@-7.3397275,112.7351597,17z/data=!3m1!4b1!4m6!3m5!1s0x2dd7fb48ef8437a5:0xbada1c81486b5bfc!8m2!3d-7.3397275!4d112.7351597!16s%2Fg%2F11c48sdmb0?authuser=0&amp;hl=en&amp;entry=ttu&amp;g_ep=EgoyMDI2MDYwMy4xIKXMDSoASAFQAw%3D%3D</t>
  </si>
  <si>
    <t>{'lat': -7.2629966, 'lng': 112.7645719}</t>
  </si>
  <si>
    <t>https://www.google.com/maps/place/De'Oasis+Cafe+Eatery/@-7.2629966,112.7645719,17z/data=!3m1!4b1!4m6!3m5!1s0x2dd7f92375ba161d:0xf18309d2c115d2f6!8m2!3d-7.2629966!4d112.7645719!16s%2Fg%2F11v9z7qjgz?authuser=0&amp;hl=en&amp;entry=ttu&amp;g_ep=EgoyMDI2MDYwMy4xIKXMDSoASAFQAw%3D%3D</t>
  </si>
  <si>
    <t>Brunsj Cafe</t>
  </si>
  <si>
    <t>{'lat': -7.3129104, 'lng': 112.789429}</t>
  </si>
  <si>
    <t>https://www.google.com/maps/place/Brunsj+Cafe/@-7.3129104,112.789429,17z/data=!3m1!4b1!4m6!3m5!1s0x2dd7fb77c8e9b9b3:0x39b1ecdb61eedc12!8m2!3d-7.3129104!4d112.789429!16s%2Fg%2F11s9y9n1mj?authuser=0&amp;hl=en&amp;entry=ttu&amp;g_ep=EgoyMDI2MDYwMy4xIKXMDSoASAFQAw%3D%3D</t>
  </si>
  <si>
    <t>Relaxed hangout with an understated atmosphere serving hot drinks, plus smoothies &amp; light meals.</t>
  </si>
  <si>
    <t>{'lat': -7.3423267, 'lng': 112.724097}</t>
  </si>
  <si>
    <t>https://www.google.com/maps/place/Cafe+Teko+-+Menanggal/@-7.3423267,112.724097,17z/data=!3m1!4b1!4m6!3m5!1s0x2dd7fba292ae7755:0x9573375d6799d06d!8m2!3d-7.3423267!4d112.724097!16s%2Fg%2F11j7f_g4zp?authuser=0&amp;hl=en&amp;entry=ttu&amp;g_ep=EgoyMDI2MDYwMy4xIKXMDSoASAFQAw%3D%3D</t>
  </si>
  <si>
    <t>Time Coffee</t>
  </si>
  <si>
    <t>https://www.google.com/maps/place/Time+Coffee/data=!4m7!3m6!1s0x2dd7fb7fa09aec37:0x81f05aaa156248ae!8m2!3d-7.3170094!4d112.7232219!16s%2Fg%2F11t2xwzt9y!19sChIJN-yaoH_71y0RrkhiFapa8IE?authuser=0&amp;hl=en&amp;rclk=1</t>
  </si>
  <si>
    <t>Seniman Coffee Trunojoyo</t>
  </si>
  <si>
    <t>{'lat': -7.2848579, 'lng': 112.735288}</t>
  </si>
  <si>
    <t>https://www.google.com/maps/place/Seniman+Coffee+Trunojoyo/@-7.2848579,112.735288,17z/data=!3m1!4b1!4m6!3m5!1s0x2dd7fbb97ef9ce29:0x679f76365e6fe5c0!8m2!3d-7.2848579!4d112.735288!16s%2Fg%2F11lf3f_fhd?authuser=0&amp;hl=en&amp;entry=ttu&amp;g_ep=EgoyMDI2MDYwMy4xIKXMDSoASAFQAw%3D%3D</t>
  </si>
  <si>
    <t>{'lat': -7.3204521, 'lng': 112.7806905}</t>
  </si>
  <si>
    <t>https://www.google.com/maps/place/Demandailing+Cafe+%26+Eatery+-+MERR/@-7.3204521,112.7806905,17z/data=!3m1!4b1!4m6!3m5!1s0x2dd7fb6f37973cd1:0x36b75e038efbb4aa!8m2!3d-7.3204521!4d112.7806905!16s%2Fg%2F11jdnpw5ty?authuser=0&amp;hl=en&amp;entry=ttu&amp;g_ep=EgoyMDI2MDYwMy4xIKXMDSoASAFQAw%3D%3D</t>
  </si>
  <si>
    <t>{'lat': -7.2800527, 'lng': 112.7814105}</t>
  </si>
  <si>
    <t>https://www.google.com/maps/place/Deckside+Lounge+%26+Cafe/@-7.2800527,112.7814105,17z/data=!3m1!4b1!4m6!3m5!1s0x2dd7fb62be784477:0xb5079bc1d5e8f087!8m2!3d-7.2800527!4d112.7814105!16s%2Fg%2F11fmdc6m87?authuser=0&amp;hl=en&amp;entry=ttu&amp;g_ep=EgoyMDI2MDYwMy4xIKXMDSoASAFQAw%3D%3D</t>
  </si>
  <si>
    <t>{'lat': -7.2873325, 'lng': 112.655854}</t>
  </si>
  <si>
    <t>https://www.google.com/maps/place/Kokkili+Cafe/@-7.2873325,112.655854,17z/data=!3m1!4b1!4m6!3m5!1s0x2dd7fd94a77ef4d7:0x797a6211d005c15e!8m2!3d-7.2873325!4d112.655854!16s%2Fg%2F11k58312j2?authuser=0&amp;hl=en&amp;entry=ttu&amp;g_ep=EgoyMDI2MDYwMy4xIKXMDSoASAFQAw%3D%3D</t>
  </si>
  <si>
    <t>{'lat': -7.2745876, 'lng': 112.7500753}</t>
  </si>
  <si>
    <t>https://www.google.com/maps/place/DE+BUN/@-7.2745876,112.7500753,17z/data=!3m1!4b1!4m6!3m5!1s0x2dd7fb90f3c6ec2b:0x7ba9e1f529c6bcb0!8m2!3d-7.2745876!4d112.7500753!16s%2Fg%2F11fncs94_d?authuser=0&amp;hl=en&amp;entry=ttu&amp;g_ep=EgoyMDI2MDYwMy4xIKXMDSoASAFQAw%3D%3D</t>
  </si>
  <si>
    <t>Coffee TGC basra</t>
  </si>
  <si>
    <t>{'lat': -7.2644572, 'lng': 112.7416518}</t>
  </si>
  <si>
    <t>https://www.google.com/maps/place/Coffee+TGC+basra/@-7.2644572,112.7416518,17z/data=!3m1!4b1!4m6!3m5!1s0x2dd7f9b4ecd5dadf:0x69df05aa0d2280e4!8m2!3d-7.2644572!4d112.7416518!16s%2Fg%2F11gm8vjhyy?authuser=0&amp;hl=en&amp;entry=ttu&amp;g_ep=EgoyMDI2MDYwMy4xIKXMDSoASAFQAw%3D%3D</t>
  </si>
  <si>
    <t>{'lat': -7.2755699, 'lng': 112.7460441}</t>
  </si>
  <si>
    <t>https://www.google.com/maps/place/Kopi+Nako+Daur+Baur+-+Surabaya/@-7.2755699,112.7460441,17z/data=!3m1!4b1!4m6!3m5!1s0x2dd7fb1a57a7c373:0x158af67d017ebdef!8m2!3d-7.2755699!4d112.7460441!16s%2Fg%2F11l_0drb_w?authuser=0&amp;hl=en&amp;entry=ttu&amp;g_ep=EgoyMDI2MDYwMy4xIKXMDSoASAFQAw%3D%3D</t>
  </si>
  <si>
    <t>TETRA Coffee &amp; Eatery - Surabaya</t>
  </si>
  <si>
    <t>https://www.google.com/maps/place/TETRA+Coffee+%26+Eatery+-+Surabaya/data=!4m7!3m6!1s0x2dd7fb73b554413b:0x385bdc7442e7c05!8m2!3d-7.2782914!4d112.7532476!16s%2Fg%2F11x970s5yk!19sChIJO0FUtXP71y0RBXwuRMe9hQM?authuser=0&amp;hl=en&amp;rclk=1</t>
  </si>
  <si>
    <t>Vأ¶lks Coffee | Specialty Coffee</t>
  </si>
  <si>
    <t>{'lat': -7.2927885, 'lng': 112.7342035}</t>
  </si>
  <si>
    <t>https://www.google.com/maps/place/V%C3%B6lks+Coffee+%7C+Specialty+Coffee/@-7.2927885,112.7342035,17z/data=!3m1!4b1!4m6!3m5!1s0x2dd7fbe99abf3bb9:0x671539d3a0411b44!8m2!3d-7.2927885!4d112.7342035!16s%2Fg%2F11cm0x4dpf?authuser=0&amp;hl=en&amp;entry=ttu&amp;g_ep=EgoyMDI2MDYwMy4xIKXMDSoASAFQAw%3D%3D</t>
  </si>
  <si>
    <t>https://www.google.com/maps/place/Djavahaus+Coffee+and+Eatery/data=!4m7!3m6!1s0x2dd7f90fd879002b:0x7167762bebba0685!8m2!3d-7.2658737!4d112.7309841!16s%2Fg%2F11v095s9t_!19sChIJKwB52A_51y0RhQa66yt2Z3E?authuser=0&amp;hl=en&amp;rclk=1</t>
  </si>
  <si>
    <t>{'lat': -7.291607, 'lng': 112.7296129}</t>
  </si>
  <si>
    <t>https://www.google.com/maps/place/Ultra+Coffee/@-7.291607,112.7296129,17z/data=!3m1!4b1!4m6!3m5!1s0x2dd7fbbc74716d63:0x4189e257d0a96962!8m2!3d-7.291607!4d112.7296129!16s%2Fg%2F11scjrdw1w?authuser=0&amp;hl=en&amp;entry=ttu&amp;g_ep=EgoyMDI2MDYwMy4xIKXMDSoASAFQAw%3D%3D</t>
  </si>
  <si>
    <t>The Little Prince Coffee</t>
  </si>
  <si>
    <t>{'lat': -7.2860678, 'lng': 112.7345952}</t>
  </si>
  <si>
    <t>https://www.google.com/maps/place/The+Little+Prince+Coffee/@-7.2860678,112.7345952,17z/data=!3m1!4b1!4m6!3m5!1s0x2dd7fb54c3b7472f:0x97ab40242a16c35d!8m2!3d-7.2860678!4d112.7345952!16s%2Fg%2F11qm6f9skf?authuser=0&amp;hl=en&amp;entry=ttu&amp;g_ep=EgoyMDI2MDYwMy4xIKXMDSoASAFQAw%3D%3D</t>
  </si>
  <si>
    <t>The Gade Coffee &amp; Gold Surabaya</t>
  </si>
  <si>
    <t>{'lat': -7.2834071, 'lng': 112.7463577}</t>
  </si>
  <si>
    <t>https://www.google.com/maps/place/The+Gade+Coffee+%26+Gold+Surabaya/@-7.2834071,112.7463577,17z/data=!3m1!4b1!4m6!3m5!1s0x2dd7fb511fe5f48b:0x8a0303b1679bdccc!8m2!3d-7.2834071!4d112.7463577!16s%2Fg%2F11gy3hx2s5?authuser=0&amp;hl=en&amp;entry=ttu&amp;g_ep=EgoyMDI2MDYwMy4xIKXMDSoASAFQAw%3D%3D</t>
  </si>
  <si>
    <t>ADA APA DENGAN KOPI - AADK HAKIM</t>
  </si>
  <si>
    <t>{'lat': -7.289975, 'lng': 112.7882303}</t>
  </si>
  <si>
    <t>https://www.google.com/maps/place/ADA+APA+DENGAN+KOPI+-+AADK+HAKIM/@-7.289975,112.7882303,17z/data=!3m1!4b1!4m6!3m5!1s0x2dd7fb9a2595290b:0x4032a42758c9c3a3!8m2!3d-7.289975!4d112.7882303!16s%2Fg%2F11jzb166v1?authuser=0&amp;hl=en&amp;entry=ttu&amp;g_ep=EgoyMDI2MDYwMy4xIKXMDSoASAFQAw%3D%3D</t>
  </si>
  <si>
    <t>GLOWSTICK coffee &amp; eatery</t>
  </si>
  <si>
    <t>{'lat': -7.2722449, 'lng': 112.7475207}</t>
  </si>
  <si>
    <t>https://www.google.com/maps/place/GLOWSTICK+coffee+%26+eatery/@-7.2722449,112.7475207,17z/data=!3m1!4b1!4m6!3m5!1s0x2dd7fba23ef0440f:0x2f83035f795a713b!8m2!3d-7.2722449!4d112.7475207!16s%2Fg%2F11t4738kvl?authuser=0&amp;hl=en&amp;entry=ttu&amp;g_ep=EgoyMDI2MDYwMy4xIKXMDSoASAFQAw%3D%3D</t>
  </si>
  <si>
    <t>Percent BLACK % Speciality Coffee Roastery &amp; Bar</t>
  </si>
  <si>
    <t>{'lat': -7.2673827, 'lng': 112.7712047}</t>
  </si>
  <si>
    <t>https://www.google.com/maps/place/Percent+BLACK+%25+Speciality+Coffee+Roastery+%26+Bar/@-7.2673827,112.7712047,17z/data=!3m1!4b1!4m6!3m5!1s0x2dd7fa29afeb2fc9:0x16de258b29369173!8m2!3d-7.2673827!4d112.7712047!16s%2Fg%2F11hd7ft6yn?authuser=0&amp;hl=en&amp;entry=ttu&amp;g_ep=EgoyMDI2MDYwMy4xIKXMDSoASAFQAw%3D%3D</t>
  </si>
  <si>
    <t>Aluama Coffee Bar</t>
  </si>
  <si>
    <t>https://www.google.com/maps/place/Aluama+Coffee+Bar/data=!4m7!3m6!1s0x2dd7f979d17fbd23:0xd550a4b94fc1aee2!8m2!3d-7.2526441!4d112.7446897!16s%2Fg%2F11mpv8qr24!19sChIJI71_0Xn51y0R4q7BT7mkUNU?authuser=0&amp;hl=en&amp;rclk=1</t>
  </si>
  <si>
    <t>{'lat': -7.290993, 'lng': 112.7350497}</t>
  </si>
  <si>
    <t>https://www.google.com/maps/place/LITTLE+CAVE+hidden+coffee+bar/@-7.290993,112.7350497,17z/data=!3m1!4b1!4m6!3m5!1s0x2dd7fbad28ab64e3:0xda56da5e25ff17b1!8m2!3d-7.290993!4d112.7350497!16s%2Fg%2F11qy723dkk?authuser=0&amp;hl=en&amp;entry=ttu&amp;g_ep=EgoyMDI2MDYwMy4xIKXMDSoASAFQAw%3D%3D</t>
  </si>
  <si>
    <t>{'lat': -7.2914316, 'lng': 112.6856682}</t>
  </si>
  <si>
    <t>https://www.google.com/maps/place/Common+Grounds+-+Graha+Famili/@-7.2914316,112.6856682,17z/data=!3m1!4b1!4m6!3m5!1s0x2dd7fdbaf4f73723:0xb98bf12db65bc119!8m2!3d-7.2914316!4d112.6856682!16s%2Fg%2F11q30p4qgc?authuser=0&amp;hl=en&amp;entry=ttu&amp;g_ep=EgoyMDI2MDYwMy4xIKXMDSoASAFQAw%3D%3D</t>
  </si>
  <si>
    <t>{'lat': -7.2891827, 'lng': 112.7370669}</t>
  </si>
  <si>
    <t>https://www.google.com/maps/place/C12+Coffee+%26+Ride/@-7.2891827,112.7370669,17z/data=!3m1!4b1!4m6!3m5!1s0x2dd7fbf7a0a518af:0xf956a28be2a6a035!8m2!3d-7.2891827!4d112.7370669!16s%2Fg%2F11ny5bh1l2?authuser=0&amp;hl=en&amp;entry=ttu&amp;g_ep=EgoyMDI2MDYwMy4xIKXMDSoASAFQAw%3D%3D</t>
  </si>
  <si>
    <t>KARMENSEVE Coffee Shop</t>
  </si>
  <si>
    <t>{'lat': -7.2704953, 'lng': 112.7609238}</t>
  </si>
  <si>
    <t>https://www.google.com/maps/place/KARMENSEVE+Coffee+Shop/@-7.2704953,112.7609238,17z/data=!3m1!4b1!4m6!3m5!1s0x2dd7fbd49a32bf13:0xa41d1f0b078e68b1!8m2!3d-7.2704953!4d112.7609238!16s%2Fg%2F11bw_5mp3f?authuser=0&amp;hl=en&amp;entry=ttu&amp;g_ep=EgoyMDI2MDYwMy4xIKXMDSoASAFQAw%3D%3D</t>
  </si>
  <si>
    <t>{'lat': -7.288321, 'lng': 112.7088618}</t>
  </si>
  <si>
    <t>https://www.google.com/maps/place/SIA+COFFEE/@-7.288321,112.7088618,17z/data=!3m1!4b1!4m6!3m5!1s0x2dd7fd76ab275a47:0x6555b8a370311d3!8m2!3d-7.288321!4d112.7088618!16s%2Fg%2F11lt9ntjmh?authuser=0&amp;hl=en&amp;entry=ttu&amp;g_ep=EgoyMDI2MDYwMy4xIKXMDSoASAFQAw%3D%3D</t>
  </si>
  <si>
    <t>{'lat': -7.2748483, 'lng': 112.6598294}</t>
  </si>
  <si>
    <t>https://www.google.com/maps/place/Marshal+Brew+Coffee+Surabaya/@-7.2748483,112.6598294,17z/data=!3m1!4b1!4m6!3m5!1s0x2dd7fd295ea62707:0xbc8200af97740421!8m2!3d-7.2748483!4d112.6598294!16s%2Fg%2F11p7737wnq?authuser=0&amp;hl=en&amp;entry=ttu&amp;g_ep=EgoyMDI2MDYwMy4xIKXMDSoASAFQAw%3D%3D</t>
  </si>
  <si>
    <t>https://www.google.com/maps/place/Aucafe+Specialty+Coffee+-+Manyar+Kertoarjo+3/data=!4m7!3m6!1s0x2dd7fb63ca20ea05:0xf9ea0b7af3fbd529!8m2!3d-7.2804783!4d112.7647157!16s%2Fg%2F11j9dbfplj!19sChIJBeogymP71y0RKdX783oL6vk?authuser=0&amp;hl=en&amp;rclk=1</t>
  </si>
  <si>
    <t>Cup of Hope Coffee</t>
  </si>
  <si>
    <t>{'lat': -7.2890628, 'lng': 112.7345523}</t>
  </si>
  <si>
    <t>https://www.google.com/maps/place/Cup+of+Hope+Coffee/@-7.2890628,112.7345523,17z/data=!3m1!4b1!4m6!3m5!1s0x2dd7fb742c4ada25:0x8bb9fcbc12948a11!8m2!3d-7.2890628!4d112.7345523!16s%2Fg%2F11qvf66kp_?authuser=0&amp;hl=en&amp;entry=ttu&amp;g_ep=EgoyMDI2MDYwMy4xIKXMDSoASAFQAw%3D%3D</t>
  </si>
  <si>
    <t>DEJAVU</t>
  </si>
  <si>
    <t>https://www.google.com/maps/place/DEJAVU/data=!4m7!3m6!1s0x2dd7f964f3215fdf:0x6e4c656f316f9727!8m2!3d-7.2925846!4d112.7512433!16s%2Fg%2F119vrtf56!19sChIJ318h82T51y0RJ5dvMW9lTG4?authuser=0&amp;hl=en&amp;rclk=1</t>
  </si>
  <si>
    <t>The Localist Coffee and Bistro Surabaya</t>
  </si>
  <si>
    <t>{'lat': -7.2900085, 'lng': 112.7770857}</t>
  </si>
  <si>
    <t>https://www.google.com/maps/place/The+Localist+Coffee+and+Bistro+Surabaya/@-7.2900085,112.7770857,17z/data=!3m1!4b1!4m6!3m5!1s0x2dd7fa46709f5de1:0x81476ba21ba403ee!8m2!3d-7.2900085!4d112.7770857!16s%2Fg%2F11b7w30tb_?authuser=0&amp;hl=en&amp;entry=ttu&amp;g_ep=EgoyMDI2MDYwMy4xIKXMDSoASAFQAw%3D%3D</t>
  </si>
  <si>
    <t>LOKO CAFE STASIUN GUBENG</t>
  </si>
  <si>
    <t>{'lat': -7.2656872, 'lng': 112.7523443}</t>
  </si>
  <si>
    <t>https://www.google.com/maps/place/LOKO+CAFE+STASIUN+GUBENG/@-7.2656872,112.7523443,17z/data=!3m1!4b1!4m6!3m5!1s0x2dd7fbd7e6dd7341:0x7cfc1dcd6af793ad!8m2!3d-7.2656872!4d112.7523443!16s%2Fg%2F11np7l316q?authuser=0&amp;hl=en&amp;entry=ttu&amp;g_ep=EgoyMDI2MDYwMy4xIKXMDSoASAFQAw%3D%3D</t>
  </si>
  <si>
    <t>{'lat': -7.2638032, 'lng': 112.7173132}</t>
  </si>
  <si>
    <t>https://www.google.com/maps/place/Cafe+Rooftop+Mibimibi/@-7.2638032,112.7173132,17z/data=!3m1!4b1!4m6!3m5!1s0x2dd7f9e724054b91:0xf13717e3a4986c97!8m2!3d-7.2638032!4d112.7173132!16s%2Fg%2F11f9v7p_wt?authuser=0&amp;hl=en&amp;entry=ttu&amp;g_ep=EgoyMDI2MDYwMy4xIKXMDSoASAFQAw%3D%3D</t>
  </si>
  <si>
    <t>Otewekopi</t>
  </si>
  <si>
    <t>{'lat': -7.2654984, 'lng': 112.7424313}</t>
  </si>
  <si>
    <t>https://www.google.com/maps/place/Otewekopi/@-7.2654984,112.7424313,17z/data=!3m1!4b1!4m6!3m5!1s0x2dd7f9b6fd6cbbf9:0xadf984276937048a!8m2!3d-7.2654984!4d112.7424313!16s%2Fg%2F11s0zfblpp?authuser=0&amp;hl=en&amp;entry=ttu&amp;g_ep=EgoyMDI2MDYwMy4xIKXMDSoASAFQAw%3D%3D</t>
  </si>
  <si>
    <t>TITIK KUMPUL SURABAYA (WARKOP and CAFE)</t>
  </si>
  <si>
    <t>https://www.google.com/maps/place/TITIK+KUMPUL+SURABAYA+%28WARKOP+and+CAFE%29/data=!4m7!3m6!1s0x2dd7fdedec1c8e35:0x2f58a16a6e952f2!8m2!3d-7.2756367!4d112.7103356!16s%2Fg%2F11j7kr63nh!19sChIJNY4c7O391y0R8lLpphaK9QI?authuser=0&amp;hl=en&amp;rclk=1</t>
  </si>
  <si>
    <t>{'lat': -7.2613916, 'lng': 112.7479164}</t>
  </si>
  <si>
    <t>https://www.google.com/maps/place/Sambang+Cafe+%26+Eatery/@-7.2613916,112.7479164,17z/data=!3m1!4b1!4m6!3m5!1s0x2dd7f966f3ad93b1:0x36958792108907e9!8m2!3d-7.2613916!4d112.7479164!16s%2Fg%2F11tfk9h143?authuser=0&amp;hl=en&amp;entry=ttu&amp;g_ep=EgoyMDI2MDYwMy4xIKXMDSoASAFQAw%3D%3D</t>
  </si>
  <si>
    <t>Onetwothree Coffee&amp;Eatery</t>
  </si>
  <si>
    <t>{'lat': -7.2639248, 'lng': 112.742266}</t>
  </si>
  <si>
    <t>https://www.google.com/maps/place/Onetwothree+Coffee%26Eatery/@-7.2639248,112.742266,17z/data=!3m1!4b1!4m6!3m5!1s0x2dd7f90032815087:0x8562cdf45d7b0d8!8m2!3d-7.2639248!4d112.742266!16s%2Fg%2F11y30hn6np?authuser=0&amp;hl=en&amp;entry=ttu&amp;g_ep=EgoyMDI2MDYwMy4xIKXMDSoASAFQAw%3D%3D</t>
  </si>
  <si>
    <t>FOREMORE CRAB</t>
  </si>
  <si>
    <t>Quaint restaurant offering coffee &amp; international plates in a country-style dining area.</t>
  </si>
  <si>
    <t>{'lat': -7.3055842, 'lng': 112.780706}</t>
  </si>
  <si>
    <t>https://www.google.com/maps/place/FOREMORE+CRAB/@-7.3055842,112.780706,17z/data=!3m1!4b1!4m6!3m5!1s0x2dd7fbe8a01f44c3:0xe399ee19eca128fe!8m2!3d-7.3055842!4d112.780706!16s%2Fg%2F11lgnmzpb5?authuser=0&amp;hl=en&amp;entry=ttu&amp;g_ep=EgoyMDI2MDYwMy4xIKXMDSoASAFQAw%3D%3D</t>
  </si>
  <si>
    <t>My Kopi-O! - Grand City Mall Surabaya</t>
  </si>
  <si>
    <t>{'lat': -7.2618041, 'lng': 112.7503141}</t>
  </si>
  <si>
    <t>https://www.google.com/maps/place/My+Kopi-O!+-+Grand+City+Mall+Surabaya/@-7.2618041,112.7503141,17z/data=!3m1!4b1!4m6!3m5!1s0x2dd7f9632b9464e3:0x94af9afe87f78f7f!8m2!3d-7.2618041!4d112.7503141!16s%2Fg%2F1pzrfcnxg?authuser=0&amp;hl=en&amp;entry=ttu&amp;g_ep=EgoyMDI2MDYwMy4xIKXMDSoASAFQAw%3D%3D</t>
  </si>
  <si>
    <t>Tempat makan yg casual dan terbuka, dengan fasilitas taman bermain anak, dengan aneka variasi menu.</t>
  </si>
  <si>
    <t>{'lat': -7.2702897, 'lng': 112.7986384}</t>
  </si>
  <si>
    <t>https://www.google.com/maps/place/SAS+Cafe+N+Resto/@-7.2702897,112.7986384,17z/data=!3m1!4b1!4m6!3m5!1s0x2dd7fa1b34a93411:0x3eb563bd94c331eb!8m2!3d-7.2702897!4d112.7986384!16s%2Fg%2F11g_yml87?authuser=0&amp;hl=en&amp;entry=ttu&amp;g_ep=EgoyMDI2MDYwMy4xIKXMDSoASAFQAw%3D%3D</t>
  </si>
  <si>
    <t>KICKSTART BREW</t>
  </si>
  <si>
    <t>https://www.google.com/maps/place/KICKSTART+BREW/data=!4m7!3m6!1s0x2dd7f9000a8d97df:0x668e390d7ca066b0!8m2!3d-7.2594696!4d112.7385639!16s%2Fg%2F11yqlp90m2!19sChIJ35eNCgD51y0RsGagfA05jmY?authuser=0&amp;hl=en&amp;rclk=1</t>
  </si>
  <si>
    <t>Kedai Ciamso</t>
  </si>
  <si>
    <t>{'lat': -7.2651675, 'lng': 112.7426011}</t>
  </si>
  <si>
    <t>https://www.google.com/maps/place/Kedai+Ciamso/@-7.2651675,112.7426011,17z/data=!3m1!4b1!4m6!3m5!1s0x2dd7f97f2b51caf9:0xb5a10119cb9a4b1b!8m2!3d-7.2651675!4d112.7426011!16s%2Fg%2F11kjpdrqwb?authuser=0&amp;hl=en&amp;entry=ttu&amp;g_ep=EgoyMDI2MDYwMy4xIKXMDSoASAFQAw%3D%3D</t>
  </si>
  <si>
    <t>TENTWO Coffee</t>
  </si>
  <si>
    <t>{'lat': -7.2736181, 'lng': 112.7505119}</t>
  </si>
  <si>
    <t>https://www.google.com/maps/place/TENTWO+Coffee/@-7.2736181,112.7505119,17z/data=!3m1!4b1!4m6!3m5!1s0x2dd7fb3809d8d249:0x4de0e474cc183fe5!8m2!3d-7.2736181!4d112.7505119!16s%2Fg%2F11mw7rh420?authuser=0&amp;hl=en&amp;entry=ttu&amp;g_ep=EgoyMDI2MDYwMy4xIKXMDSoASAFQAw%3D%3D</t>
  </si>
  <si>
    <t>Renekopi</t>
  </si>
  <si>
    <t>{'lat': -7.308779, 'lng': 112.721091}</t>
  </si>
  <si>
    <t>https://www.google.com/maps/place/Renekopi/@-7.308779,112.721091,17z/data=!3m1!4b1!4m6!3m5!1s0x2dd7fb78acf8ffff:0xdd441e5ab849a5fc!8m2!3d-7.308779!4d112.721091!16s%2Fg%2F11ggrqv9s5?authuser=0&amp;hl=en&amp;entry=ttu&amp;g_ep=EgoyMDI2MDYwMy4xIKXMDSoASAFQAw%3D%3D</t>
  </si>
  <si>
    <t>Kanopi - Makan Nongkrong Ngopi</t>
  </si>
  <si>
    <t>{'lat': -7.32156, 'lng': 112.7462699}</t>
  </si>
  <si>
    <t>https://www.google.com/maps/place/Kanopi+-+Makan+Nongkrong+Ngopi/@-7.32156,112.7462699,17z/data=!3m1!4b1!4m6!3m5!1s0x2dd7fbb22525962f:0x8caffe2a5ac486ea!8m2!3d-7.32156!4d112.7462699!16s%2Fg%2F11s3cl17s3?authuser=0&amp;hl=en&amp;entry=ttu&amp;g_ep=EgoyMDI2MDYwMy4xIKXMDSoASAFQAw%3D%3D</t>
  </si>
  <si>
    <t>Pukul Satu Kopi</t>
  </si>
  <si>
    <t>https://www.google.com/maps/place/Pukul+Satu+Kopi/data=!4m7!3m6!1s0x2dd7fbe0a7893f01:0x821f3404de8a92d5!8m2!3d-7.2767447!4d112.7557838!16s%2Fg%2F11h5p_l04j!19sChIJAT-Jp-D71y0R1ZKK3gQ0H4I?authuser=0&amp;hl=en&amp;rclk=1</t>
  </si>
  <si>
    <t>{'lat': -7.2945429, 'lng': 112.768385}</t>
  </si>
  <si>
    <t>https://www.google.com/maps/place/Eicy+Cafe/@-7.2945429,112.768385,17z/data=!3m1!4b1!4m6!3m5!1s0x2dd7fbfe9188ab43:0x23ce9195cd20d25d!8m2!3d-7.2945429!4d112.768385!16s%2Fg%2F11qh449_hp?authuser=0&amp;hl=en&amp;entry=ttu&amp;g_ep=EgoyMDI2MDYwMy4xIKXMDSoASAFQAw%3D%3D</t>
  </si>
  <si>
    <t>Artap Cafe and Bistro</t>
  </si>
  <si>
    <t>{'lat': -7.2590613, 'lng': 112.7821549}</t>
  </si>
  <si>
    <t>https://www.google.com/maps/place/Artap+Cafe+and+Bistro/@-7.2590613,112.7821549,17z/data=!3m1!4b1!4m6!3m5!1s0x2dd7f92ed9f8d27d:0x8b6565bff236e99!8m2!3d-7.2590613!4d112.7821549!16s%2Fg%2F11fb0jr5wb?authuser=0&amp;hl=en&amp;entry=ttu&amp;g_ep=EgoyMDI2MDYwMy4xIKXMDSoASAFQAw%3D%3D</t>
  </si>
  <si>
    <t>{'lat': -7.2592726, 'lng': 112.7497086}</t>
  </si>
  <si>
    <t>https://www.google.com/maps/place/OL+and+NU+cafe+eatery/@-7.2592726,112.7497086,17z/data=!3m1!4b1!4m6!3m5!1s0x2dd7f956a1bf4e4f:0xd2578143682028d2!8m2!3d-7.2592726!4d112.7497086!16s%2Fg%2F11vprwqyws?authuser=0&amp;hl=en&amp;entry=ttu&amp;g_ep=EgoyMDI2MDYwMy4xIKXMDSoASAFQAw%3D%3D</t>
  </si>
  <si>
    <t>DeMandailing Cafe</t>
  </si>
  <si>
    <t>{'lat': -7.2885102, 'lng': 112.7005553}</t>
  </si>
  <si>
    <t>https://www.google.com/maps/place/DeMandailing+Cafe/@-7.2885102,112.7005553,17z/data=!3m1!4b1!4m6!3m5!1s0x2dd7fc129764117f:0x7ef8cf9f143536ef!8m2!3d-7.2885102!4d112.7005553!16s%2Fg%2F11c37nyrvm?authuser=0&amp;hl=en&amp;entry=ttu&amp;g_ep=EgoyMDI2MDYwMy4xIKXMDSoASAFQAw%3D%3D</t>
  </si>
  <si>
    <t>https://www.google.com/maps/place/Moengkopi+JiwARTspace/data=!4m7!3m6!1s0x2dd7faa4b7138427:0x5d3f0c82d93414dc!8m2!3d-7.325115!4d112.7946265!16s%2Fg%2F11fy4kkx22!19sChIJJ4QTt6T61y0R3BQ02YIMP10?authuser=0&amp;hl=en&amp;rclk=1</t>
  </si>
  <si>
    <t>One Pose Cafe</t>
  </si>
  <si>
    <t>https://www.google.com/maps/place/One+Pose+Cafe/data=!4m7!3m6!1s0x2dd7fc2131d63fcf:0xa47051e31350db4d!8m2!3d-7.2731142!4d112.6859436!16s%2Fg%2F11cnz8lrj2!19sChIJzz_WMSH81y0RTdtQE-NRcKQ?authuser=0&amp;hl=en&amp;rclk=1</t>
  </si>
  <si>
    <t>{'lat': -7.2943175, 'lng': 112.7410265}</t>
  </si>
  <si>
    <t>https://www.google.com/maps/place/Tera+Coffee+Society/@-7.2943175,112.7410265,17z/data=!3m1!4b1!4m6!3m5!1s0x2dd7fb4b75078c1d:0x53178d6fe49bacc5!8m2!3d-7.2943175!4d112.7410265!16s%2Fg%2F11kr8ptjvk?authuser=0&amp;hl=en&amp;entry=ttu&amp;g_ep=EgoyMDI2MDYwMy4xIKXMDSoASAFQAw%3D%3D</t>
  </si>
  <si>
    <t>GNZA 100 - Coffee &amp; Bakery by Fifteenth</t>
  </si>
  <si>
    <t>https://www.google.com/maps/place/GNZA+100+-+Coffee+%26+Bakery+by+Fifteenth/@-7.289331,112.7537092,17z/data=!3m1!4b1!4m6!3m5!1s0x2dd7fb550488c1f1:0xac1cd5c8ebb9bfcf!8m2!3d-7.289331!4d112.7537092!16s%2Fg%2F11w9m737gz?authuser=0&amp;hl=en&amp;entry=ttu&amp;g_ep=EgoyMDI2MDYwMy4xIKXMDSoASAFQAw%3D%3D</t>
  </si>
  <si>
    <t>Sult Cafe &amp; Eatery</t>
  </si>
  <si>
    <t>{'lat': -7.2901885, 'lng': 112.7885638}</t>
  </si>
  <si>
    <t>https://www.google.com/maps/place/Sult+Cafe+%26+Eatery/@-7.2901885,112.7885638,17z/data=!3m1!4b1!4m6!3m5!1s0x2dd7fbad592f641f:0x69675db75f932ab3!8m2!3d-7.2901885!4d112.7885638!16s%2Fg%2F11ngk1qhg_?authuser=0&amp;hl=en&amp;entry=ttu&amp;g_ep=EgoyMDI2MDYwMy4xIKXMDSoASAFQAw%3D%3D</t>
  </si>
  <si>
    <t>Fifteenth Coffee Kota Lama</t>
  </si>
  <si>
    <t>{'lat': -7.2371665, 'lng': 112.7366854}</t>
  </si>
  <si>
    <t>https://www.google.com/maps/place/Fifteenth+Coffee+Kota+Lama/@-7.2371665,112.7366854,17z/data=!3m1!4b1!4m6!3m5!1s0x2dd7f9b3993beaf9:0xbea16fad9924d02a!8m2!3d-7.2371665!4d112.7366854!16s%2Fg%2F11lf5mqknp?authuser=0&amp;hl=en&amp;entry=ttu&amp;g_ep=EgoyMDI2MDYwMy4xIKXMDSoASAFQAw%3D%3D</t>
  </si>
  <si>
    <t>{'lat': -7.2729095, 'lng': 112.7477386}</t>
  </si>
  <si>
    <t>https://www.google.com/maps/place/Toko+Kopi+TUKU+-+SPBU+bp+Gubeng/@-7.2729095,112.7477386,17z/data=!3m1!4b1!4m6!3m5!1s0x2dd7fb75c4e64cd5:0xb0e1c4b6d27fdc56!8m2!3d-7.2729095!4d112.7477386!16s%2Fg%2F11qh7gstyv?authuser=0&amp;hl=en&amp;entry=ttu&amp;g_ep=EgoyMDI2MDYwMy4xIKXMDSoASAFQAw%3D%3D</t>
  </si>
  <si>
    <t>{'lat': -7.2896458, 'lng': 112.7348815}</t>
  </si>
  <si>
    <t>https://www.google.com/maps/place/Spread+Cafe+by+Tootoomoo/@-7.2896458,112.7348815,17z/data=!3m1!4b1!4m6!3m5!1s0x2dd7fb9fdcc83a8d:0x16a4c447d48bbd04!8m2!3d-7.2896458!4d112.7348815!16s%2Fg%2F11sjlqx6yw?authuser=0&amp;hl=en&amp;entry=ttu&amp;g_ep=EgoyMDI2MDYwMy4xIKXMDSoASAFQAw%3D%3D</t>
  </si>
  <si>
    <t>Noia Coffee &amp; Co</t>
  </si>
  <si>
    <t>{'lat': -7.3296, 'lng': 112.7874017}</t>
  </si>
  <si>
    <t>https://www.google.com/maps/place/Noia+Coffee+%26+Co/@-7.3296,112.7874017,17z/data=!3m1!4b1!4m6!3m5!1s0x2dd7fb37d47e5a5f:0x4a5e761e5ee432e4!8m2!3d-7.3296!4d112.7874017!16s%2Fg%2F11vkzlzmbm?authuser=0&amp;hl=en&amp;entry=ttu&amp;g_ep=EgoyMDI2MDYwMy4xIKXMDSoASAFQAw%3D%3D</t>
  </si>
  <si>
    <t>{'lat': -7.3236547, 'lng': 112.741669}</t>
  </si>
  <si>
    <t>https://www.google.com/maps/place/BOBER+cafe+%26+ruang+komunitas/@-7.3236547,112.741669,17z/data=!3m1!4b1!4m6!3m5!1s0x2dd7fb148d0d5523:0x58e784062584bac5!8m2!3d-7.3236547!4d112.741669!16s%2Fg%2F11gh3bmk8p?authuser=0&amp;hl=en&amp;entry=ttu&amp;g_ep=EgoyMDI2MDYwMy4xIKXMDSoASAFQAw%3D%3D</t>
  </si>
  <si>
    <t>Le Cafe Gourmand</t>
  </si>
  <si>
    <t>Cheery cafe with outdoor seating &amp; a relaxed vibe serving coffee drinks, pastries &amp; desserts.</t>
  </si>
  <si>
    <t>{'lat': -7.295938, 'lng': 112.6760177}</t>
  </si>
  <si>
    <t>https://www.google.com/maps/place/Le+Cafe+Gourmand/@-7.295938,112.6760177,17z/data=!3m1!4b1!4m6!3m5!1s0x2dd7f96011b013d3:0x5a98f2b925739a7c!8m2!3d-7.295938!4d112.6760177!16s%2Fg%2F11btmrf0kv?authuser=0&amp;hl=en&amp;entry=ttu&amp;g_ep=EgoyMDI2MDYwMy4xIKXMDSoASAFQAw%3D%3D</t>
  </si>
  <si>
    <t>LA VILOS COFFEE &amp; SUPERMARKET COFFEE</t>
  </si>
  <si>
    <t>https://www.google.com/maps/place/LA+VILOS+COFFEE+%26+SUPERMARKET+COFFEE/data=!4m7!3m6!1s0x2dd7fbb0d7894479:0xd7794df8bdb45fe3!8m2!3d-7.2687039!4d112.7472658!16s%2Fg%2F11rmwvtjhc!19sChIJeUSJ17D71y0R41-0vfhNedc?authuser=0&amp;hl=en&amp;rclk=1</t>
  </si>
  <si>
    <t>https://www.google.com/maps/place/HOHO+Coffee+-+Tunjungan/data=!4m7!3m6!1s0x2dd7f934e95ee58f:0xb492e21d29203648!8m2!3d-7.2596594!4d112.7389009!16s%2Fg%2F11hgdzxdlr!19sChIJj-Ve6TT51y0RSDYgKR3ikrQ?authuser=0&amp;hl=en&amp;rclk=1</t>
  </si>
  <si>
    <t>Coffee Toffee Apsari Grahadi</t>
  </si>
  <si>
    <t>{'lat': -7.2638516, 'lng': 112.7433775}</t>
  </si>
  <si>
    <t>https://www.google.com/maps/place/Coffee+Toffee+Apsari+Grahadi/@-7.2638516,112.7433775,17z/data=!3m1!4b1!4m6!3m5!1s0x2dd7fa2fc1a83ad5:0x1af37aad0f30d0ba!8m2!3d-7.2638516!4d112.7433775!16s%2Fg%2F1hc1snx8k?authuser=0&amp;hl=en&amp;entry=ttu&amp;g_ep=EgoyMDI2MDYwMy4xIKXMDSoASAFQAw%3D%3D</t>
  </si>
  <si>
    <t>JAVAROMA at Sentral Tunjungan Surabaya</t>
  </si>
  <si>
    <t>https://www.google.com/maps/place/JAVAROMA+at+Sentral+Tunjungan+Surabaya/data=!4m7!3m6!1s0x2dd7f9cca5b6c2ad:0xce6324806a337674!8m2!3d-7.2609451!4d112.7408107!16s%2Fg%2F11x0wth42d!19sChIJrcK2pcz51y0RdHYzaoAkY84?authuser=0&amp;hl=en&amp;rclk=1</t>
  </si>
  <si>
    <t>Bebini Gelati Cafأ©</t>
  </si>
  <si>
    <t>{'lat': -7.2671004, 'lng': 112.7706514}</t>
  </si>
  <si>
    <t>https://www.google.com/maps/place/Bebini+Gelati+Caf%C3%A9/@-7.2671004,112.7706514,17z/data=!3m1!4b1!4m6!3m5!1s0x2dd7fa29bce687cd:0xf93f5938ee2b3c55!8m2!3d-7.2671004!4d112.7706514!16s%2Fg%2F11cs16gvqc?authuser=0&amp;hl=en&amp;entry=ttu&amp;g_ep=EgoyMDI2MDYwMy4xIKXMDSoASAFQAw%3D%3D</t>
  </si>
  <si>
    <t>Food court</t>
  </si>
  <si>
    <t>https://www.google.com/maps/place/Sentra+Wisata+Kuliner+Bratang+Binangun/data=!4m7!3m6!1s0x2dd7fbad7223083d:0xad919c035d6d60df!8m2!3d-7.297318!4d112.760383!16s%2Fg%2F11cmxv7xqz!19sChIJPQgjcq371y0R32BtXQOcka0?authuser=0&amp;hl=en&amp;rclk=1</t>
  </si>
  <si>
    <t>Satay restaurant</t>
  </si>
  <si>
    <t>{'lat': -7.2601075, 'lng': 112.7442245}</t>
  </si>
  <si>
    <t>https://www.google.com/maps/place/Sate+Kelopo+Ondomohen+Bu+Asih/@-7.2601075,112.7442245,17z/data=!3m1!4b1!4m6!3m5!1s0x2dd7f96423a1d5af:0xc7570172dd94b50c!8m2!3d-7.2601075!4d112.7442245!16s%2Fg%2F11b6djmjp3?authuser=0&amp;hl=en&amp;entry=ttu&amp;g_ep=EgoyMDI2MDYwMy4xIKXMDSoASAFQAw%3D%3D</t>
  </si>
  <si>
    <t>Health food restaurant</t>
  </si>
  <si>
    <t>{'lat': -7.2560633, 'lng': 112.7315719}</t>
  </si>
  <si>
    <t>https://www.google.com/maps/place/LONTONG+BALAP+PAK+GENDUT+PKL+SURABAYA/@-7.2560633,112.7315719,17z/data=!3m1!4b1!4m6!3m5!1s0x2dd7f9f44fff6a47:0x715b863c22ef94eb!8m2!3d-7.2560633!4d112.7315719!16s%2Fg%2F11cfgh64_?authuser=0&amp;hl=en&amp;entry=ttu&amp;g_ep=EgoyMDI2MDYwMy4xIKXMDSoASAFQAw%3D%3D</t>
  </si>
  <si>
    <t>Eel restaurant</t>
  </si>
  <si>
    <t>{'lat': -7.2705095, 'lng': 112.7199703}</t>
  </si>
  <si>
    <t>https://www.google.com/maps/place/Spesial+Belut+Surabaya+H.+Poer/@-7.2705095,112.7199703,17z/data=!3m1!4b1!4m6!3m5!1s0x2dd7fbfe61eabd33:0xd5893654a3c3d2cc!8m2!3d-7.2705095!4d112.7199703!16s%2Fg%2F11b6xdws2s?authuser=0&amp;hl=en&amp;entry=ttu&amp;g_ep=EgoyMDI2MDYwMy4xIKXMDSoASAFQAw%3D%3D</t>
  </si>
  <si>
    <t>Indonesian restaurant</t>
  </si>
  <si>
    <t>{'lat': -7.2918496, 'lng': 112.7401047}</t>
  </si>
  <si>
    <t>https://www.google.com/maps/place/Rawon+Kalkulator/@-7.2918496,112.7401047,17z/data=!3m1!4b1!4m6!3m5!1s0x2dd7fbbe23d5a7e1:0xd3486fa5af94b650!8m2!3d-7.2918496!4d112.7401047!16s%2Fg%2F1pzrq3qkb?authuser=0&amp;hl=en&amp;entry=ttu&amp;g_ep=EgoyMDI2MDYwMy4xIKXMDSoASAFQAw%3D%3D</t>
  </si>
  <si>
    <t>Nasi restaurant</t>
  </si>
  <si>
    <t>https://www.google.com/maps/place/Sego+Sambel+Mak+Yeye/data=!4m7!3m6!1s0x2dd7fb98a0bb520d:0x1aabc304682113bc!8m2!3d-7.3013703!4d112.7380496!16s%2Fg%2F11bytv2579!19sChIJDVK7oJj71y0RvBMhaATDqxo?authuser=0&amp;hl=en&amp;rclk=1</t>
  </si>
  <si>
    <t>Long-standing, unpretentious joint known for rawon, a traditional Indonesian beef soup.</t>
  </si>
  <si>
    <t>East Javanese restaurant</t>
  </si>
  <si>
    <t>https://www.google.com/maps/place/Rawon+Setan+-+Embong+Malang/@-7.2590943,112.7352172,17z/data=!3m1!4b1!4m6!3m5!1s0x2dd7f9675f5ab153:0xd7718efb5cb01015!8m2!3d-7.2590943!4d112.7352172!16s%2Fg%2F1hm1z3ll5?authuser=0&amp;hl=en&amp;entry=ttu&amp;g_ep=EgoyMDI2MDYwMy4xIKXMDSoASAFQAw%3D%3D</t>
  </si>
  <si>
    <t>Dadar Beredar - Surabaya</t>
  </si>
  <si>
    <t>Diner</t>
  </si>
  <si>
    <t>{'lat': -7.2565683, 'lng': 112.7508648}</t>
  </si>
  <si>
    <t>https://www.google.com/maps/place/Dadar+Beredar+-+Surabaya/@-7.2565683,112.7508648,17z/data=!3m1!4b1!4m6!3m5!1s0x2e789f1c71c29e65:0xae15a5954563c555!8m2!3d-7.2565683!4d112.7508648!16s%2Fg%2F11vk5btz1r?authuser=0&amp;hl=en&amp;entry=ttu&amp;g_ep=EgoyMDI2MDYwMy4xIKXMDSoASAFQAw%3D%3D</t>
  </si>
  <si>
    <t>Warung Bu Kris - Kayon</t>
  </si>
  <si>
    <t>Javanese restaurant</t>
  </si>
  <si>
    <t>{'lat': -7.2697603, 'lng': 112.7467382}</t>
  </si>
  <si>
    <t>https://www.google.com/maps/place/Warung+Bu+Kris+-+Kayon/@-7.2697603,112.7467382,17z/data=!3m1!4b1!4m6!3m5!1s0x2dd7fbd8fe821f07:0xef0c8aa179f7bd65!8m2!3d-7.2697603!4d112.7467382!16s%2Fg%2F1hd_fk36b?authuser=0&amp;hl=en&amp;entry=ttu&amp;g_ep=EgoyMDI2MDYwMy4xIKXMDSoASAFQAw%3D%3D</t>
  </si>
  <si>
    <t>https://www.google.com/maps/place/Sentra+Wisata+Kuliner+Dharmahusada/data=!4m7!3m6!1s0x2dd7fa289d633cf7:0x2415d06a920e042b!8m2!3d-7.2683301!4d112.7741892!16s%2Fg%2F11c1_v2fqh!19sChIJ9zxjnSj61y0RKwQOkmrQFSQ?authuser=0&amp;hl=en&amp;rclk=1</t>
  </si>
  <si>
    <t>https://www.google.com/maps/place/Tahu+Campur+H.+ABD.+Mahfud+Asli+Kalasan/data=!4m7!3m6!1s0x2dd7f9797f4ba83f:0xec4587e11bcf800a!8m2!3d-7.258714!4d112.7573433!16s%2Fg%2F11b69v7p5p!19sChIJP6hLf3n51y0RCoDPG-GHRew?authuser=0&amp;hl=en&amp;rclk=1</t>
  </si>
  <si>
    <t>https://www.google.com/maps/place/Wisata+Kuliner+Embong+Blimbing/data=!4m7!3m6!1s0x2dd7fbdfc9f053fb:0x403cfaab979a14a9!8m2!3d-7.2692136!4d112.7405024!16s%2Fg%2F11g027lly1!19sChIJ-1Pwyd_71y0RqRSal6v6PEA?authuser=0&amp;hl=en&amp;rclk=1</t>
  </si>
  <si>
    <t>{'lat': -7.2667434, 'lng': 112.7423959}</t>
  </si>
  <si>
    <t>https://www.google.com/maps/place/Sentra+Wisata+Kuliner+Embong+Sawo/@-7.2667434,112.7423959,17z/data=!3m1!4b1!4m6!3m5!1s0x2dd7f996e06809e3:0xafcbe61111c706a7!8m2!3d-7.2667434!4d112.7423959!16s%2Fg%2F11jlqgf7_r?authuser=0&amp;hl=en&amp;entry=ttu&amp;g_ep=EgoyMDI2MDYwMy4xIKXMDSoASAFQAw%3D%3D</t>
  </si>
  <si>
    <t>https://www.google.com/maps/place/Surabaya+Kuliner/data=!4m7!3m6!1s0x2dd7fbc2a3dde06f:0x461de4242ae2f35c!8m2!3d-7.29851!4d112.7323421!16s%2Fg%2F11tcq1hc5c!19sChIJb-Ddo8L71y0RXPPiKiTkHUY?authuser=0&amp;hl=en&amp;rclk=1</t>
  </si>
  <si>
    <t>Middle Eastern restaurant</t>
  </si>
  <si>
    <t>{'lat': -7.232525, 'lng': 112.741133}</t>
  </si>
  <si>
    <t>https://www.google.com/maps/place/Yaman+Kuliner/@-7.232525,112.741133,17z/data=!3m1!4b1!4m6!3m5!1s0x2dd7f918c5ec78d7:0x64f41ceaab433fa8!8m2!3d-7.232525!4d112.741133!16s%2Fg%2F1hm3h2ztm?authuser=0&amp;hl=en&amp;entry=ttu&amp;g_ep=EgoyMDI2MDYwMy4xIKXMDSoASAFQAw%3D%3D</t>
  </si>
  <si>
    <t>{'lat': -7.2598405, 'lng': 112.7368492}</t>
  </si>
  <si>
    <t>https://www.google.com/maps/place/Lontong+Balap+Asli+Pak+Gendut+(Tidak+Buka+Cabang)/@-7.2598405,112.7368492,17z/data=!3m1!4b1!4m6!3m5!1s0x2dd7f95d917c4fdf:0x49db77b7799abc54!8m2!3d-7.2598405!4d112.7368492!16s%2Fg%2F11c3yv_b3t?authuser=0&amp;hl=en&amp;entry=ttu&amp;g_ep=EgoyMDI2MDYwMy4xIKXMDSoASAFQAw%3D%3D</t>
  </si>
  <si>
    <t>{'lat': -7.2624706, 'lng': 112.7447097}</t>
  </si>
  <si>
    <t>https://www.google.com/maps/place/Sentra+Wisata+Kuliner+Taman+Prestasi/@-7.2624706,112.7447097,17z/data=!3m1!4b1!4m6!3m5!1s0x2dd7f961583842c3:0xc37d54c83b94a6d8!8m2!3d-7.2624706!4d112.7447097!16s%2Fg%2F11g6bld2wl?authuser=0&amp;hl=en&amp;entry=ttu&amp;g_ep=EgoyMDI2MDYwMy4xIKXMDSoASAFQAw%3D%3D</t>
  </si>
  <si>
    <t>Nasi Pecel Rawon Pucang Moro Seneng</t>
  </si>
  <si>
    <t>https://www.google.com/maps/place/Nasi+Pecel+Rawon+Pucang+Moro+Seneng/data=!4m7!3m6!1s0x2dd7fbc9aeb01779:0xcc054ce1e40ab595!8m2!3d-7.2842801!4d112.7543599!16s%2Fg%2F11bxg0b268!19sChIJeRewrsn71y0RlbUK5OFMBcw?authuser=0&amp;hl=en&amp;rclk=1</t>
  </si>
  <si>
    <t>Warung Kongdhe Mbak May</t>
  </si>
  <si>
    <t>Traditional local meals &amp; snacks dished up at an unassuming food stand with counter seating.</t>
  </si>
  <si>
    <t>{'lat': -7.2512658, 'lng': 112.7364891}</t>
  </si>
  <si>
    <t>https://www.google.com/maps/place/Warung+Kongdhe+Mbak+May/@-7.2512658,112.7364891,17z/data=!3m1!4b1!4m6!3m5!1s0x2dd7f9419bed8f2d:0x22366c9d09ffdbec!8m2!3d-7.2512658!4d112.7364891!16s%2Fg%2F11c2l9mmzf?authuser=0&amp;hl=en&amp;entry=ttu&amp;g_ep=EgoyMDI2MDYwMy4xIKXMDSoASAFQAw%3D%3D</t>
  </si>
  <si>
    <t>Culinary Sentra Dharmawangsa / Hokky Open 24 Hours</t>
  </si>
  <si>
    <t>{'lat': -7.2673172, 'lng': 112.7561795}</t>
  </si>
  <si>
    <t>https://www.google.com/maps/place/Culinary+Sentra+Dharmawangsa+%2F+Hokky+Open+24+Hours/@-7.2673172,112.7561795,17z/data=!3m1!4b1!4m6!3m5!1s0x2dd7fbd60d244851:0x1bd60c87ef84a349!8m2!3d-7.2673172!4d112.7561795!16s%2Fg%2F11b69bcrbv?authuser=0&amp;hl=en&amp;entry=ttu&amp;g_ep=EgoyMDI2MDYwMy4xIKXMDSoASAFQAw%3D%3D</t>
  </si>
  <si>
    <t>Culinary Mulyorejo</t>
  </si>
  <si>
    <t>{'lat': -7.2627234, 'lng': 112.7854336}</t>
  </si>
  <si>
    <t>https://www.google.com/maps/place/Culinary+Mulyorejo/@-7.2627234,112.7854336,17z/data=!3m1!4b1!4m6!3m5!1s0x2dd7f98adda85795:0xd4fba72d473d51f8!8m2!3d-7.2627234!4d112.7854336!16s%2Fg%2F11clydq8tc?authuser=0&amp;hl=en&amp;entry=ttu&amp;g_ep=EgoyMDI2MDYwMy4xIKXMDSoASAFQAw%3D%3D</t>
  </si>
  <si>
    <t>{'lat': -7.3094548, 'lng': 112.7196133}</t>
  </si>
  <si>
    <t>https://www.google.com/maps/place/Sentra+Wisata+Kuliner+Karah/@-7.3094548,112.7196133,17z/data=!3m1!4b1!4m6!3m5!1s0x2dd7fb7e454cd07f:0xaa34624d82b54c19!8m2!3d-7.3094548!4d112.7196133!16s%2Fg%2F1jgm4c3s7?authuser=0&amp;hl=en&amp;entry=ttu&amp;g_ep=EgoyMDI2MDYwMy4xIKXMDSoASAFQAw%3D%3D</t>
  </si>
  <si>
    <t>Sentra Wisata Kuliner Wiyung</t>
  </si>
  <si>
    <t>{'lat': -7.314035, 'lng': 112.6974162}</t>
  </si>
  <si>
    <t>https://www.google.com/maps/place/Sentra+Wisata+Kuliner+Wiyung/@-7.314035,112.6974162,17z/data=!3m1!4b1!4m6!3m5!1s0x2dd7fc8957b0a395:0x21bc82134ed33d94!8m2!3d-7.314035!4d112.6974162!16s%2Fg%2F1hm5y1svr?authuser=0&amp;hl=en&amp;entry=ttu&amp;g_ep=EgoyMDI2MDYwMy4xIKXMDSoASAFQAw%3D%3D</t>
  </si>
  <si>
    <t>Unpretentious restaurant dishing up homestyle cooking amid colorful surroundings.</t>
  </si>
  <si>
    <t>{'lat': -7.3032388, 'lng': 112.7490363}</t>
  </si>
  <si>
    <t>https://www.google.com/maps/place/Warung+Tempe+Penyet+Mbak+Noer/@-7.3032388,112.7490363,17z/data=!3m1!4b1!4m6!3m5!1s0x2dd7fba64224f3bb:0x730586c6d7df468a!8m2!3d-7.3032388!4d112.7490363!16s%2Fg%2F1hm5msk3r?authuser=0&amp;hl=en&amp;entry=ttu&amp;g_ep=EgoyMDI2MDYwMy4xIKXMDSoASAFQAw%3D%3D</t>
  </si>
  <si>
    <t>Foodcourt Urip Sumoharjo</t>
  </si>
  <si>
    <t>{'lat': -7.2747433, 'lng': 112.7415447}</t>
  </si>
  <si>
    <t>https://www.google.com/maps/place/Foodcourt+Urip+Sumoharjo/@-7.2747433,112.7415447,17z/data=!3m1!4b1!4m6!3m5!1s0x2dd7fbdd1cc165e9:0xdd353d00a826c0e8!8m2!3d-7.2747433!4d112.7415447!16s%2Fg%2F11bvt1ndfb?authuser=0&amp;hl=en&amp;entry=ttu&amp;g_ep=EgoyMDI2MDYwMy4xIKXMDSoASAFQAw%3D%3D</t>
  </si>
  <si>
    <t>https://www.google.com/maps/place/Sentra+Wisata+Kuliner+Siola/data=!4m7!3m6!1s0x2dd7f9dfcca59d89:0x6881dc0eb4303946!8m2!3d-7.2567686!4d112.7376015!16s%2Fg%2F11hr641hgv!19sChIJiZ2lzN_51y0RRjkwtA7cgWg?authuser=0&amp;hl=en&amp;rclk=1</t>
  </si>
  <si>
    <t>Warung Pak Hasyim</t>
  </si>
  <si>
    <t>{'lat': -7.3230457, 'lng': 112.7812178}</t>
  </si>
  <si>
    <t>https://www.google.com/maps/place/Warung+Pak+Hasyim/@-7.3230457,112.7812178,17z/data=!3m1!4b1!4m6!3m5!1s0x2dd7faea2c7c683d:0xa7072287174f086e!8m2!3d-7.3230457!4d112.7812178!16s%2Fg%2F11fxc84yv2?authuser=0&amp;hl=en&amp;entry=ttu&amp;g_ep=EgoyMDI2MDYwMy4xIKXMDSoASAFQAw%3D%3D</t>
  </si>
  <si>
    <t>Surabaya Special Eel</t>
  </si>
  <si>
    <t>Seafood restaurant</t>
  </si>
  <si>
    <t>https://www.google.com/maps/place/Surabaya+Special+Eel/@-7.2692873,112.7472058,17z/data=!3m1!4b1!4m6!3m5!1s0x2dd7fbd91ccc6515:0xdb2ad969f4b296c5!8m2!3d-7.2692873!4d112.7472058!16s%2Fg%2F1hm444hm4?authuser=0&amp;hl=en&amp;entry=ttu&amp;g_ep=EgoyMDI2MDYwMy4xIKXMDSoASAFQAw%3D%3D</t>
  </si>
  <si>
    <t>Kapas Krampung Street Food Culinary Center</t>
  </si>
  <si>
    <t>{'lat': -7.252782, 'lng': 112.7670666}</t>
  </si>
  <si>
    <t>########</t>
  </si>
  <si>
    <t>https://www.google.com/maps/place/Kapas+Krampung+Street+Food+Culinary+Center,+Surabaya/@-7.252782,112.7670666,17z/data=!3m1!4b1!4m6!3m5!1s0x2dd7f99c5c107609:0x29d363e56fe4453a!8m2!3d-7.252782!4d112.7670666!16s%2Fg%2F11c325y6rd?authuser=0&amp;hl=en&amp;entry=ttu&amp;g_ep=EgoyMDI2MDYwMy4xIKXMDSoASAFQAw%3D%3D</t>
  </si>
  <si>
    <t>https://www.google.com/maps/place/Sentra+Wisata+Kuliner+Terminal+Kasuari/data=!4m7!3m6!1s0x2dd7f9160986886d:0xa9e35c285a33cbcc!8m2!3d-7.2355364!4d112.7362948!16s%2Fg%2F11hyp21_4c!19sChIJbYiGCRb51y0RzMszWihc46k?authuser=0&amp;hl=en&amp;rclk=1</t>
  </si>
  <si>
    <t>Warung Kuning</t>
  </si>
  <si>
    <t>https://www.google.com/maps/place/Warung+Kuning/data=!4m7!3m6!1s0x2dd7fbb5316dd829:0xbbd99620398a695d!8m2!3d-7.2877322!4d112.7624485!16s%2Fg%2F11b6xgd_g2!19sChIJKdhtMbX71y0RXWmKOSCW2bs?authuser=0&amp;hl=en&amp;rclk=1</t>
  </si>
  <si>
    <t>SWK Klampis Ngasem</t>
  </si>
  <si>
    <t>{'lat': -7.2870201, 'lng': 112.7805159}</t>
  </si>
  <si>
    <t>https://www.google.com/maps/place/SWK+Klampis+Ngasem/@-7.2870201,112.7805159,17z/data=!3m1!4b1!4m6!3m5!1s0x2dd7fa472d362b93:0x5fe0b4429f152ee9!8m2!3d-7.2870201!4d112.7805159!16s%2Fg%2F11f1jxmpn9?authuser=0&amp;hl=en&amp;entry=ttu&amp;g_ep=EgoyMDI2MDYwMy4xIKXMDSoASAFQAw%3D%3D</t>
  </si>
  <si>
    <t>Soto Ambengan Pak Sadi</t>
  </si>
  <si>
    <t>Soto ayam restaurant</t>
  </si>
  <si>
    <t>https://www.google.com/maps/place/Soto+Ambengan+Pak+Sadi/data=!4m7!3m6!1s0x2dd7f96f446fb757:0x273fae11209f7aca!8m2!3d-7.255663!4d112.7450153!16s%2Fg%2F1hdzfvdmf!19sChIJV7dvRG_51y0RynqfIBGuPyc?authuser=0&amp;hl=en&amp;rclk=1</t>
  </si>
  <si>
    <t>https://www.google.com/maps/place/Wisata+Kuliner+PELANGI+NUSANTARA/data=!4m7!3m6!1s0x2dd7fbb9e139cc13:0x6281114b11f86c56!8m2!3d-7.2709262!4d112.7352418!16s%2Fg%2F11rqs71_31!19sChIJE8w54bn71y0RVmz4EUsRgWI?authuser=0&amp;hl=en&amp;rclk=1</t>
  </si>
  <si>
    <t>Sentra Wisata Kuliner Semolowaru</t>
  </si>
  <si>
    <t>{'lat': -7.3007976, 'lng': 112.7799566}</t>
  </si>
  <si>
    <t>https://www.google.com/maps/place/Sentra+Wisata+Kuliner+Semolowaru/@-7.3007976,112.7799566,17z/data=!3m1!4b1!4m6!3m5!1s0x2dd7fa59583643ad:0x9156b117d556b500!8m2!3d-7.3007976!4d112.7799566!16s%2Fg%2F11bw_53_1g?authuser=0&amp;hl=en&amp;entry=ttu&amp;g_ep=EgoyMDI2MDYwMy4xIKXMDSoASAFQAw%3D%3D</t>
  </si>
  <si>
    <t>{'lat': -7.2588538, 'lng': 112.7416521}</t>
  </si>
  <si>
    <t>https://www.google.com/maps/place/Wisata+Kuliner+Pasar+Genteng/@-7.2588538,112.7416521,17z/data=!3m1!4b1!4m6!3m5!1s0x2dd7f949d317e533:0x911d84da2720187e!8m2!3d-7.2588538!4d112.7416521!16s%2Fg%2F11f6ycry0k?authuser=0&amp;hl=en&amp;entry=ttu&amp;g_ep=EgoyMDI2MDYwMy4xIKXMDSoASAFQAw%3D%3D</t>
  </si>
  <si>
    <t>Empal Pengampon</t>
  </si>
  <si>
    <t>https://www.google.com/maps/place/Empal+Pengampon/data=!4m7!3m6!1s0x2dd7f9132d273a15:0xf355c54ff83938aa!8m2!3d-7.2470413!4d112.747019!16s%2Fg%2F1hc17lb1_!19sChIJFTonLRP51y0Rqjg5-E_FVfM?authuser=0&amp;hl=en&amp;rclk=1</t>
  </si>
  <si>
    <t>Wisata Kuliner Tanah Merah</t>
  </si>
  <si>
    <t>https://www.google.com/maps/place/Wisata+Kuliner+Tanah+Merah/data=!4m7!3m6!1s0x2dd7f9ab60aa8085:0x305de8d002dd4d1a!8m2!3d-7.2266081!4d112.7684107!16s%2Fg%2F11cjj09sbv!19sChIJhYCqYKv51y0RGk3dAtDoXTA?authuser=0&amp;hl=en&amp;rclk=1</t>
  </si>
  <si>
    <t>Cozy hangout with a relaxed vibe serving a wide variety of creative frozen treats.</t>
  </si>
  <si>
    <t>https://www.google.com/maps/place/Zangrandi+Ice+Cream+-+Yos+Sudarso/data=!4m7!3m6!1s0x2dd7f963c5e023b5:0x1c6d9f1e4bb8fbbb!8m2!3d-7.2634139!4d112.7461219!16s%2Fg%2F1hc15fzln!19sChIJtSPgxWP51y0Ru_u4Sx6fbRw?authuser=0&amp;hl=en&amp;rclk=1</t>
  </si>
  <si>
    <t>Sentra Wisata Kuliner (SWK) PEGIRIAN</t>
  </si>
  <si>
    <t>{'lat': -7.2287568, 'lng': 112.7456364}</t>
  </si>
  <si>
    <t>https://www.google.com/maps/place/Sentra+Wisata+Kuliner+(SWK)+PEGIRIAN/@-7.2287568,112.7456364,17z/data=!3m1!4b1!4m6!3m5!1s0x2dd7f9d207616671:0x7701b927a73ded41!8m2!3d-7.2287568!4d112.7456364!16s%2Fg%2F11hzm043g6?authuser=0&amp;hl=en&amp;entry=ttu&amp;g_ep=EgoyMDI2MDYwMy4xIKXMDSoASAFQAw%3D%3D</t>
  </si>
  <si>
    <t>https://www.google.com/maps/place/Sentra+Kuliner+RMI/data=!4m7!3m6!1s0x2dd7fbb0dca5f7c1:0xed69f649c1f79788!8m2!3d-7.295064!4d112.7612661!16s%2Fg%2F11bwfl4z6n!19sChIJwfel3LD71y0RiJf3wUn2ae0?authuser=0&amp;hl=en&amp;rclk=1</t>
  </si>
  <si>
    <t>Sentra Wisata Kuliner Ketintang</t>
  </si>
  <si>
    <t>{'lat': -7.3185238, 'lng': 112.7295739}</t>
  </si>
  <si>
    <t>https://www.google.com/maps/place/Sentra+Wisata+Kuliner+Ketintang/@-7.3185238,112.7295739,17z/data=!3m1!4b1!4m6!3m5!1s0x2dd7fb6fd1f49689:0xaa3ac49d4d092f61!8m2!3d-7.3185238!4d112.7295739!16s%2Fg%2F11cm0scc0k?authuser=0&amp;hl=en&amp;entry=ttu&amp;g_ep=EgoyMDI2MDYwMy4xIKXMDSoASAFQAw%3D%3D</t>
  </si>
  <si>
    <t>https://www.google.com/maps/place/Sentra+Wisata+Kuliner+Indrapura/data=!4m7!3m6!1s0x2dd7f93eea7b3f93:0xcc4ae4320a69f8c0!8m2!3d-7.2438092!4d112.7364089!16s%2Fg%2F11cp7lth17!19sChIJkz976j751y0RwPhpCjLkSsw?authuser=0&amp;hl=en&amp;rclk=1</t>
  </si>
  <si>
    <t>https://www.google.com/maps/place/Sentra+Wisata+Kuliner+Manukan+Lor/data=!4m7!3m6!1s0x2dd7fe630796250b:0x163b7ff9d7a96d83!8m2!3d-7.2594155!4d112.6633096!16s%2Fg%2F11bztf67d6!19sChIJCyWWB2P-1y0Rg22p1_l_OxY?authuser=0&amp;hl=en&amp;rclk=1</t>
  </si>
  <si>
    <t>{'lat': -7.3138735, 'lng': 112.7006293}</t>
  </si>
  <si>
    <t>https://www.google.com/maps/place/Wisata+Kuliner+Jajar+Tunggal+Surabaya/@-7.3138735,112.7006293,17z/data=!3m1!4b1!4m6!3m5!1s0x2dd7fc8b73ebe583:0xebfbce1eacc9db20!8m2!3d-7.3138735!4d112.7006293!16s%2Fg%2F11bx4bcq6z?authuser=0&amp;hl=en&amp;entry=ttu&amp;g_ep=EgoyMDI2MDYwMy4xIKXMDSoASAFQAw%3D%3D</t>
  </si>
  <si>
    <t>Lontong Kupang Bu Wito</t>
  </si>
  <si>
    <t>https://www.google.com/maps/place/Lontong+Kupang+Bu+Wito/data=!4m7!3m6!1s0x2dd7fb1c3e42e9df:0x75ad63c35cf94c09!8m2!3d-7.3206474!4d112.7586813!16s%2Fg%2F11cmff_f4b!19sChIJ3-lCPhz71y0RCUz5XMNjrXU?authuser=0&amp;hl=en&amp;rclk=1</t>
  </si>
  <si>
    <t>ETC (Entertainment Town Center)</t>
  </si>
  <si>
    <t>{'lat': -7.3129219, 'lng': 112.7067429}</t>
  </si>
  <si>
    <t>https://www.google.com/maps/place/ETC+(Entertainment+Town+Center)/@-7.3129219,112.7067429,17z/data=!3m1!4b1!4m6!3m5!1s0x2dd7fc868ee38c89:0xbcb1affdceae7e38!8m2!3d-7.3129219!4d112.7067429!16s%2Fg%2F11fd72c34_?authuser=0&amp;hl=en&amp;entry=ttu&amp;g_ep=EgoyMDI2MDYwMy4xIKXMDSoASAFQAw%3D%3D</t>
  </si>
  <si>
    <t>https://www.google.com/maps/place/Nasi+Cumi+Pasar+Atom+Ibu+Atun/data=!4m7!3m6!1s0x2dd7f916c0386219:0x6208b23019ab88c5!8m2!3d-7.2406074!4d112.7436269!16s%2Fg%2F11b6d75vkh!19sChIJGWI4wBb51y0RxYirGTCyCGI?authuser=0&amp;hl=en&amp;rclk=1</t>
  </si>
  <si>
    <t>Sentra Wisata Kuliner Penjaringan Sari</t>
  </si>
  <si>
    <t>https://www.google.com/maps/place/Sentra+Wisata+Kuliner+Penjaringan+Sari/data=!4m7!3m6!1s0x2dd7fbf273895c7d:0x84edb54b4015d558!8m2!3d-7.3221139!4d112.7839191!16s%2Fg%2F11smh6k2yp!19sChIJfVyJc_L71y0RWNUVQEu17YQ?authuser=0&amp;hl=en&amp;rclk=1</t>
  </si>
  <si>
    <t>Cafeteria</t>
  </si>
  <si>
    <t>{'lat': -7.268225, 'lng': 112.6652151}</t>
  </si>
  <si>
    <t>https://www.google.com/maps/place/Wisata+Kuliner+Malam+Surabaya/@-7.268225,112.6652151,17z/data=!3m1!4b1!4m6!3m5!1s0x2dd7fe7e4af91e69:0x8cbf07926f00c7e3!8m2!3d-7.268225!4d112.6652151!16s%2Fg%2F11dxkw4zbm?authuser=0&amp;hl=en&amp;entry=ttu&amp;g_ep=EgoyMDI2MDYwMy4xIKXMDSoASAFQAw%3D%3D</t>
  </si>
  <si>
    <t>Lontong Balap Rajawali</t>
  </si>
  <si>
    <t>https://www.google.com/maps/place/Lontong+Balap+Rajawali/data=!4m7!3m6!1s0x2dd7f92323cea88f:0x4eb4c0a88bb143a2!8m2!3d-7.2357576!4d112.7350678!16s%2Fg%2F1pzwn297r!19sChIJj6jOIyP51y0RokOxi6jAtE4?authuser=0&amp;hl=en&amp;rclk=1</t>
  </si>
  <si>
    <t>Depot Bu Rudy Anjasmoro</t>
  </si>
  <si>
    <t>https://www.google.com/maps/place/Depot+Bu+Rudy+Anjasmoro/data=!4m7!3m6!1s0x2dd7fc0eee0d4e31:0x1a0258150efbd999!8m2!3d-7.2586366!4d112.7288035!16s%2Fg%2F1hc4hbb9v!19sChIJMU4N7g781y0Rmdn7DhVYAho?authuser=0&amp;hl=en&amp;rclk=1</t>
  </si>
  <si>
    <t>Sentra Wisata Kuliner Wonorejo</t>
  </si>
  <si>
    <t>{'lat': -7.312417, 'lng': 112.7887406}</t>
  </si>
  <si>
    <t>https://www.google.com/maps/place/Sentra+Wisata+Kuliner+Wonorejo/@-7.312417,112.7887406,17z/data=!3m1!4b1!4m6!3m5!1s0x2dd7fa8d1db0c63b:0x6ebf219096165b95!8m2!3d-7.312417!4d112.7887406!16s%2Fg%2F11ggbrkqhp?authuser=0&amp;hl=en&amp;entry=ttu&amp;g_ep=EgoyMDI2MDYwMy4xIKXMDSoASAFQAw%3D%3D</t>
  </si>
  <si>
    <t>Nasi Babat Pegirian</t>
  </si>
  <si>
    <t>https://www.google.com/maps/place/Nasi+Babat+Pegirian/data=!4m7!3m6!1s0x2dd7f91df9900001:0x9a2efc279eb74131!8m2!3d-7.2269964!4d112.7455875!16s%2Fg%2F11f03m_n2q!19sChIJAQCQ-R351y0RMUG3nif8Lpo?authuser=0&amp;hl=en&amp;rclk=1</t>
  </si>
  <si>
    <t>Traditional cuisine served in an old-fashioned restaurant with a family-friendly vibe.</t>
  </si>
  <si>
    <t>{'lat': -7.2926497, 'lng': 112.6545787}</t>
  </si>
  <si>
    <t>https://www.google.com/maps/place/Kahyangan+Resto/@-7.2926497,112.6545787,17z/data=!3m1!4b1!4m6!3m5!1s0x2dd7fdb810b4e1d3:0x656c90b84eb5f01f!8m2!3d-7.2926497!4d112.6545787!16s%2Fg%2F1hhnf_gmx?authuser=0&amp;hl=en&amp;entry=ttu&amp;g_ep=EgoyMDI2MDYwMy4xIKXMDSoASAFQAw%3D%3D</t>
  </si>
  <si>
    <t>https://www.google.com/maps/place/Makan+Kitchen+Surabaya/data=!4m7!3m6!1s0x2dd7f90ad1df2373:0x25deb57115e7d4f6!8m2!3d-7.2569375!4d112.7365341!16s%2Fg%2F11n0rt2d9n!19sChIJcyPf0Qr51y0R9tTnFXG13iU?authuser=0&amp;hl=en&amp;rclk=1</t>
  </si>
  <si>
    <t>Buffet restaurant</t>
  </si>
  <si>
    <t>https://www.google.com/maps/place/Arumanis+Restaurant/data=!4m7!3m6!1s0x2dd7fbde78bbd497:0x855e861ef7d59ea6!8m2!3d-7.2714753!4d112.7406384!16s%2Fg%2F1tg841mt!19sChIJl9S7eN771y0Rpp7V9x6GXoU?authuser=0&amp;hl=en&amp;rclk=1</t>
  </si>
  <si>
    <t>Handayani Garden</t>
  </si>
  <si>
    <t>Tempat makan veteran yg menyajikan aneka hidangan khas Indonesia dengan resep kuno dan berkualitas.</t>
  </si>
  <si>
    <t>Thai restaurant</t>
  </si>
  <si>
    <t>https://www.google.com/maps/place/Handayani+Garden/data=!4m7!3m6!1s0x2dd7fb0463db3855:0xf278576ae90ad61e!8m2!3d-7.314033!4d112.756009!16s%2Fg%2F1tf138vp!19sChIJVTjbYwT71y0RHtYK6WpXePI?authuser=0&amp;hl=en&amp;rclk=1</t>
  </si>
  <si>
    <t>Wapo Resto - Airlangga</t>
  </si>
  <si>
    <t>Nasi goreng restaurant</t>
  </si>
  <si>
    <t>https://www.google.com/maps/place/Wapo+Resto+-+Airlangga/data=!4m7!3m6!1s0x2dd7fbd486736e29:0x703f50fba3cdfe7e!8m2!3d-7.2705024!4d112.7602896!16s%2Fg%2F11gzwlgp9!19sChIJKW5zhtT71y0Rfv7No_tQP3A?authuser=0&amp;hl=en&amp;rclk=1</t>
  </si>
  <si>
    <t>Sundanese restaurant</t>
  </si>
  <si>
    <t>{'lat': -7.2671284, 'lng': 112.7526298}</t>
  </si>
  <si>
    <t>https://www.google.com/maps/place/Gubug+Makan+Mang+Engking+Gubeng+Surabaya/@-7.2671284,112.7526298,17z/data=!3m1!4b1!4m6!3m5!1s0x2dd7fb27e4e5d3f5:0x1f44be80d59668d1!8m2!3d-7.2671284!4d112.7526298!16s%2Fg%2F11tmdwt8wm?authuser=0&amp;hl=en&amp;entry=ttu&amp;g_ep=EgoyMDI2MDYwMy4xIKXMDSoASAFQAw%3D%3D</t>
  </si>
  <si>
    <t>Boncafأ© - Pregolan</t>
  </si>
  <si>
    <t>Steak house</t>
  </si>
  <si>
    <t>https://www.google.com/maps/place/Boncaf%C3%A9+-+Pregolan/data=!4m7!3m6!1s0x2dd7fbdff0da1b6b:0x8445a0ff1627a868!8m2!3d-7.2661868!4d112.7397954!16s%2Fg%2F1tfvw7xk!19sChIJaxva8N_71y0RaKgnFv-gRYQ?authuser=0&amp;hl=en&amp;rclk=1</t>
  </si>
  <si>
    <t>{'lat': -7.2674503, 'lng': 112.7700431}</t>
  </si>
  <si>
    <t>https://www.google.com/maps/place/Depot+Bu+Rudy+Dharmahusada/@-7.2674503,112.7700431,17z/data=!3m1!4b1!4m6!3m5!1s0x2dd7f9fdfa4dc9cd:0x73513935dae2989e!8m2!3d-7.2674503!4d112.7700431!16s%2Fg%2F1hd_3mf8w?authuser=0&amp;hl=en&amp;entry=ttu&amp;g_ep=EgoyMDI2MDYwMy4xIKXMDSoASAFQAw%3D%3D</t>
  </si>
  <si>
    <t>Bon Ami Restaurant</t>
  </si>
  <si>
    <t>Family restaurant</t>
  </si>
  <si>
    <t>{'lat': -7.2688889, 'lng': 112.7386167}</t>
  </si>
  <si>
    <t>https://www.google.com/maps/place/Bon+Ami+Restaurant/@-7.2688889,112.7386167,17z/data=!3m1!4b1!4m6!3m5!1s0x2dd7fbe070dfeeb9:0xdfcb535c3b2dafb1!8m2!3d-7.2688889!4d112.7386167!16s%2Fg%2F11bbrg6ygg?authuser=0&amp;hl=en&amp;entry=ttu&amp;g_ep=EgoyMDI2MDYwMy4xIKXMDSoASAFQAw%3D%3D</t>
  </si>
  <si>
    <t>{'lat': -7.2715355, 'lng': 112.7473151}</t>
  </si>
  <si>
    <t>https://www.google.com/maps/place/de+Soematra+1910/@-7.2715355,112.7473151,17z/data=!3m1!4b1!4m6!3m5!1s0x2dd7fbd97d105b21:0xf5bb90ede92d68bb!8m2!3d-7.2715355!4d112.7473151!16s%2Fg%2F1q5cccjym?authuser=0&amp;hl=en&amp;entry=ttu&amp;g_ep=EgoyMDI2MDYwMy4xIKXMDSoASAFQAw%3D%3D</t>
  </si>
  <si>
    <t>Domicile Kitchen Lounge</t>
  </si>
  <si>
    <t>Stylish, relaxed hangout prepping Western-Eastern fusion cuisine &amp; cocktails, with a garden &amp; pond.</t>
  </si>
  <si>
    <t>Western restaurant</t>
  </si>
  <si>
    <t>{'lat': -7.2692707, 'lng': 112.7501173}</t>
  </si>
  <si>
    <t>https://www.google.com/maps/place/Domicile+Kitchen+Lounge/@-7.2692707,112.7501173,17z/data=!3m1!4b1!4m6!3m5!1s0x2dd7fbd9ce98e1fd:0x7d23e2e7537c2996!8m2!3d-7.2692707!4d112.7501173!16s%2Fg%2F11b6cq5n94?authuser=0&amp;hl=en&amp;entry=ttu&amp;g_ep=EgoyMDI2MDYwMy4xIKXMDSoASAFQAw%3D%3D</t>
  </si>
  <si>
    <t>Elegant Indonesian restaurant with plush cream dأ©cor in a Dutch colonialâ€“style building.</t>
  </si>
  <si>
    <t>https://www.google.com/maps/place/Kayanna+Restaurant/data=!4m7!3m6!1s0x2dd7fbe9e37e81b5:0xa250c4c9d19b4986!8m2!3d-7.2815035!4d112.739176!16s%2Fg%2F11gbf63r7d!19sChIJtYF-4-n71y0Rhkmb0cnEUKI?authuser=0&amp;hl=en&amp;rclk=1</t>
  </si>
  <si>
    <t>Buzzy, contemporary kitchen serving steak, classic sides &amp; creative desserts in a roomy setting.</t>
  </si>
  <si>
    <t>{'lat': -7.2805581, 'lng': 112.7688904}</t>
  </si>
  <si>
    <t>https://www.google.com/maps/place/Steak+Hut/@-7.2805581,112.7688904,17z/data=!3m1!4b1!4m6!3m5!1s0x2dd7fa33fe284d53:0x9a47414476a6b583!8m2!3d-7.2805581!4d112.7688904!16s%2Fg%2F1jkxfg17t?authuser=0&amp;hl=en&amp;entry=ttu&amp;g_ep=EgoyMDI2MDYwMy4xIKXMDSoASAFQAw%3D%3D</t>
  </si>
  <si>
    <t>Tempat makan yg menyajikan ayam bakar khas jawa, pepes bandeng tanpa duri, penyetan, dan lainnya.</t>
  </si>
  <si>
    <t>Chicken restaurant</t>
  </si>
  <si>
    <t>https://www.google.com/maps/place/Ayam+Bakar+Primarasa/data=!4m7!3m6!1s0x2dd7f97b35223aa7:0x431ce026cf122eb4!8m2!3d-7.2600547!4d112.7510125!16s%2Fg%2F1w0r26zx!19sChIJpzoiNXv51y0RtC4SzybgHEM?authuser=0&amp;hl=en&amp;rclk=1</t>
  </si>
  <si>
    <t>Layar Seafood KH Abdul Wahab Siamin</t>
  </si>
  <si>
    <t>{'lat': -7.2937027, 'lng': 112.707384}</t>
  </si>
  <si>
    <t>https://www.google.com/maps/place/Layar+Seafood+KH+Abdul+Wahab+Siamin/@-7.2937027,112.707384,17z/data=!3m1!4b1!4m6!3m5!1s0x2dd7fc7a4e47c44d:0x4daf76d21ed7ac8e!8m2!3d-7.2937027!4d112.707384!16s%2Fg%2F1hm5d8pc0?authuser=0&amp;hl=en&amp;entry=ttu&amp;g_ep=EgoyMDI2MDYwMy4xIKXMDSoASAFQAw%3D%3D</t>
  </si>
  <si>
    <t>Sky 36 Restaurant</t>
  </si>
  <si>
    <t>Tempat makan yg cozy dan elegan dengan pemandangan kota Surabaya, menyajikan menu yg fancy dan unik.</t>
  </si>
  <si>
    <t>{'lat': -7.269212, 'lng': 112.749755}</t>
  </si>
  <si>
    <t>https://www.google.com/maps/place/Sky+36+Restaurant/@-7.269212,112.749755,17z/data=!3m1!4b1!4m6!3m5!1s0x2dd7fbd8359cb981:0x84cea495f21be5c1!8m2!3d-7.269212!4d112.749755!16s%2Fg%2F11b7ys8t_z?authuser=0&amp;hl=en&amp;entry=ttu&amp;g_ep=EgoyMDI2MDYwMy4xIKXMDSoASAFQAw%3D%3D</t>
  </si>
  <si>
    <t>https://www.google.com/maps/place/Dining+Club/data=!4m7!3m6!1s0x2dd7fbcca0de2fc5:0x31cb3e65f32c26be!8m2!3d-7.2732746!4d112.7466362!16s%2Fg%2F11rw7m2tqn!19sChIJxS_eoMz71y0RviYs82U-yzE?authuser=0&amp;hl=en&amp;rclk=1</t>
  </si>
  <si>
    <t>{'lat': -7.2995063, 'lng': 112.6636811}</t>
  </si>
  <si>
    <t>https://www.google.com/maps/place/Steak+Lab+SteakHouse/@-7.2995063,112.6636811,17z/data=!3m1!4b1!4m6!3m5!1s0x2dd7fb6d552a2bc7:0xa54f870fe5bcbbc7!8m2!3d-7.2995063!4d112.6636811!16s%2Fg%2F11k6xv0l8x?authuser=0&amp;hl=en&amp;entry=ttu&amp;g_ep=EgoyMDI2MDYwMy4xIKXMDSoASAFQAw%3D%3D</t>
  </si>
  <si>
    <t>{'lat': -7.286211, 'lng': 112.6992675}</t>
  </si>
  <si>
    <t>https://www.google.com/maps/place/209+Dining/@-7.286211,112.6992675,17z/data=!3m1!4b1!4m6!3m5!1s0x2dd7fd77c7915e29:0x4979b3c45f4f2d36!8m2!3d-7.286211!4d112.6992675!16s%2Fg%2F11ghq03zqp?authuser=0&amp;hl=en&amp;entry=ttu&amp;g_ep=EgoyMDI2MDYwMy4xIKXMDSoASAFQAw%3D%3D</t>
  </si>
  <si>
    <t>{'lat': -7.2901625, 'lng': 112.6751242}</t>
  </si>
  <si>
    <t>https://www.google.com/maps/place/Magnolia+Restaurant+At+Westin+Surabaya/@-7.2901625,112.6751242,17z/data=!3m1!4b1!4m6!3m5!1s0x2dd7fdde0a5f0723:0x19bfe1288733e697!8m2!3d-7.2901625!4d112.6751242!16s%2Fg%2F11qqf9vnt1?authuser=0&amp;hl=en&amp;entry=ttu&amp;g_ep=EgoyMDI2MDYwMy4xIKXMDSoASAFQAw%3D%3D</t>
  </si>
  <si>
    <t>Layar Seafood Manyar Kertoarjo</t>
  </si>
  <si>
    <t>{'lat': -7.2794916, 'lng': 112.7665996}</t>
  </si>
  <si>
    <t>https://www.google.com/maps/place/Layar+Seafood+Manyar+Kertoarjo/@-7.2794916,112.7665996,17z/data=!3m1!4b1!4m6!3m5!1s0x2dd7fbd2330b9919:0x9b82ea9e3b785a9a!8m2!3d-7.2794916!4d112.7665996!16s%2Fg%2F11rfcvqdl3?authuser=0&amp;hl=en&amp;entry=ttu&amp;g_ep=EgoyMDI2MDYwMy4xIKXMDSoASAFQAw%3D%3D</t>
  </si>
  <si>
    <t>Roomy digs in the Sheraton Surabaya serving eclectic global fare including sushi, salads &amp; satay.</t>
  </si>
  <si>
    <t>https://www.google.com/maps/place/Kafe+Bromo/data=!4m7!3m6!1s0x2dd7f95de34fc8fd:0x839ba953e7c613c0!8m2!3d-7.262976!4d112.7380948!16s%2Fg%2F11cfbkq9t!19sChIJ_chP41351y0RwBPG51Opm4M?authuser=0&amp;hl=en&amp;rclk=1</t>
  </si>
  <si>
    <t>https://www.google.com/maps/place/THE+SOCIALITE+SURABAYA/data=!4m7!3m6!1s0x2dd7fb93a5777e8f:0x302d356d422c95c5!8m2!3d-7.2906759!4d112.7308801!16s%2Fg%2F11c2nc6p6l!19sChIJj353pZP71y0RxZUsQm01LTA?authuser=0&amp;hl=en&amp;rclk=1</t>
  </si>
  <si>
    <t>Cocari</t>
  </si>
  <si>
    <t>Diners cook their own unlimited portions of Japanese-style BBQ &amp; hot pot at this lively eatery.</t>
  </si>
  <si>
    <t>Barbecue restaurant</t>
  </si>
  <si>
    <t>{'lat': -7.2895816, 'lng': 112.7312155}</t>
  </si>
  <si>
    <t>https://www.google.com/maps/place/Cocari/@-7.2895816,112.7312155,17z/data=!3m1!4b1!4m6!3m5!1s0x2dd7fb931279f64d:0x977f710c4438a4ac!8m2!3d-7.2895816!4d112.7312155!16s%2Fg%2F1tdv38xz?authuser=0&amp;hl=en&amp;entry=ttu&amp;g_ep=EgoyMDI2MDYwMy4xIKXMDSoASAFQAw%3D%3D</t>
  </si>
  <si>
    <t>https://www.google.com/maps/place/Dapoer+Kecombrang+Surabaya+-+Wonorejo+Timur/data=!4m7!3m6!1s0x2dd7fbee5ba8f4b5:0x6a10af46e1a2f22f!8m2!3d-7.3089034!4d112.7886546!16s%2Fg%2F11qmcbnhy3!19sChIJtfSoW-771y0RL_Ki4UavEGo?authuser=0&amp;hl=en&amp;rclk=1</t>
  </si>
  <si>
    <t>Warm spot offering classic pasta, Neapolitan pizzas &amp; grilled meats, plus Italian-style desserts.</t>
  </si>
  <si>
    <t>Italian restaurant</t>
  </si>
  <si>
    <t>{'lat': -7.2813385, 'lng': 112.7354883}</t>
  </si>
  <si>
    <t>https://www.google.com/maps/place/Ciccia+Ristorante+-+Italian+Restaurant+and+Steak+House/@-7.2813385,112.7354883,17z/data=!3m1!4b1!4m6!3m5!1s0x2dd7fbf97663caad:0x902060f91f9c9ce!8m2!3d-7.2813385!4d112.7354883!16s%2Fg%2F11qz7zfdw3?authuser=0&amp;hl=en&amp;entry=ttu&amp;g_ep=EgoyMDI2MDYwMy4xIKXMDSoASAFQAw%3D%3D</t>
  </si>
  <si>
    <t>Hanamasa Gubeng Surabaya</t>
  </si>
  <si>
    <t>Japanese restaurant</t>
  </si>
  <si>
    <t>https://www.google.com/maps/place/Hanamasa+Gubeng+Surabaya/data=!4m7!3m6!1s0x2dd7fbd9bc33de5b:0xb451f4017cc04153!8m2!3d-7.2658483!4d112.7514572!16s%2Fg%2F1tjwl1bf!19sChIJW94zvNn71y0RU0HAfAH0UbQ?authuser=0&amp;hl=en&amp;rclk=1</t>
  </si>
  <si>
    <t>Pulau Sentosa Seafood Market</t>
  </si>
  <si>
    <t>{'lat': -7.2846868, 'lng': 112.7385554}</t>
  </si>
  <si>
    <t>https://www.google.com/maps/place/Pulau+Sentosa+Seafood+Market/@-7.2846868,112.7385554,17z/data=!3m1!4b1!4m6!3m5!1s0x2dd7fb5d8c443b2f:0x9e8ed927b27455c8!8m2!3d-7.2846868!4d112.7385554!16s%2Fg%2F11tcgrdwjf?authuser=0&amp;hl=en&amp;entry=ttu&amp;g_ep=EgoyMDI2MDYwMy4xIKXMDSoASAFQAw%3D%3D</t>
  </si>
  <si>
    <t>https://www.google.com/maps/place/Sansekerta+-+The+Authentic+Taste+Of+Indonesia/data=!4m7!3m6!1s0x2dd7f964852dc18b:0x25c2a828000aadff!8m2!3d-7.2611209!4d112.7486801!16s%2Fg%2F11f5dz5xms!19sChIJi8EthWT51y0R_60KACiowiU?authuser=0&amp;hl=en&amp;rclk=1</t>
  </si>
  <si>
    <t>Place_Id</t>
  </si>
  <si>
    <t>Cagar Alam</t>
  </si>
  <si>
    <t>{'lat': -7.308648199999999, 'lng': 112.8216622}</t>
  </si>
  <si>
    <t>{'lat': -7.2952211, 'lng': 112.8035603}</t>
  </si>
  <si>
    <t>Taman Hiburan</t>
  </si>
  <si>
    <t>{'lat': -7.2356933, 'lng': 112.7955234}</t>
  </si>
  <si>
    <t>{'lat': -7.2614722, 'lng': 112.7428284}</t>
  </si>
  <si>
    <t>Budaya</t>
  </si>
  <si>
    <t>{'lat': -7.2654304, 'lng': 112.7503052}</t>
  </si>
  <si>
    <t>{'lat': -7.318220199999999, 'lng': 112.7842405}</t>
  </si>
  <si>
    <t>{'lat': -7.266213899999999, 'lng': 112.795281}</t>
  </si>
  <si>
    <t>{'lat': -7.3275604, 'lng': 112.7312242}</t>
  </si>
  <si>
    <t>{'lat': -7.294190899999999, 'lng': 112.8017238}</t>
  </si>
  <si>
    <t>{'lat': -7.2732153, 'lng': 112.744102}</t>
  </si>
  <si>
    <t>Food Junction Grand Pakuwon sebetulnya merupakan suatu pujasera dengan konsep yang sedikit berbeda dengan tempat lainnya. Tempatnya yang terletak di area Tandes, Surabaya Barat (strategis dengan suasana romantis dan unik) dimana jika dari arah pusat kota hanya membutuhkan waktu 20 menit untuk sampai ke lokasi. Sehingga tidak heran apabila banyak warga Surabaya yang menghabiskan waktu sore hari ditempat ini.</t>
  </si>
  <si>
    <t>{'lat': -7.251022000000003, 'lng': 112.6620053}</t>
  </si>
  <si>
    <t>{'lat': -7.222055899999998, 'lng': 112.7319967}</t>
  </si>
  <si>
    <t>{'lat': -7.252296400000001, 'lng': 112.7966952}</t>
  </si>
  <si>
    <t>{'lat': -7.1968193, 'lng': 112.7324578}</t>
  </si>
  <si>
    <t>{'lat': -7.312365499999999, 'lng': 112.7889021}</t>
  </si>
  <si>
    <t>{'lat': -7.2573072, 'lng': 112.7437199}</t>
  </si>
  <si>
    <t>{'lat': -7.295954599999999, 'lng': 112.7366094}</t>
  </si>
  <si>
    <t>{'lat': -7.278735999999999, 'lng': 112.718453}</t>
  </si>
  <si>
    <t>Tempat Ibadah</t>
  </si>
  <si>
    <t>{'lat': -7.252275399999999, 'lng': 112.7468796}</t>
  </si>
  <si>
    <t>{'lat': -7.336614099999998, 'lng': 112.7151806}</t>
  </si>
  <si>
    <t>{'lat': -7.227185, 'lng': 112.718997}</t>
  </si>
  <si>
    <t>{'lat': -7.2367447, 'lng': 112.7383009}</t>
  </si>
  <si>
    <t>{'lat': -7.2353939, 'lng': 112.7367646}</t>
  </si>
  <si>
    <t>Keraton Surabaya</t>
  </si>
  <si>
    <t>Kawasan yang berjuluk Kampung Keraton ini terdiri dari empat gang. Gang ini rata-rata berukuran sempit, lebarnya 2 hingga 3 meter. Saking sempitnya, pengendara sepeda motor terkadang turun dari kendaraan dan harus berjalan kaki. Sementara, panjang jalan sekitar 200 meter. Memang, tak banyak sisa peninggalan Keraton Surabaya ini. Yang tampak kini adalah sisa bangunan peninggalan kolonial Belanda. Kampung Keraton saat ini merupakan salah satu kawasan perdagangan yang sangat ramai di Surabaya, utamanya di Jalan Kramat Gantung. Segala macam kebutuhan rumah tangga dijual di jalan ini.</t>
  </si>
  <si>
    <t>{'lat': -7.256755299999998, 'lng': 112.7942203}</t>
  </si>
  <si>
    <t>{'lat': -7.246944, 'lng': 112.802222}</t>
  </si>
  <si>
    <t>Museum Sepuluh Nopember Kota Surabaya</t>
  </si>
  <si>
    <t>{'lat': -7.245436900000001, 'lng': 112.7378985}</t>
  </si>
  <si>
    <t>Monumen Tugu Pahlawan</t>
  </si>
  <si>
    <t>Tugu Pahlawan (bahasa Indonesia: Tugu Pahlawan) adalah sebuah monumen di Surabaya, Indonesia. Itu adalah lambang utama kota yang didedikasikan untuk orang-orang yang tewas dalam Pertempuran Surabaya pada 10 November 1945. Museum 10 November terletak di bawah monumen. Monumen ini memiliki tinggi 41,15 meter dan berbentuk lingga. Dibangun untuk memperingati peristiwa 10 November 1945 di Pertempuran Surabaya. Itu adalah tempat setiap 10 November untuk memperingati peristiwa 1945, ketika banyak pahlawan tewas dalam perang kemerdekaan. Peletakan batu pertama dipimpin oleh Soekarno, Presiden Indonesia pertama, didampingi Walikota Surabaya, Doel Arnowo pada 10 November 1951. Diresmikan setahun kemudian, juga oleh Soekarno, pada 10 November 1952 disaksikan oleh Walikota Surabaya, R. Moestadjab Soemowidigdo. Museum 10 November dibangun untuk menjelaskan makna di balik Tugu Pahlawan. Bangunannya terdiri dari 2 lantai, dengan pameran yang melambangkan semangat perjuangan masyarakat Surabaya. Ada auditorium di lantai satu. Museum ini berisi reproduksi foto-foto dokumenter, dan terdapat diorama yang menyajikan delapan peristiwa yang terjadi sekitar bentrokan 10 November 1945.</t>
  </si>
  <si>
    <t>{'lat': -7.246925999999999, 'lng': 112.73781}</t>
  </si>
  <si>
    <t>{'lat': -7.256297200000001, 'lng': 112.7379955}</t>
  </si>
  <si>
    <t>{'lat': -7.195474799999999, 'lng': 112.7395206}</t>
  </si>
  <si>
    <t>{'lat': -7.296049199999999, 'lng': 112.7387012}</t>
  </si>
  <si>
    <t>Bahari</t>
  </si>
  <si>
    <t>{'lat': -7.250916399999999, 'lng': 112.8009332}</t>
  </si>
  <si>
    <t>{'lat': -7.247796300000002, 'lng': 112.7998235}</t>
  </si>
  <si>
    <t>{'lat': -7.2592948, 'lng': 112.7470512}</t>
  </si>
  <si>
    <t>{'lat': -7.2472841, 'lng': 112.8010814}</t>
  </si>
  <si>
    <t>{'lat': -7.267775500000001, 'lng': 112.7443898}</t>
  </si>
  <si>
    <t>{'lat': -7.2516189, 'lng': 112.8009694}</t>
  </si>
  <si>
    <t>{'lat': -7.251604599999999, 'lng': 112.7545983}</t>
  </si>
  <si>
    <t>{'lat': -7.4338593, 'lng': 112.7199058}</t>
  </si>
  <si>
    <t>{'lat': -7.291346799999999, 'lng': 112.7398218}</t>
  </si>
  <si>
    <t>{'lat': -7.2752955, 'lng': 112.7549381}</t>
  </si>
  <si>
    <t>{'lat': -7.294330299999999, 'lng': 112.7617534}</t>
  </si>
  <si>
    <t>Gereja Perawan Maria Tak Berdosa Surabaya</t>
  </si>
  <si>
    <t>{'lat': -7.2420758, 'lng': 112.7368158}</t>
  </si>
  <si>
    <t>Wisata rekreasi dan edukasi di kawasan hutan mangrove seluas ±200 hektar yang dikelola Pemkot Surabaya. Pengunjung dapat berkeliling menggunakan perahu atau berjalan kaki, serta belajar tentang ekosistem mangrove.</t>
  </si>
  <si>
    <t>Hutan Wisata Mangrove Surabaya adalah destinasi yang memadukan kegiatan rekreasi dengan pembelajaran. Kawasan seluas sekitar 200 hektar ini dipenuhi oleh beragam jenis vegetasi bakau. Tempat wisata ini dikelola secara optimal oleh Pemerintah Kota Surabaya, sehingga menarik minat wisatawan karena kondisinya yang tertata dengan baik dan terjaga kebersihannya. Berbagai aktivitas dapat dilakukan oleh pengunjung, seperti menjelajahi hutan mangrove dengan perahu maupun berjalan kaki, serta mengikuti kegiatan edukatif mengenai ekosistem di sekitarnya.</t>
  </si>
  <si>
    <t>Tempat ini adalah Taman Harmoni Keputih Surabaya yang menyuguhkan beragam koleksi bunga berwarna cerah. Pada masa lalu, kawasan ini merupakan tempat pembuangan akhir (TPA), namun kini telah beralih fungsi menjadi destinasi taman wisata yang indah. Tidak hanya memukau, bunga-bunga yang bermekaran di Taman Harmoni juga terlihat sangat fotogenik, sehingga tidak mengherankan jika sebagian besar pengunjungnya didominasi oleh kalangan anak muda pecinta media sosial. Lalu, berapa biaya yang perlu dikeluarkan untuk masuk ke area ini? Tidak perlu cemas, karena tiket masuk ke Taman Harmoni Keputih Surabaya tidak dipungut biaya. Pengunjung hanya perlu menyiapkan sejumlah uang untuk membayar parkir kendaraan.</t>
  </si>
  <si>
    <t>Jembatan Kenjeran dengan pertunjukan air mancur menarinya pada dasarnya tidak hanya berfungsi sebagai penghubung jalan, tetapi juga dimanfaatkan sebagai objek wisata oleh Pemerintah Kota Surabaya. Letak air mancur menari berada di bagian ujung jembatan, tepatnya dekat area dermaga penyeberangan atau kawasan Taman Hiburan Pantai (THP). Tempat ini tergolong ramah bagi penyandang disabilitas karena telah dilengkapi fasilitas lift yang membantu memudahkan akses. Sambil menantikan atraksi air mancur yang memukau di Jembatan Kenjeran, pengunjung dapat menikmati panorama matahari terbenam yang indah dari atas jembatan. Jangan lupa mengabadikan momen dengan latar belakang lautan luas yang menawan. Selain itu, tersedia pula beragam pilihan kuliner khas Jawa Timur yang menggugah selera, karena banyak pedagang kaki lima yang berjualan di sekitar area tersebut. Aneka permainan anak juga tersedia, sehingga anak-anak tidak akan merasa jenuh saat menunggu pertunjukan dimulai. Oleh karena itu, sebaiknya rencanakan waktu kunjungan Anda untuk menyaksikan atraksi air mancur menari Kenjeran ini dan rasakan langsung pesonanya. Pastikan pula kebutuhan transportasi Anda terpenuhi, misalnya dengan menyewa mobil di Surabaya, mengingat layanan transportasi online di kawasan ini masih terbatas pada malam hari.</t>
  </si>
  <si>
    <t>Taman Prestasi Surabaya merupakan salah satu ruang terbuka hijau yang cukup populer di Kota Pahlawan dan kerap dipadati pengunjung. Tidak mengherankan jika tempat ini menjadi destinasi favorit bagi keluarga, terutama saat akhir pekan. Menariknya, di beberapa daerah lain juga terdapat nama tempat yang serupa dengan yang ada di Surabaya. Misalnya, di Bontang, Kalimantan Timur, terdapat stadion yang dikenal dengan nama “Stadion Taman Prestasi”. Selain itu, di Jalan Ahmad Yani, Sukarasa, Kota Tangerang, Banten, juga terdapat sebuah taman dengan nama yang sama, yaitu “Taman Prestasi”. Di Yogyakarta pun terdapat taman dengan konsep yang mirip, yakni “Taman Pintar”.</t>
  </si>
  <si>
    <t>Monumen Kapal Selam, atau disingkat Monkasel, adalah sebuah museum kapal selam yang berada di Embong Kaliasin, Genteng, Surabaya. Terletak di pusat kota, monumen ini sebenarnya merupakan kapal selam KRI Pasopati 410, salah satu armada Angkatan Laut Republik Indonesia buatan Uni Soviet tahun 1952. Kapal selam ini pernah dilibatkan dalam Pertempuran Laut Aru untuk membebaskan Irian Barat dari penjajahan Belanda. Kapal selam ini kemudian dibawa ke daratan dan dijadikan monumen untuk mengenang keberanian pahlawan Indonesia. Monkasel berada di Jalan Pemuda, tepat di samping Plaza Surabaya. Selain bagian dalam kapal selam, di sini juga diadakan penayangan film mengenai proses pertempuran yang terjadi di Laut Aru. Jika ingin mengunjungi tempat wisata ini, maka akan didampingi oleh seorang pemandu lokal yang tersedia di sana. Ada kisah unik di balik keberadaan monumen Kapal Selam ini. Pada suatu malam Pak Drajat Budiyanto yang merupakan mantan KKM KRI Pasopati 410 (buatan Rusia) ini dan juga mantan KKM KRI Cakra 401 (buatan Jerman Barat), bermimpi diperintahkan oleh KSAL pada waktu itu untuk membawa kapal selam ini melintasi Kali Mas. Ternyata mimpi itu menjadi kenyataan. Dia ditugaskan untuk memamerkan kapal selam di samping Surabaya Plaza. Caranya dengan memotong kapal selam ini menjadi beberapa bagian, kemudian diangkut ke darat, dan dirakit serta disambung kembali menjadi kapal selam yang utuh.</t>
  </si>
  <si>
    <t>Taman Kunang–Kunang di Surabaya ini memiliki luas 400 meter persegi dan diresmikan oleh Wali Kota Surabaya, Ibu Tri Rismaharini pada hari Sabtu, 28 Oktober 2010. Lokasi Taman Kunang–Kunang di Surabaya ini berada di Jalan Panjaringan Timur, Panjaringan Sari, Kecamatan Rungkut, Kota Surabaya. Taman Kunang–Kunang di Surabaya ini posisinya tepat berada di antara dua bangunan rumah susun dan terdapat tulisan “Taman Kunang–Kunang” dengan latar belakang putih. Taman Kunang–Kunang di Surabaya memiliki berbagai fasilitas umum yang cukup memadai di antaranya adalah lapangan futsal, lapangan basket, serta area bermain untuk anak-anak. Taman Kunang–Kunang di Surabaya ini telah menjadi area rekreasi di Surabaya untuk semua kalangan, mulai dari anak-anak, remaja, hingga orang dewasa. Bahkan Taman Kunang–Kunang di Surabaya ini juga kerap dikunjungi oleh para lanjut usia.</t>
  </si>
  <si>
    <t>Wisata Taman Buah Undaan di Surabaya merupakan salah satu destinasi wisata yang berlokasi di Blok M Suturejo Utara, Kota Surabaya, Provinsi Jawa Timur, Indonesia. Wisata Taman Buah Undaan di Surabaya adalah tempat rekreasi yang ramai dikunjungi wisatawan baik pada hari biasa maupun saat hari libur. Tempat ini sangat asri dan mampu memberikan pengalaman yang berbeda dari aktivitas kita sehari-hari. Wisata Taman Buah Undaan di Surabaya memiliki daya tarik keindahan yang sangat memikat untuk dikunjungi. Sangat disayangkan jika Anda berada di Kota Surabaya tidak mengunjungi taman wisata yang memiliki keindahan yang luar biasa tersebut. Wisata Taman Buah Undaan di Surabaya sangat cocok untuk mengisi waktu liburan Anda, terutama saat libur panjang seperti hari libur nasional maupun hari libur lainnya. Keindahan Wisata Taman Buah Undaan di Surabaya ini sangatlah baik bagi Anda semua, baik yang berada di sekitar maupun dari luar daerah, untuk datang dan mengunjungi tempat Wisata Taman Buah Undaan di Surabaya di Kota Surabaya.</t>
  </si>
  <si>
    <t>Kalau pelangi umumnya muncul pada siang hari setelah hujan, maka di Taman Pelangi Yogyakarta pengunjung justru dapat menikmatinya setiap malam hari. Ya, hal ini karena taman ini merupakan taman lampion dengan berbagai warna dan bentuk. Dibuka sejak sore, taman ini memang sangat sesuai dijadikan pilihan destinasi hiburan keluarga pada malam hari. Namun karena merupakan taman outdoor atau terbuka, maka waktu paling ideal untuk berkunjung adalah saat cuaca tidak hujan.</t>
  </si>
  <si>
    <t>Surabaya merupakan kota metropolitan terbesar kedua setelah Jakarta. Kepadatan penduduk Surabaya pun tergolong tinggi, dan karena berada di kawasan pesisir, suhu kota terasa cukup terik. Meski demikian, masih terdapat tempat yang sejuk, rindang, dan alami di tengah Kota Surabaya, yaitu Hutan Bambu Surabaya yang berlokasi di Keputih. Mendengar nama “Hutan Bambu”, mungkin yang terbayang adalah kawasan hutan di pedesaan. Namun jangan keliru, di tengah kota pun dapat hadir tempat hijau seperti ini. Suasananya yang alami membuat pengunjung beramai-ramai datang ke lokasi tersebut. Kini, taman rekreasi ini juga sedang menjadi destinasi favorit bagi pengunjung untuk mengisi waktu senggang.</t>
  </si>
  <si>
    <t>Ntah, mengapa nama taman ini disebut dengan Taman Keputran, namun jika dikaitkan dengan lokasi taman, berada di persimpangan Jalan Keputran Surabaya. Selain itu, di seberang sungai juga terdapat sebuah taman yang bernama Taman Lalu Lintas Surabaya. Keunikan Taman Keputran dibandingkan dengan taman lainnya adalah adanya lampu yang rangka tiangnya menyerupai manusia, dengan berbagai pose yang berbeda-beda, sehingga membuat taman ini terlihat memiliki sentuhan kreatif dan inovatif. Lampu-lampu tersebut bercahaya terang dan indah pada malam hari. Oleh karena itu, taman ini cukup cocok sebagai pilihan untuk mendapatkan tempat berkumpul yang tenang di malam hari. Tidak hanya itu, jalur pijat refleksi kaki juga tersedia di sana. Hal ini cocok bagi pengunjung yang ingin mencoba terapi refleksi kaki sederhana. Melalui pemahaman mengenai jalur refleksi secara mendalam, sebagian orang memanfaatkan fasilitas ini sebagai upaya membantu penyembuhan penyakit.</t>
  </si>
  <si>
    <t>Food Junction Grand Pakuwon sebenarnya merupakan sebuah pujasera dengan konsep yang sedikit berbeda dari tempat lainnya. Lokasinya yang berada di kawasan Tandes, Surabaya Barat (strategis dengan suasana romantis dan khas), di mana jika ditempuh dari pusat kota hanya memerlukan waktu sekitar 20 menit untuk tiba di lokasi. Oleh karena itu, tidak mengherankan apabila banyak warga Surabaya yang menghabiskan waktu sore hari di tempat ini.</t>
  </si>
  <si>
    <t>Taman Barunawati yang lokasinya berada di kawasan Surabaya bagian utara. Taman yang satu ini dapat menjadi referensi untuk dikunjungi karena cukup direkomendasikan, terutama bagi warga Surabaya maupun pengunjung dari luar kota. Seperti taman pada umumnya, tempat ini memang menjadi pilihan rekreasi yang paling terjangkau, namun tetap memberikan manfaat tersendiri bagi pengunjung, seperti membuat pikiran menjadi lebih rileks. Selain itu, kita juga dapat mengajak anak atau anggota keluarga yang masih kecil untuk sekadar bermain di area playground yang tersedia di dalam Taman Barunawati. Taman yang diresmikan pada 9 Oktober 2019 tersebut kini kondisinya terlihat indah dan hijau, sehingga mampu menarik perhatian siapa saja yang melintasi Jalan Perak Barat Surabaya. Untuk berkunjung ke taman ini pun tidak perlu mengeluarkan biaya sama sekali, namun pengunjung tetap dapat menikmati pemandangan serta seluruh fasilitas yang tersedia di dalamnya.</t>
  </si>
  <si>
    <t>Kenjeran Park adalah salah satu destinasi wisata modern di Surabaya. Lokasi wisata ini berada tepat di Jalan Sukolilo, Desa Sukolilo Baru, Kecamatan Bulak, Surabaya, Jawa Timur. Sebelumnya, Kenjeran Park adalah tempat yang jorok dan kurang terjaga. Namun, tempat ini kembali terpelihara hingga berubah menjadi destinasi wisata kontemporer di tengah Kota Surabaya. Kenjeran Park terdiri dari beberapa zona wisata yang bisa pengunjung pilih. Bagi yang membawa anak-anak dan gemar berenang, pengunjung bisa mengunjungi Atlantis Land Kenjeran. Lalu, pengunjung juga bisa menyambangi beberapa tempat yang terkenal dari Kenjeran Park. Salah satunya adalah Pagoda Tian Ti. Pagoda Tian Ti ini memiliki desain yang terinspirasi dari Pagoda Tian Tan di Beijing, China. Namun, Pagoda Tian Ti terdiri atas tiga lantai dengan diameter 60 meter dan tinggi 58 meter. Tempat terkenal lainnya adalah Patung Buddha 4 Wajah. Patung Buddha mencapai ketinggian 36 meter. Tempat menarik lainnya yang bisa pengunjung sambangi adalah Klenteng Sanggar Agung. Di klenteng ini, pengunjung bisa menyaksikan patung Dewi Kwan Im dan sepasang naga merah keemasan yang langsung menghadap ke pantai.</t>
  </si>
  <si>
    <t>Surabaya menjadi kota besar yang sering merupakan tujuan wisata. Berbagai lokasi belanja dari tradisional hingga kontemporer tersedia di Ibukota Jawa Timur ini. Namun, apakah tidak jenuh wisata belanja saja di Surabaya? Jika jenuh, datanglah ke Surabaya North Quay, destinasi wisata baru di Surabaya. Surabaya North Quay sebenarnya adalah terminal bagi kapal pesiar mewah yang berlabuh. Namun, tempat ini sengaja ditata supaya dapat menjadi lokasi wisata bagi warga Surabaya dan sekitarnya. Bahkan, tidak sedikit yang berasal dari luar daerah yang penasaran ingin menikmati pemandangan memukau. Lautan lepas dengan kapal pesiar mewah yang berlabuh di terminal ini, menjadi tarikan utama.</t>
  </si>
  <si>
    <t>Meskipun julukannya kebun bibit, namun kawasan ini rasanya lebih sesuai disebut sebagai taman. Kawasan Kebun Bibit Wonorejo ini terbagi menjadi 2 bagian, yaitu Taman Aktif dan Taman Pasif yang keseluruhannya mempunyai luas sebesar 5.9 hektare. Cuaca terik yang bikin panas memang paling nikmat didinginkan dengan berkunjung ke tempat sejuk. Selain mall, taman kota di Surabaya seperti Kebun Bibit Wonorejo ini juga merupakan pilihan yang tepat. Pengunjung akan dimanjakan dengan udara segar. Hal ini karena banyaknya pohon-pohon yang menjulang tinggi.</t>
  </si>
  <si>
    <t>Taman Ekspresi Surabaya tidak hanya menyajikan taman yang rindang dan asri. Taman di Jalan Gentengkali ini juga memiliki fasilitas pendukung berupa perpustakaan di sisi barat. Perpustakaan yang dikelola oleh Dinas Perpustakaan dan Kearsipan Kota Surabaya tersebut memiliki 3.412 koleksi buku. Buku-buku yang ada di perpustakaan sangat komplet dan baru, dari edisi 2009 sampai terkini 2019. Mulai buku bahasa, filsafat, psikologi, agama, matematika, ilmu alam, ilmu sosial, keluarga, teknologi, seni, sastra, geografis, sejarah, hingga bacaan untuk anak-anak.</t>
  </si>
  <si>
    <t>Kebun Binatang Surabaya (KBS) (Dialek Arekan: Kebon Binatang Suroboyo) adalah salah satu kebun hewan yang terkenal di Indonesia dan berada di Surabaya. KBS merupakan kebun satwa yang pernah terlengkap se-Asia Tenggara, di dalamnya terdapat lebih dari 981 jenis satwa yang berbeda yang mencakup lebih dari 2.806 hewan. Termasuk di dalamnya satwa langka Indonesia maupun dunia yang terdiri dari Mamalia, Aves, Reptilia, dan Pisces.</t>
  </si>
  <si>
    <t>Di rumah batik ini terdapat sekitar 2000 lembar kain batik yang memiliki bermacam-macam corak. Berbagai batik tersebut terbuat dari beberapa jenis bahan, yaitu seperti prima, primis, santio, sutra, prishmina, dan sarimpit. Tidak hanya kain batik saja yang dapat anda temukan di rumah batik ini, melainkan juga ada sarung batik, baju batik, celana batik, rok batik, selendang batik, dan lain-lain. Untuk anda yang ingin segera mengunjungi rumah batik di Surabaya ini, berikut informasi lokasi dari rumah batik itu sendiri. Jadi rumah batik tersebut pada mulanya berada di Jalan Tambak, Dukuh 1, No.4, RT.01, RW.09, Kelurahan Kapasari, Kecamatan Genteng, Surabaya. Di tempat ini anda akan melihat beragam batik yang dipajang, yaitu mulai dari batik Surabaya, Bangkalan, Sidoarjo, Sumenep, Mojokerto, Ponorogo, Tuban, Jombang, dan Bojonegoro. Karena koleksi yang dimiliki di rumah batik Surabaya ini sangat variatif, tentu saja membuat banyak pengunjung ingin datang ke lokasi ini. Setelah itu rumah batik ini dipindahkan ke lokasi Jalan Margorejo, No.143, Surabaya.</t>
  </si>
  <si>
    <t>Masjid Cheng Hoo Surabaya adalah masjid bernuansa Muslim Tionghoa yang berada di Jalan Gading, Ketabang, Genteng, Surabaya atau 1.000 m utara Gedung Balaikota Surabaya. Masjid ini didirikan atas inisiatif para sesepuh, penasehat, pengurus PITI, dan pengurus Yayasan Haji Muhammad Cheng Ho Indonesia Jawa Timur serta tokoh masyarakat Tionghoa di Surabaya. Pembangunan masjid ini dimulai dengan peletakan batu pertama 15 Oktober 2001 bertepatan dengan Isra' Mi'raj Nabi Muhammad SAW. Sedangkan pembangunannya baru dilakukan 10 Maret 2002 dan diresmikan pada 13 Oktober 2002. Masjid Cheng Ho, atau juga dikenal dengan nama Masjid Muhammad Cheng Ho Surabaya, ialah bangunan masjid yang menyerupai kelenteng (rumah ibadah umat Tri Dharma). Gedung ini terletak di komplek gedung serbaguna PITI (Pembina Imam Tauhid Islam) Jawa Timur Jalan Gading No.2 (Belakang Taman Makam Pahlawan Kusuma Bangsa), Surabaya. Masjid ini dikuasai warna merah, hijau, dan kuning. Ornamennya kental dengan nuansa Tiongkok klasik. Pintu masuknya berbentuk pagoda, terdapat juga relief naga dan patung singa dari lilin dengan lafaz Allah dalam huruf Arab di puncak pagoda. Di sisi kiri bangunan terdapat sebuah beduk sebagai pelengkap masjid. Selain Surabaya, di Palembang juga telah ada masjid serupa dengan nama Masjid Cheng Ho Palembang atau Masjid Al Islam Muhammad Cheng Hoo Sriwijaya Palembang. Nama masjid ini merupakan bentuk penghormatan pada Cheng Ho, Laksamana asal Cina yang beragama Islam. Dalam perjalanannya di kawasan Asia Tenggara, Cheng Ho bukan hanya berdagang dan menjalin persahabatan, juga menyebarkan agama Islam.</t>
  </si>
  <si>
    <t>Masjid Nasional Al Akbar (atau biasa disebut Masjid Agung Surabaya) ialah masjid terbesar kedua di Indonesia yang berada di Kota Surabaya, Jawa Timur, setelah Masjid Istiqlal di Jakarta. Lokasi masjid ini berada di wilayah Kelurahan Pagesangan, Kecamatan Jambangan, Surabaya dan tepat di sebelah Jalan Tol Surabaya-Gempol. Ciri khas yang mudah dilihat adalah kubahnya yang besar didampingi 4 kubah kecil yang berwarna biru. Serta memiliki satu menara yang tingginya 99 meter. Masjid Nasional Al-Akbar Surabaya dibangun sejak tanggal 4 Agustus 1995, atas gagasan Wali Kota Surabaya saat itu, H. Soenarto Soemoprawiro. Pembangunan masjid ini ditandai dengan peletakan batu pertama oleh Wakil Presiden RI Try Sutrisno. Namun karena krisis moneter, pembangunannya dihentikan sementara. Tahun 1999, masjid ini dibangun kembali dan selesai tahun 2001. Pada 10 November 2000, masjid ini diresmikan oleh Presiden RI KH. Abdurrahman Wahid.</t>
  </si>
  <si>
    <t>Museum Loka Jala Crana didirikan pada tanggal 19 September 1969 oleh Ibu R. Mulyadi, isteri panglima Angkatan Laut Laksamana R. Moeljadi, dengan nama Museum Akabri Laut. Pada tahun 1973, tepatnya tanggal 10 Juli 1973, statusnya dinaikkan menjadi Museum TNI Angkatan Laut. Selanjutnya tanggal 6 Oktober 1979, namanya diubah kembali menjadi Museum TNI Angkatan Laut Loka Jala Crana. Loka Jala Crana berarti tempat untuk menyimpan, mengabadikan, dan menampilkan peralatan atau sarana yang digunakan oleh TNI Angkatan Laut. Di dalam museum ini terdapat beberapa koleksi peralatan tempur Angkatan Laut, selain itu juga terdapat satu koleksi berupa planetarium dan astronavigasi. Museum ini menyajikan dan melestarikan objek benda-benda bersejarah yang pernah dimiliki serta dipakai oleh prajurit-prajurit TNI Angkatan Laut sejak masa revolusi fisik hingga saat ini, di antaranya berupa berbagai jenis meriam kapal perang, pesawat, helikopter, artileri darat, replica KRI Dewaruci. Ada juga benda bersejarah lain seperti meriam kapal "HRMS De Zeven Provencien".</t>
  </si>
  <si>
    <t>Jembatan Merah merupakan salah satu ikon bersejarah di Surabaya, Jawa Timur yang tetap dipertahankan seperti kondisi aslinya sebagai jembatan. Jembatan yang menjadi salah satu judul lagu ciptaan Gesang ini, pada masa VOC dahulu dianggap penting karena menjadi sarana transportasi paling utama melewati Kalimas menuju Gedung Karesidenan Surabaya yang kini sudah tidak tersisa. Kawasan Jembatan Merah merupakan wilayah perdagangan yang mulai berkembang pesat sebagai akibat dari Perjanjian Pakubuwono II dengan VOC pada 11 November 1743. Dalam kesepakatan tersebut sebagian wilayah pesisir utara, termasuk Surabaya, diserahkan kendalinya kepada VOC. Sejak saat itu Surabaya berada sepenuhnya dalam kekuasaan kolonial Belanda. Saat ini, posisinya sebagai pusat perdagangan tetap berlanjut. Di sekitar jembatan terdapat berbagai indikator perekonomian, termasuk salah satunya Plaza Jembatan Merah. Perubahan struktur fisik terjadi sekitar tahun 1890-an, ketika pagar pembatas dengan sungai diganti dari kayu menjadi besi. Saat ini kondisi jembatan yang menghubungkan Jalan Rajawali dan Jalan Kembang Jepun di bagian utara Surabaya tersebut, hampir sama dengan jembatan lainnya. Perbedaannya hanya terletak pada warna merah.</t>
  </si>
  <si>
    <t>Museum Bank Indonesia (Bahasa Indonesia: Museum Bank Indonesia) adalah museum perbankan yang berlokasi di Surabaya, Indonesia. Secara resmi dibentuk oleh Bank Indonesia dan dibuka pada 27 Januari 2012 setelah mengalami restorasi. Museum ini menempati bangunan yang sebelumnya dikenal sebagai De Javasche Bank, yaitu bank sentral Hindia Belanda. Setelah Kemerdekaan Indonesia, gedung ini tetap digunakan sebagai kantor cabang Bank Indonesia di Surabaya hingga tahun 1973. Museum ini tidak beroperasi pada hari Senin dan hari libur nasional. Tidak dikenakan biaya masuk.</t>
  </si>
  <si>
    <t>Kawasan yang dikenal sebagai Kampung Keraton ini terdiri dari empat gang. Gang tersebut umumnya memiliki ukuran sempit, dengan lebar sekitar 2 hingga 3 meter. Karena begitu sempit, pengendara sepeda motor terkadang harus turun dari kendaraan dan berjalan kaki. Sementara itu, panjang jalan mencapai sekitar 200 meter. Memang, tidak banyak jejak peninggalan Keraton Surabaya yang tersisa. Yang terlihat saat ini adalah sisa bangunan warisan kolonial Belanda. Kampung Keraton kini menjadi salah satu kawasan perdagangan yang cukup ramai di Surabaya, terutama di Jalan Kramat Gantung. Berbagai jenis kebutuhan rumah tangga diperjualbelikan di jalan tersebut.</t>
  </si>
  <si>
    <t>Kelenteng Sanggar Agung atau Klenteng Hong San Tang merupakan sebuah klenteng yang berlokasi di Kota Surabaya. Alamatnya terdapat di Jalan Sukolilo Nomor 100, Pantai Ria Kenjeran, Surabaya. Kuil ini, selain menjadi tempat ibadah bagi penganut Tridharma, juga menjadi destinasi wisata bagi para pengunjung. Klenteng ini mulai dibuka untuk umum pada tahun 1999. Ciri khas dari klenteng ini adalah sebuah patung Kwan Im setinggi 20 meter yang berada di tepi laut. Klenteng ini didedikasikan kepada Nan Hai Guan Shi Yin Pu Sa atau Bodhisatwa Kwan Im Laut Selatan. Patung tersebut dibangun setelah seorang pegawai Sanggar Agung melihat sosok wanita berjubah putih berjalan di atas air ketika ia sedang menutup klenteng pada malam hari. Kemunculan tersebut diyakini sebagai penampakan Kwan Im. Ikon lainnya dari Sanggar Agung adalah patung Phra Phrom raksasa yang dilapisi emas.</t>
  </si>
  <si>
    <t>Museum Sepuluh November Surabaya merupakan salah satu museum yang berlokasi di Kota Surabaya, didirikan pada tahun 1945. Museum ini dibangun dengan tujuan untuk mempelajari serta memahami lebih dalam peristiwa Pertempuran 10 November 1945, Museum Sepuluh November beralamat di Jalan Pahlawan, Surabaya.</t>
  </si>
  <si>
    <t>Tugu Pahlawan (bahasa Indonesia: Tugu Pahlawan) merupakan sebuah monumen yang berlokasi di Surabaya, Indonesia. Monumen ini menjadi simbol utama kota yang didedikasikan untuk para pejuang yang gugur dalam Pertempuran Surabaya 1945 pada 10 November 1945. Museum 10 November berada di bawah monumen tersebut. Monumen ini memiliki ketinggian 41,15 meter dan berbentuk lingga. Dibangun untuk memperingati peristiwa 10 November 1945 dalam Pertempuran Surabaya. Monumen ini menjadi tempat setiap tanggal 10 November untuk mengenang peristiwa 1945, ketika banyak pahlawan gugur dalam perang kemerdekaan. Peletakan batu pertama dipimpin oleh Soekarno, Presiden Indonesia pertama, bersama Walikota Surabaya, Doel Arnowo pada 10 November 1951. Monumen ini diresmikan setahun kemudian oleh Soekarno pada 10 November 1952 yang disaksikan oleh Walikota Surabaya, R. Moestadjab Soemowidigdo. Museum 10 November dibangun untuk menjelaskan arti di balik Tugu Pahlawan. Bangunannya terdiri dari dua lantai, dengan pameran yang mencerminkan semangat perjuangan masyarakat Surabaya. Terdapat auditorium di lantai satu. Museum ini memuat salinan foto-foto dokumenter, serta diorama yang menampilkan delapan peristiwa yang terjadi sekitar bentrokan 10 November 1945.</t>
  </si>
  <si>
    <t>Saat ini Museum Surabaya Siola bertransformasi menjadi sebuah destinasi wisata sejarah yang unik dan menarik untuk dikunjungi. Bukan hanya menyajikan kisah masa lalu yang ditampilkan dalam berbagai bentuk, Museum Surabaya Siola juga menjadi tempat favorit untuk berburu foto. Bagi pengunjung yang ingin mengunjungi Museum Surabaya Siola ini tidak perlu membayar biaya masuk karena gratis. Siapa saja dapat masuk ke dalam Museum Surabaya Siola, karena tempat ini terbuka bagi semua kalangan mulai dari anak-anak hingga dewasa. Mengunjungi Museum Surabaya sebagai destinasi wisata akhir pekanmu tampaknya bukan hal yang keliru. Selain dapat mempelajari sejarah Kota Pahlawan, kamu juga akan memperoleh pengetahuan yang bermanfaat.</t>
  </si>
  <si>
    <t>Monumen Jalesveva Jayamahe atau Monjaya merupakan sebuah monumen yang berlokasi di Kota Surabaya, Jawa Timur. Monumen ini merepresentasikan sosok Perwira TNI Angkatan Laut yang mengenakan Pakaian Dinas Upacara (PDU) lengkap dengan pedang kehormatan yang sedang memandang ke arah laut, seolah siap menghadapi gelombang dan badai di lautan, sekaligus menunjukkan bahwa angkatan laut Indonesia siap berjaya. Patung tersebut berdiri di atas bangunan dengan ketinggian mencapai 30,6 meter. Monumen Jalesveva Jayamahe melambangkan generasi penerus bangsa yang percaya diri dan optimis dalam meraih cita-cita bangsa Indonesia. Monumen Jalesveva Jayamahe ini juga selaras dengan semboyan angkatan laut Jalesveva Jayamahe yang berarti “Di Laut Kita Berjaya”. Monumen ini didirikan pada tahun 1993 oleh pimpinan Kepala Staf TNI Angkatan Laut Indonesia yang kemudian dilanjutkan oleh Muhamad Arifin dan dirancang oleh I Nyoman Nuarta. Selain sebagai monumen, bangunan ini juga berfungsi sebagai mercusuar bagi kapal-kapal yang berada di laut sekitar.</t>
  </si>
  <si>
    <t>Patung Sura dan Baya (Jawa: Patung Suro lan Boyo) merupakan sebuah patung yang menjadi simbol kota Surabaya. Patung ini terletak di depan Kebun Binatang Surabaya. Patung ini terdiri atas dua hewan tersebut yang menjadi inspirasi nama kota Surabaya, yaitu ikan sura (hiu) dan baya (buaya).</t>
  </si>
  <si>
    <t>Obyek wisata Pantai Ria Kenjeran Surabaya merupakan salah satu destinasi wisata populer ketika mengunjungi kota Surabaya. Pantai ini termasuk salah satu objek wisata unggulan kota Surabaya yang selalu ramai pengunjung. Lokasi Pantai Ria Kenjeran berada di Kecamatan Kenjeran Timur Surabaya, Provinsi Jawa Timur. Kawasan Pantai Ria Kenjeran ini sudah dikenal luas dengan berbagai wahana dan tempat rekreasi keluarga, khususnya bagi warga Kenjeran. Pantai yang juga dijuluki sebagai Kenpark ini berdekatan dengan Jembatan Suramadu. Pantai Kenjeran biasanya digunakan masyarakat sekitar untuk melepas penat dari rutinitas sehari-hari. Banyak juga wisatawan yang berkunjung ke pantai ini. Pantai yang terletak tidak begitu jauh dari pusat Kota Surabaya ini juga beroperasi setiap hari selama 24 jam, sehingga tidak perlu khawatir jika ingin datang kapan saja. Pantai ini memiliki fasilitas yang cukup lengkap, seperti arena bermain anak yang dikenal sebagai Kya-kya Seaside. Terdapat juga Pagoda Tuan Ti, jembatan kayu dengan gazebo untuk bersantai dan berfoto. Selain itu, tersedia waterpark dan area bermain anak di sekitar pantai ini. Terdapat pula penyewaan perahu yang dapat digunakan oleh pengunjung untuk menikmati keindahan Pantai Ria Kenjeran dari area pesisir laut dengan tarif sekitar Rp5.000.</t>
  </si>
  <si>
    <t>Waterpark Kenjeran Surabaya merupakan destinasi wisata keluarga dengan permainan air dan aktivitas renang. Terdapat berbagai wahana yang menarik bagi keluarga serta anak-anak. Berlokasi tidak jauh dari area wisata Pantai Kenjeran dan Atlantis Land Kenjeran. Suasana pepohonan di sekitar area kolam renang memberikan nuansa yang teduh di kolam. Terdapat bangunan dengan bentuk kastil negeri dongeng yang menghiasi kawasan tersebut, dengan warna-warni khas buku cerita anak.</t>
  </si>
  <si>
    <t>Surabaya sebagai Resort Gemeente (Haminte) secara resmi mulai dibentuk pada tanggal 1 April 1906. Sebelumnya Surabaya merupakan bagian dari karesidenan, dan pemerintahan Haminte dikelola oleh Dewan Haminte yang dipimpin oleh asisten residen sebagai Kepala Daerah. Pada tahun 1916 diangkat Wali Kota Surabaya pertama, A. Meyroos yang bertugas hingga tahun 1921. Baru setelah wali kota kedua, G.J. Dijkerman, terpilih, rencana pembangunan gedung Balai Kota dapat direalisasikan. Gedung utama Balai Kota di Taman Surya di kawasan Ketabang mulai dibangun pada tahun 1923 dan mulai digunakan pada tahun 1927. Arsiteknya adalah C. Citroen dan pelaksanaannya dilakukan oleh H.V. Hollandsche Beton Mij. Biaya keseluruhan, termasuk perlengkapan dan lainnya, menghabiskan dana sekitar 1000 gulden. Ukuran gedung utama memiliki panjang 102 m dan lebar 19 m. Konstruksinya terdiri dari tiang pancang beton bertulang yang ditanam, sementara dindingnya dibangun menggunakan bata dan semen. Atapnya terbuat dari rangka besi dan ditutup dengan sirap, kemudian diganti dengan genteng. Setelah Proklamasi Kemerdekaan Indonesia, dilantiklah Radjamin Nasution sebagai Wali Kota Surabaya. Berdasarkan Penpres 1959 No. 16, maka jabatan wali kota ditetapkan sebagai Kepala Daerah Kota Surabaya. Pada tahun 1965, Kotapraja Surabaya resmi berubah menjadi Kotamadya.</t>
  </si>
  <si>
    <t>Berlokasi di sudut Pantai Ria Kenjeran, Patung Buddha Empat Rupa ini sering dimanfaatkan oleh pemuda-pemudi setempat sebagai tempat nongkrong dan berkumpul. Dibangun sejak tahun 2003 dan memiliki area sekitar 1,5 hektare serta berukuran 9×9 meter, membuatnya menghabiskan biaya sekitar Rp 4 miliar dalam proses pembuatannya. Patung ini terlihat semakin megah karena dilapisi dengan emas murni yang diimpor langsung dari Thailand. Bangunan ini dikelilingi oleh empat pilar, yaitu pilar hijau dan pilar emas. Empat wajah yang terdapat pada patung ini melambangkan empat sifat baik dari Buddha, yaitu pengasih, murah hati, adil, dan meditasi. Selain melihat patung Buddha ini, jika kamu berkunjung ke sini maka kamu juga akan menyaksikan beberapa patung gajah yang berada di sekitar patung tersebut. Menariknya, patung ini diakui oleh Museum Rekor-Dunia Indonesia sebagai patung tertinggi di Indonesia.</t>
  </si>
  <si>
    <t>Monumen Bambu Runcing merupakan ikon wisata Surabaya yang berkaitan dengan situs sejarah perjuangan bangsa. Monumen ini terdiri dari lima pilar dengan ketinggian yang berbeda-beda dan dibentuk menyerupai bambu runcing. Sayangnya, tidak terdapat perkiraan pasti mengenai tinggi pada masing-masing pilar. Pada waktu tertentu, akan ada air yang mengalir keluar dari bambu runcing layaknya air mancur. Selain itu, monumen ini dikelilingi oleh taman kecil yang dipenuhi berbagai tanaman hias. Monumen Bambu Runcing ini berlokasi di pusat kota Surabaya, di tengah padatnya lalu lintas Jalan Panglima Sudirman. Para pengunjung yang datang ke Surabaya akan langsung mengetahui keberadaan monumen ini saat melintasinya. Monumen ini juga berada dekat dengan Kebun Binatang Surabaya, Tunjungan Plaza, Surabaya Plaza, dan Tugu Pahlawan Surabaya.</t>
  </si>
  <si>
    <t>Sejak diresmikan pada bulan Desember 2017, Atlantis Land Kenjeran Surabaya telah berhasil menarik banyak pengunjung. Taman wisata air ini menjadi waterpark terbesar di Kota Surabaya. Lokasinya berada dalam satu kawasan dengan Kenjeran Park, atau yang lebih dikenal sebagai Ken Park. Tepatnya di Jalan Pantai Ria Kenjeran, Sukolilo Baru, Bulak, Surabaya, Jawa Timur. Taman wisata air ini memiliki luas sekitar 15 hektar dengan desain orisinil karya arsitek Australia. Tema yang diusung untuk taman wisata air ini adalah istana bawah laut. Dengan tema tersebut, gerbang masuk Atlantis Land Kenjeran Surabaya memiliki dinding bangunan utama berwarna biru. Dinding utama tersebut dihiasi dengan garis-garis menyerupai ombak berwarna putih. Atapnya berwarna kuning kecokelatan dan menjulang tinggi seperti istana. Di kedua sisi bangunan utama, terdapat bangunan berdinding cokelat dengan ornamen berupa belahan kayu. Bangunan ini memberikan kesan layaknya kapal pesiar yang belum selesai dibuat. Sebuah patung Neptunus berwarna kuning juga terlihat menghiasi area salah satu sudut tembok taman ini. Dekorasi yang ada di Atlantis Land Kenjeran akan memberikan suasana seolah berada di sebuah kastil.</t>
  </si>
  <si>
    <t>Taman Mundu merupakan salah satu taman atau ruang terbuka hijau publik bagi warga Kota Surabaya, taman ini berlokasi di Jl. Tambaksari atau berada di seberang Stadion Gelora Sepuluh November Tambaksari Surabaya. Taman Mundu dibangun di atas lahan seluas 4.800 meter persegi dan pembangunannya diresmikan pada tanggal 10 Juli 2010. Taman yang indah ini memiliki berbagai fasilitas yang dapat dimanfaatkan dan dinikmati oleh warga Surabaya maupun siapa saja yang berkunjung ke taman ini, di antaranya terdapat fasilitas area bermain bagi anak-anak.</t>
  </si>
  <si>
    <t>Museum Negeri Mpu Tantular merupakan sebuah museum negeri yang berlokasi di Kecamatan Buduran, Sidoarjo, Jawa Timur. Awalnya, museum ini dikenal dengan nama Stedelijk Historisch Museum Soerabaia, didirikan oleh Godfried von Faber pada tahun 1933 dan diresmikan pada tanggal 25 Juli 1937. Saat ini, museum tersebut dikelola oleh Unit Pelaksana Teknis pada Departemen Kebudayaan dan Pariwisata.</t>
  </si>
  <si>
    <t>Taman Bungkul merupakan taman wisata kota yang berlokasi di pusat Kota Surabaya, tepatnya di Jalan Raya Darmo. Taman ini berdiri di area seluas 900 meter persegi. Dilengkapi berbagai fasilitas pendukung, seperti amfiteater berdiameter 33 meter, jalur joging, area papan luncur, taman bermain anak-anak, air mancur, dan pujasera. Selain itu, taman ini juga dilengkapi dengan akses internet nirkabel yang terbuka untuk umum sehingga siapa saja dapat mengakses internet selama berada di taman ini. Letaknya yang berada di jantung Kota Surabaya menjadikan taman ini tidak hanya berfungsi sebagai ruang hijau, tetapi juga sebagai destinasi wisata yang cukup populer di Surabaya.</t>
  </si>
  <si>
    <t>Air mancur menari atau dancing fountain juga terdapat di kawasan Jembatan Kenjeran Surabaya. Air mancur ini dibangun bersamaan dengan pembangunan jembatan Kenjeran, dan diresmikan pada tanggal 9 Juli 2016. Sejak diresmikan, air mancur dan jembatan yang membentang di atas laut dengan panjang 800 meter ini menjadi destinasi wisata bagi warga Surabaya dan sekitarnya. Dancing fountain yang indah tidak lepas dari komponen-komponen yang bekerja di dalamnya seperti nozzle sebagai tempat keluarnya air, dari bagian ini semburan air dapat berubah-ubah. Air yang keluar didorong oleh pompa air mancur yang mengalirkan air dari tempat rendah ke tempat yang lebih tinggi. Pemilihan lampu yang tepat akan meningkatkan kualitas pencahayaan menjadi lebih terang, sebaiknya menggunakan underwater LED atau waterproof LED karena lampu ini bersifat tahan air. Hal ini tentu akan menambah tampilan air mancur menari menjadi lebih menarik.</t>
  </si>
  <si>
    <t>Taman Flora merupakan salah satu taman kota di Surabaya yang menjadi fasilitas umum dari Pemerintah Kota setempat. Oleh karena itu, tempat ini memang sengaja dibuat untuk dinikmati oleh masyarakat luas. Karena taman ini merupakan fasilitas publik yang dibangun oleh Pemkot Surabaya, maka siapa saja yang ingin memanfaatkan taman kota ini tidak perlu membayar biaya masuk atau gratis.</t>
  </si>
  <si>
    <t>Gereja Katolik Kelahiran Santa Perawan Maria merupakan salah satu gereja bersejarah di Kota Surabaya, Jawa Timur, Indonesia. Terletak di Jalan Kepanjen, Surabaya, bangunan religius ini bersebelahan dengan gedung SMA Katolik Frateran Surabaya.</t>
  </si>
  <si>
    <t>Time_Minutes</t>
  </si>
  <si>
    <t>Monumen Nasional</t>
  </si>
  <si>
    <t>Monumen Nasional atau yang populer disingkat dengan Monas atau Tugu Monas adalah monumen peringatan setinggi 132 meter (433 kaki) yang didirikan untuk mengenang perlawanan dan perjuangan rakyat Indonesia untuk merebut kemerdekaan dari pemerintahan kolonial Hindia Belanda. Pembangunan monumen ini dimulai pada tanggal 17 Agustus 1961 di bawah perintah presiden Soekarno dan dibuka untuk umum pada tanggal 12 Juli 1975. Tugu ini dimahkotai lidah api yang dilapisi lembaran emas yang melambangkan semangat perjuangan yang menyala-nyala. Monumen Nasional terletak tepat di tengah Lapangan Medan Merdeka, Jakarta Pusat.</t>
  </si>
  <si>
    <t>Jakarta</t>
  </si>
  <si>
    <t>{'lat': -6.1753924, 'lng': 106.8271528}</t>
  </si>
  <si>
    <t>Kota Tua</t>
  </si>
  <si>
    <t>Kota tua di Jakarta, yang juga bernama Kota Tua, berpusat di Alun-Alun Fatahillah, yaitu alun-alun yang ramai dengan pertunjukan rutin tarian tradisional. Museum Sejarah Jakarta adalah bangunan era Belanda dengan lukisan dan barang antik, sedangkan Museum Wayang memamerkan boneka kayu khas Jawa. Desa Glodok, atau Chinatown, terkenal dengan makanan kaki lima, seperti pangsit dan mi goreng. Di dekatnya, terdapat sekunar dan kapal penangkap ikan di pelabuhan Sunda Kelapa yang kuno</t>
  </si>
  <si>
    <t>{'lat': -6.137644799999999, 'lng': 106.8171245}</t>
  </si>
  <si>
    <t>Dunia Fantasi</t>
  </si>
  <si>
    <t>Dunia Fantasi atau disebut juga Dufan adalah tempat hiburan yang terletak di kawasan Taman Impian Jaya Ancol, Jakarta Utara, Indonesia. Dufan diresmikan dan dibuka pada tanggal 29 Agustus 1985.</t>
  </si>
  <si>
    <t>{'lat': -6.125312399999999, 'lng': 106.8335377}</t>
  </si>
  <si>
    <t>Taman Mini Indonesia Indah (TMII)</t>
  </si>
  <si>
    <t>Taman Mini Indonesia Indah merupakan suatu kawasan taman wisata bertema budaya Indonesia di Jakarta Timur. Area seluas kurang lebih 150 hektare atau 1,5 kilometer persegi ini terletak pada koordinat 6°18′6.8″LS,106°53′47.2″BT</t>
  </si>
  <si>
    <t>{'lat': -6.302445899999999, 'lng': 106.8951559}</t>
  </si>
  <si>
    <t>Atlantis Water Adventure</t>
  </si>
  <si>
    <t>Atlantis Water Adventure atau dikenal dengan Atlantis Ancol akan menyuguhkan petualangan wisata air tak terlupakan. Tempat Wisata bertemakan permainan air dengan luas 5 hektar ini memberi sensasi petualangan di 8 kolam utama. Yaitu kolam Antila, Plaza Atlas, Poseidon, Aquarius, Octopus, Kiddy Pool, dan Atlantean. Berlokasi di kawasan Ancol Jakarta Baycity, Atlantis bisa menjadi pilihan destinasi yang pas untuk wisata berenang.</t>
  </si>
  <si>
    <t>{'lat': -6.12419, 'lng': 106.839134}</t>
  </si>
  <si>
    <t>Taman Impian Jaya Ancol</t>
  </si>
  <si>
    <t>Taman Impian Jaya Ancol merupakan sebuah objek wisata di Jakarta Utara.\n\n</t>
  </si>
  <si>
    <t>{'lat': -6.117333200000001, 'lng': 106.8579951}</t>
  </si>
  <si>
    <t>Kebun Binatang Ragunan</t>
  </si>
  <si>
    <t>Kebun Binatang Ragunan adalah sebuah kebun binatang yang terletak di daerah Ragunan, Pasar Minggu, Jakarta Selatan, Indonesia. Kebun binatang seluas 140 hektare ini didirikan pada tahun 1864. Di dalamnya terdapat berbagai koleksi yang terdiri dari 295 spesies dan 4040 spesimen.\nRagunan sempat ditutup selama sekitar tiga minggu sejak 19 September 2005 karena hewan-hewan di dalamnya ada yang terinfeksi flu burung, tetapi dibuka kembali pada 11 Oktober 2005.Kebun binatang ini memiliki banyak spesies hewan yang langka antara lain kakatua, orangutan, gorila, anoa dan gajah</t>
  </si>
  <si>
    <t>{'lat': -6.3124593, 'lng': 106.8201865}</t>
  </si>
  <si>
    <t>Ocean Ecopark</t>
  </si>
  <si>
    <t xml:space="preserve">Ocean Ecopark Salah satu zona rekreasi Ancol yang menawarkan ruang terbuka hijau serta pengalaman dan tidak melupakan sisi pendidikan bagi para pengunjung. Beragam aktivitas dan wahana seru yang bisa dimainkan di tempat rekreasi keluarga, beberapa diantaranya : Outbondholic, Rumah Energy, Rumah Lebah, Kano, Paintball, Outbondholic, Eco-Market, Learning Farm, Eco-Bike, Faunaland. Kalau berencana berwisata ke Ocean Eco Park ancol tidak perlu khawatir dengan harga tiket masuknya. Karena harga tiket masuk Ocean Eco Park ditawarkan dengan harga yang masih terjangkau.
</t>
  </si>
  <si>
    <t>{'lat': -6.125801699999999, 'lng': 106.8363249}</t>
  </si>
  <si>
    <t>Pelabuhan Marina</t>
  </si>
  <si>
    <t>Pelabuhan Marina Ancol berada di kawasan Taman Impian Jaya Ancol, Jakarta. Pelabuhan yang biasa disebut Dermaga Marina Ancol ini adalah kawasan yang tidak hanya untuk keperluan penyeberangan saja, tetapi juga dikembangkan untuk banyak hal, seperti wisata air, olahraga air maupun wahana bermain. Fungsi utama dari pelabuhan ini adalah untuk melayani para penumpang yang ingin menyeberang menuju ke kepulauan Seribu, begitu juga sebaliknya. Banyak orang yang berada di Jakarta dan sekitarnya, menjadikan kepulaun Seribu sebagai tujuan wisata yang utama. Liburan di Pulau Seribu memang mampu menghilangkan kepenatan bekerja di kota metropolitan, sembari menikmati keindahan pantai yang masih terjaga dengan baik. Marina Ancol berada di Jakarta Utara atau secara lengkap beralamat di Kota Tua, Ancol, Pademangan, Kota Jakarta. Sangat mudah menuju ke tempat ini karena tidak terlalu jauh dari pusat kota. Selain itu, ada banyak transportasi umum yang menuju ke tempat ini atau bisa juga menggunakan jasa transportasi online.</t>
  </si>
  <si>
    <t>{'lat': 1.07888, 'lng': 103.931398}</t>
  </si>
  <si>
    <t>Pulau Tidung</t>
  </si>
  <si>
    <t>Pulau Tidung adalah salah satu kelurahan di kecamatan Kepulauan Seribu Selatan, Kabupaten Kepulauan Seribu, Jakarta, Indonesia.</t>
  </si>
  <si>
    <t>{'lat': -5.803205300000001, 'lng': 106.5237907}</t>
  </si>
  <si>
    <t>Pulau Bidadari</t>
  </si>
  <si>
    <t>Pulau Bidadari merupakan salah satu resor di Kabupaten Kepulauan Seribu, Jakarta. Sebelum bernama Pulau Bidadari, pulau ini memiliki dua nama yaitu Pulau Sakit dan Pulau Purmerend</t>
  </si>
  <si>
    <t>{'lat': -6.035832999999999, 'lng': 106.746944}</t>
  </si>
  <si>
    <t>Pulau Pari</t>
  </si>
  <si>
    <t xml:space="preserve">Pulau Pari adalah sebuah pulau yang terletak di Kepulauan Seribu di Daerah Khusus Ibukota Jakarta, Indonesia.
</t>
  </si>
  <si>
    <t>{'lat': -5.9074328, 'lng': 106.5863989}</t>
  </si>
  <si>
    <t>Pulau Pramuka</t>
  </si>
  <si>
    <t>Pulau Pramuka merupakan salah satu pulau yang berada dalam gugusan Kepulauan Seribu. Pulau ini merupakan pusat administrasi dan pemerintahan Kabupaten Administrasi Kepulauan Seribu. Pulau Pramuka termasuk ke dalam wilayah Kelurahan Pulau Panggang.</t>
  </si>
  <si>
    <t>{'lat': -5.745962, 'lng': 106.6136577}</t>
  </si>
  <si>
    <t>Pulau Pelangi</t>
  </si>
  <si>
    <t xml:space="preserve">Pulau Pelangi adalah sebuah pulau yang terletak di Kepulauan Seribu di Daerah Khusus Ibukota Jakarta, Indonesia. Pulau Pelangi adalah sebuah pulau yang terletak di Kepulauan Seribu di Daerah Khusus Ibukota Jakarta, Indonesia, Pulau Pelangi / biasa disebut Pulau Petondan Besar ( Pelangi Island ) merupakan pulau resort yang sesuai untuk berlibur. Pulau Resort ini mempunyai konsep natural, karena sebagian wilayahnya di penuhi dengan rerimbunan pohon yang menyejukan mata, Keindahan alam dan lautnya layak untuk dikunjungi. Dikelilingi oleh rimbunan pohon dan laut berwarana biru jernih membuat suasanan sejuk dan nyaman. Kondisi yang ideal untuk wisata bersama keluarga. Dengan akomodasi yang langsung menghadap ke laut membuat turis betah berlama-lama di Pulau Pelangi.\nMenurut informasi, Pulau Pelangi atau Pulau Petondan Besar merupakan pulau yang berada pada gugusan Kepulauan Seribu. Secara administratif termasuk dalam wilayah Kabupaten Administratif Kepulauan Seribu provinsi DKI Jakarta. Bersamaan dengan Pulau Petondan Kecil merupakan sebuah resort berlibur. Letaknya berdekatan dengan gugusan yang sama dengan Pulau Kelor dan Pulau Kelapa.\nUntuk mencapai Pelangi Resort dibutuhkan waktu 90 menit perjalanan dari dermaga Pantai Mutiara. Terdapat kapal speedboat khusus di pier R1 Pantai Mutiara yang membawa penumpang kesana. Letaknya 60 – 70 km dari Pantai Mutiara memang lumayan jauh. Namun perjalanan anda terbayar lunas begitu sampai di Pulau Pelangi.
</t>
  </si>
  <si>
    <t>{'lat': -5.587055, 'lng': 106.5885}</t>
  </si>
  <si>
    <t>Pasar Seni</t>
  </si>
  <si>
    <t>Pasar Seni merupakan Pusat kerajinan dan kesenian yang menjadi wadah bagi seniman berbakat untuk menyalurkan kerajinan seni yang mereka miliki. Seniman dapat bertemu dengan para kolektor seni dan pengusaha untuk saling berbagi informasi dan memasarkan produk yang dimiliki. Didirikan awal tahun 1977, dengan peletakan batu pertama oleh Bang Ali Sadikin, Gubernur pertama DKI Jakarta, tepatnya pada bulan Juli 1977. Dan diresmikan oleh Gubernur H. Tjokropanolo pada tanggal 17 Desember 1977. Sejak diresmikan Pasar Seni, mendapat sambutan positif bagi pada pecinta seni yang ada.</t>
  </si>
  <si>
    <t>{'lat': -6.1766868, 'lng': 106.8417666}</t>
  </si>
  <si>
    <t>Jembatan Kota Intan</t>
  </si>
  <si>
    <t>Jembatan Kota Intan adalah jembatan tertua di Indonesia yang dibangun pada tahun 1628 oleh pemerintah Vereenigde Oostindische Compagnie atau VOC, atau masyarakat kita lebih familiar dengan sebutan Kumpeni. Jembatan itu kini terletak di Kali Besar kawasan Kota Tua wilayah Jakarta Barat dan berada di bawah pengelolaan Dinas Pariwisata dan Kebudayaan Provinsi DKI Jakarta.</t>
  </si>
  <si>
    <t>{'lat': -6.1314572, 'lng': 106.8106169}</t>
  </si>
  <si>
    <t>Museum Fatahillah</t>
  </si>
  <si>
    <t>Museum Fatahillah memiliki nama resmi Museum Sejarah Jakarta adalah sebuah museum yang terletak di Jalan Taman Fatahillah No. 1, Jakarta Barat dengan luas lebih dari 1.300 meter persegi.\nBangunan ini dahulu merupakan balai kota Batavia (bahasa Belanda: Stadhuis van Batavia) yang dibangun pada tahun 1707-1710 atas perintah Gubernur-Jendral Joan van Hoorn. Bangunan ini menyerupai Istana Dam di Amsterdam, terdiri atas bangunan utama dengan dua sayap di bagian timur dan barat serta bangunan sanding yang digunakan sebagai kantor, ruang pengadilan, dan ruang-ruang bawah tanah yang dipakai sebagai penjara. Pada tanggal 30 Maret 1974, bangunan ini kemudian diresmikan oleh bapak Ali Sadikin sebagai Museum Sejarah Jakarta.</t>
  </si>
  <si>
    <t>{'lat': -6.136448899999999, 'lng': 106.8130661}</t>
  </si>
  <si>
    <t>Museum Bank Indonesia</t>
  </si>
  <si>
    <t>Museum Bank Indonesia adalah sebuah museum di Jakarta, Indonesia yang terletak di Jl. Pintu Besar Utara No.3, Jakarta Barat (depan stasiun Beos Kota), dengan menempati area bekas gedung Bank Indonesia Kota yang merupakan cagar budaya peninggalan De Javasche Bank yang beraliran neo-klasikal, dipadu dengan pengaruh lokal, dan dibangun pertama kali pada tahun 1828.\nPada tahun 1625, di tempat ini pernah dibangun sebuah gereja sederhana untuk umat Protestan. Pada tahun 1628, gereja ini dibongkar karena digunakan untuk tempat meriam besar ketika puluhan ribu tentara Sultan Agung menyerang Batavia untuk pertama kali.Museum ini menyajikan informasi peran Bank Indonesia dalam perjalanan sejarah bangsa yang dimulai sejak sebelum kedatangan bangsa barat di Nusantara hingga terbentuknya Bank Indonesia pada tahun 1953 dan kebijakan-kebijakan Bank Indonesia, meliputi pula latar belakang dan dampak kebijakan Bank Indonesia bagi masyarakat sampai dengan tahun 2005. Penyajiannya dikemas sedemikian rupa dengan memanfaatkan teknologi modern dan multi media, seperti display elektronik, panel statik, televisi plasma, dan diorama sehingga menciptakan kenyamanan pengunjung dalam menikmati Museum Bank Indonesia. Selain itu terdapat pula fakta dan koleksi benda bersejarah pada masa sebelum terbentuknya Bank Indonesia, seperti pada masa kerajaan-kerajaan Nusantara, antara lain berupa koleksi uang numismatik yang ditampilkan juga secara menarik.\nPeresmian Museum Bank Indonesia dilakukan melalui dua tahap, yaitu peresmian tahap I dan mulai dibuka untuk masyarakat (soft opening) pada tanggal 15 Desember 2006 oleh Gubernur Bank Indonesia saat itu, Burhanuddin Abdullah, dan peresmian tahap II (grand opening) oleh Presiden RI Susilo Bambang Yudhoyono, pada tanggal 21 Juli 2009.\nMuseum Bank Indonesia buka setiap hari kecuali Senin dan hari libur nasional.</t>
  </si>
  <si>
    <t>{'lat': -6.137127, 'lng': 106.813005}</t>
  </si>
  <si>
    <t>Kidzania</t>
  </si>
  <si>
    <t>KidZania adalah sebuah waralaba swasta Meksiko berupa pusat hiburan keluarga yang saat ini beroperasi di 23 lokasi, yang memungkinkan anak-anak melakukan pekerjaan orang dewasa dan mendapat bayaran. KidZania telah dikunjungi oleh lebih dari 31 juta pengunjung di seluruh dunia sejak pembukaannya, menjadikannya salah satu merek hiburan global yang paling cepat berkembang di dunia.</t>
  </si>
  <si>
    <t>{'lat': -6.225073499999999, 'lng': 106.8097144}</t>
  </si>
  <si>
    <t>Museum Taman Prasasti</t>
  </si>
  <si>
    <t xml:space="preserve">Museum Taman Prasasti adalah sebuah museum cagar budaya peninggalan masa kolonial Belanda yang berada di Jalan Tanah Abang No. 1, Jakarta Pusat. Museum ini memiliki koleksi prasasti nisan kuno serta miniatur makam khas dari 27 provinsi di Indonesia, beserta koleksi kereta jenazah antik. Museum seluas 1,2 ha ini merupakan museum terbuka yang menampilkan karya seni dari masa lampau tentang kecanggihan para pematung, pemahat, kaligrafer dan sastrawan yang menyatu.
</t>
  </si>
  <si>
    <t>{'lat': -6.172224099999998, 'lng': 106.8189695}</t>
  </si>
  <si>
    <t>Museum Wayang</t>
  </si>
  <si>
    <t>Museum Wayang adalah sebuah museum yang berlokasi di Jalan Pintu Besar Utara Nomor 27, Jakarta Barat.</t>
  </si>
  <si>
    <t>{'lat': -6.1349072, 'lng': 106.8124452}</t>
  </si>
  <si>
    <t>Masjid Istiqlal</t>
  </si>
  <si>
    <t>Masjid Istiqlal (arti harfiah: Masjid Merdeka) adalah masjid nasional negara Republik Indonesia yang terletak di bekas Taman Wilhelmina, di Timur Laut Lapangan Medan Merdeka yang di tengahnya berdiri Monumen Nasional (Monas), di pusat ibukota Jakarta. Masjid ini merupakan salah satu dari 10 masjid terbesar kapasitasnya di dunia yang dapat menampung lebih dari 200.000 jamaah. Di seberang Timur masjid ini berdiri Gereja Katedral Jakarta. Ketua Harian Badan Pengelola Masjid Istiqlal (BPMI) sekaligus Imam Besar Masjid Istiqlal adalah Prof. Dr. Nasaruddin Umar, M.A. Pembangunan masjid ini diprakarsai oleh Presiden Republik Indonesia saat itu, Ir. Soekarno. Peletakan batu pertama sebagai tanda dimulainya pembangunan Masjid Istiqlal dilakukan oleh Ir. Soekarno pada tanggal 24 Agustus 1961. Arsitek Masjid Istiqlal adalah Frederich Silaban, seorang Nasrani.Masjid ini memiliki gaya arsitektur modern dengan dinding dan lantai berlapis marmer, dihiasi ornamen geometrik dari baja antikarat. Bangunan utama masjid ini terdiri dari lima lantai dan satu lantai dasar. Bangunan utama itu dimahkotai satu kubah besar berdiameter 45 meter yang ditopang 12 tiang besar. Menara tunggal setinggi total 96,66 meter menjulang di sudut Selatan selasar masjid. Masjid ini mampu menampung lebih dari 200.000 jamaah.Selain digunakan sebagai aktivitas ibadah umat Islam, masjid ini juga digunakan sebagai kantor berbagai organisasi Islam di Indonesia, aktivitas sosial, dan kegiatan umum. Masjid ini juga menjadi salah satu daya tarik wisata yang terkenal di Jakarta. Kebanyakan wisatawan yang berkunjung umumnya wisatawan domestik di samping sebagian wisatawan asing yang beragama Islam. Masyarakat non-Muslim juga dapat berkunjung ke masjid ini setelah sebelumnya mendapat pembekalan informasi mengenai Islam dan Masjid Istiqlal, meskipun bagian yang boleh dikunjungi kaum non-Muslim terbatas dan harus didampingi pemandu.\nPada tiap hari besar Islam seperti Ramadhan, Idul Fitri, Idul Adha, Tahun Baru Hijriyah, Maulid Nabi Muhammad serta Isra dan Mi'raj, Presiden Republik Indonesia selalu mengadakan kegiatan keagamaan di masjid ini yang disiarkan secara langsung melalui televisi nasional (TVRI) dan sebagian televisi swasta.</t>
  </si>
  <si>
    <t>{'lat': -6.17017, 'lng': 106.83139}</t>
  </si>
  <si>
    <t>Gereja Katedral</t>
  </si>
  <si>
    <t>Gereja Katedral Jakarta, atau bernama resmi Gereja Santa Maria Diangkat Ke Surga (bahasa Jerman: De Kerk van Onze Lieve Vrouwe ten Hemelopneming; bahasa Inggris: The Church of Our Lady of the Assumption) adalah sebuah gereja di Jakarta. Gedung gereja ini diresmikan pada 1901 dan dibangun dengan arsitektur neo-gotik dari Eropa, yakni arsitektur yang sangat lazim digunakan untuk membangun gedung gereja beberapa abad yang lalu.</t>
  </si>
  <si>
    <t>{'lat': -6.169225000000001, 'lng': 106.833063}</t>
  </si>
  <si>
    <t>Museum Nasional</t>
  </si>
  <si>
    <t>Museum Nasional Republik Indonesia atau Museum Gajah, adalah sebuah museum arkeologi, sejarah, etnografi, dan geografi yang terletak di Jakarta Pusat dan persisnya di Jalan Merdeka Barat 12. Museum ini merupakan museum pertama dan terbesar di Asia Tenggara.</t>
  </si>
  <si>
    <t>{'lat': -6.176402099999999, 'lng': 106.8215901}</t>
  </si>
  <si>
    <t>Pasar Tanah Abang</t>
  </si>
  <si>
    <t>Pasar Tanah Abang atau Pasar Sabtu dibangun oleh Yustinus Vinck pada 30 Agustus 1735. Yustinus Vinck mendirikan Pasar Tanah Abang Pasar atas izin dari Gubernur Jenderal Abraham Patramini. Izin yang diberikan saat itu untuk Pasar Tanah Abang adalah untuk berjualan tekstil serta barang kelontong dan hanya buka setiap hari Sabtu. Oleh karena itu, pasar ini disebut Pasar Sabtu. Pasar ini mampu menyaingi Pasar Senen (Welter Vreden) yang sudah lebih dulu maju.\nPada tahun 1740 terjadi Peristiwa Geger Pecinan, yaitu pembantaian orang-orang Tionghoa, perusakan harta benda, termasuk Pasar Tanah Abang diporakporandakan dan dibakar. Pada tahun 1881, Pasar Tanah Abang kembali dibangun dan yang tadinya dibuka pada hari Sabtu, ditambah hari Rabu, sehingga Pasar Tanah Abang dibuka 2 kali seminggu. Bangunan Pasar pada mulanya sangat sederhana,terdiri dari dinding bambu dan papan serta atap rumbia dari 229 papan dan 139 petak bambu. Pasar Tanah Abang terus mengalami perbaikan hingga akhir abad ke-19 dan bagian lantainya mulai dikeraskan dengan pondasi adukan. Pada tahun 1913, Pasar Tanah Abang kembali diperbaiki. Pada tahun 1926 pemerintah Batavia membongkar Pasar Tanah Abang dan diganti bangunan permanen berupa tiga los panjang dari tembok dan papan serta beratap genteng, dengan kantor pasarnya berada di atas bangunan pasar mirip kandang burung. Pelataran parkir di depan pasar menjadi tempat parkir kuda-kuda penarik delman dan gerobak. Di situ tersedia kobakan air yang cukup besar, dan di seberang jalan ada toko yang khusus menjual dedak makanan kuda. Beberapa puluh meter dari toko dedak ada sebuah gang yang dikenal sebagai Gang Madat, tempat lokalisasi para pemadat.\nPada zaman pendudukan Jepang, pasar ini hampir tidak berfungsi, dan menjadi tempat para gelandangan.\nPasar Tanah Abang semakin berkembang setelah dibangunnya Stasiun Tanah Abang. Di tempat tersebut mulai dibangun tempat-tempat seperti Masjid Al Makmur dan Klenteng Hok Tek Tjen Sien yang keduanya seusia dengan Pasar Tanah Abang. Pada tahun 1973, Pasar Tanah Abang diremajakan, diganti dengan 4 bangunan berlantai empat, dan sudah mengalami dua kali kebakaran, pertama tanggal 30 Desember 1978, Blok A di lantai tiga dan kedua menimpa Blok B tanggal 13 Agustus 1979. Pada tahun 1975 tercatat kiosnya ada 4.351 buah dengan 3.016 pedagang.</t>
  </si>
  <si>
    <t>{'lat': -6.189009599999999, 'lng': 106.8119312}</t>
  </si>
  <si>
    <t>Pecinan Glodok</t>
  </si>
  <si>
    <t>Kawasan Glodok yang dikenal sebagai pusat perdagangan elektronik sendiri dulunya merupakan bekas Penjara Glodok yang angker. Lokasi ini berada di seberang Glodok-Pancoran di kawasan Harco. Sebelum terjadi kerusuhan Mei 1998, kawasan ini sempat menjadi pusat belanja elektronik bagi wisatawan Jepang, Taiwan, dan Hongkong. Di Pinangsia, masyarakat bisa menemukan produk perlengkapan rumah tangga dan bangunan. Selain wisata belanja, pecinan Glodok-Pancoran juga merupakan situs sejarah awal mula Kota Jakarta. Setelah etnis Tionghoa bermukim dan membangun bisnis, serta perkebunan tebu, Batavia mulai berkembang pesat.</t>
  </si>
  <si>
    <t>{'lat': -6.142758799999999, 'lng': 106.8140791}</t>
  </si>
  <si>
    <t>Sea World</t>
  </si>
  <si>
    <t>Seaworld Indonesia adalah sebuah miniatur pesona laut yang terdapat dalam kompleks wisata pertama di Taman Impian Jaya Ancol.\nPada tanggal 2 Oktober 1992, Gubernur DKI masa itu, Wiyogo Atmodarminto meletakkan batu pertama pembangunan Seaworld Indonesia. Tidak sampai dua tahun, pada tanggal 3 Juni 1994 SeaWorld Indonesia sudah mulai beroperasi. Area Seaworld seluas 3 hektare dengan luas bangunan utama 4.500 m2 berisi berbagai macam akuarium, lorong Antasena (lorong bawah air), perpustakaan, museum, terapi ikan dokter, glow theatre, komputer edukatif layar sentuh berisi informasi berbagai spesies di Seaworld dan bermacam fasilitas pelengkap untuk pengunjung seperti tempat makan, toko suvenir, dan ruang serba guna.</t>
  </si>
  <si>
    <t>{'lat': -6.126477500000001, 'lng': 106.842963}</t>
  </si>
  <si>
    <t>Wisata Agro Edukatif Istana Susu Cibugary</t>
  </si>
  <si>
    <t>Kawasan Wisata Agro Edukatif Istana Susu “Cibugary” (Cibubur Garden Dairy ) merupakan suatu kawasan agro peternakan sapi perah bernuansa kebun dan taman. Wisata edukasi Cibubur Garden Dairy (CIBUGARY) merupakan salah wisata edukasi yang diminati siswa sekolah. Edukasi pengenalan peternakan sapi memberikan pengalaman yang tidak dapat dilupakan oleh siswa sekolah. Kegiatan edukasi yang tidak terlalu banyak dan menyenangkan ini sangat disukai siswa sekolah. Dengan berwisata edukasi ini dapat menambah ilmu dan pengalaman secara langsung bagi siswa sekolah. Paket wisata edukatif Istana Susu Cibugary dihargai antara Rp 35.000 sampai Rp 65.000 per orang. Harga tersebut sudah termasuk beberapa botol susu pasteurisasi dan goodybag cibugary.</t>
  </si>
  <si>
    <t>{'lat': -6.3568093, 'lng': 106.9062371}</t>
  </si>
  <si>
    <t>Wisata Kuliner Pecenongan</t>
  </si>
  <si>
    <t xml:space="preserve">Pecenongan merupakan salah satu surga kuliner di Jakarta Pusat yang dikenal sejak zaman Jakarta masih bernama kota Batavia. Dulunya di kawasan ini terdapat pedagang kaki lima yang menjajakan kuliner di pinggir jalan, tetapi tahun demi tahun kawasan Pecenongan semakin ramai dengan adanya rumah makan-rumah makan yang mulai dibangun. Kawasan pecenongan ini cocok bagi kalian yang ingin berwisata kuliner dimalam hari, beragam jenis kuliner yang pastinya membuat kamu kebingungan ingin mencoba yang mana terlebih dahulu. Tak heran jika orang yang sudah pernah mencoba pergi kulineran ke sini pasti akan kembali lagi.
</t>
  </si>
  <si>
    <t>{'lat': -6.166788700000001, 'lng': 106.8265261}</t>
  </si>
  <si>
    <t>Taman Menteng</t>
  </si>
  <si>
    <t xml:space="preserve">Taman Menteng adalah sebuah taman yang berlokasi di kawasan Menteng, Jakarta Pusat. Taman ini dulunya ditempati oleh Stadion Menteng.\nTaman ini berdiri di atas lahan seluas 2,9 hektar, dan memiliki koleksi 30 spesies tanaman yang berbeda. Taman Menteng juga memiliki beragam fasilitas pendukung seperti taman bermain untuk anak-anak serta lapangan futsal dan basket. Uniknya, di taman ini terdapat pula 44 sumur resapan untuk membantu penyerapan air hujan ke dalam tanah.
</t>
  </si>
  <si>
    <t>{'lat': -6.1964087, 'lng': 106.8293106}</t>
  </si>
  <si>
    <t>Wisata Alam Mangrove Angke</t>
  </si>
  <si>
    <t xml:space="preserve">Jangan anggap di Jakarta tidak ada wisata alam. Langsung meluncur ke Jakarta Utara, tepatnya di Kamal Muara Penjaringan atau Pantai Indah Kapuk. Di daerah ini terdapat area wisata alam yaitu Taman Wisata Mangrove Jakarta yang sekarang dan beberapa tahun belakangan tengah hits. Di kawasan ini terdapat tiga area, satu berupa Suaka Margasatwa Muara Angke yang tertutup untuk umum, Hutan Mangrove milik Pemprov DKI tetapi kurang begitu menarik untuk wisata. Selanjutnya Taman Wisata Alam Mangrove Angke yang memang merupakan area wisata berbasis konservasi mangrove.
</t>
  </si>
  <si>
    <t>{'lat': -6.105334, 'lng': 106.735584}</t>
  </si>
  <si>
    <t>Setu Babakan</t>
  </si>
  <si>
    <t>Setu Babakan atau Danau Babakan terletak di Srengseng Sawah, kecamatan Jagakarsa, Kotamadya Jakarta Selatan, Indonesia dekat Depok yang berfungsi sebagai pusat Perkampungan Budaya Betawi, suatu area yang diperuntukkan untuk pelestarian warisan budaya Jakarta, yaitu budaya asli Betawi.\nPerkampungan budaya Betawi ini didirikan pada tanggal 18 Agustus 2000 melalui Surat Keputusan Gubernur DKI Nomor 92 tahun 2000 yang dikeluarkan oleh Gubernur DKI Jakarta pada waktu itu yaitu Sutiyoso\nSitu Babakan merupakan danau buatan dengan area 30 hektare (79 akre) dengan kedalaman 1-5 meter dimana airnya berasal dari Sungai Ciliwung dan saat ini digunakan sebagai tempat wisata alternatif, bagi warga dan para pengunjung.\nTaman disekitarnya ditanami dengan beragam pohon buah-buahan yaitu Mangga, Palem, Melinjo, Rambutan, Jambu, Pandan, Kecapi, Jamblang, Krendang, Guni, Nangka Cimpedak, Nam-nam, dan Jengkol.\nBanyak kuliner khas Betawi terdapat disini, antara lain Kerak Telor, Toge Goreng, Arum Manis, Rujak Bebek, Soto Betawi, Es Potong, Es Duren, Bir Pletok, Nasi Uduk, Nasi Ulam, Lontong Sayur, dll.\nWisata budaya yang disajikan antara laim rumah-rumah khas Betawi yang dibagi menjadi 3 macam, pertama rumah Betawi gudang atau kandang, kedua rumah Betawi Kebaya atau Bapang, dan yang ketiga adalah rumah Joglo, hampir serupa dengan rumah khas Yogyakarta.\nKeseniannya berupa Lenong, Tari Topeng, Tanjidor, Marawis, Gambang Kromong, Tari Lenggang Nyai, dan Tari Narojeng.\nUpacara Adat yang ada di perkampungan Betawi Setu Babakan adalah Penganten Sunat, Pindah Rumah, Khatam Qur'an, dan Nujuh Bulan.\nMayoritas penduduk di Setu Babakan adalah Betawi, dengan program dari pemda DKI untuk memperbaiki sarana dan prasarana yang ada untuk mengakomodasi kebutuhan ruang terbuka hijau, serta area untuk resapan air, setu babakan berbenah diri dengan dukungan penuh dari pemda DKI\nFungsi dari Setu ini bukan hanya untuk tempat melestarikan kebudayaan betawi yang makin tergerus oleh zaman, tetapi digunakan juga sebagai tempat alternatif rekreasi yang berlokasi di selatan jakarta. selain fungsi utamanya sebagai penampung air resapan untuk selatan jakarta,</t>
  </si>
  <si>
    <t>{'lat': -6.341666699999999, 'lng': 106.8238889}</t>
  </si>
  <si>
    <t>Taman Suropati</t>
  </si>
  <si>
    <t>Taman Suropati (awalnya bernama Burgemeester Bisschopplein) adalah nama sebuah taman di Jakarta. Pada awalnya nama taman ini diambil dari nama wali kota Batavia pertama, G.J. Bisshop (1916–1920). Taman ini merupakan pusat kawasan Menteng, berada tepat di antara pertemuan tiga jalan utama, yaitu Menteng Boulevard (Jalan Teuku Umar), Orange Boulevard (Jalan Diponegoro), dan Nassau Boulevard (Jalan Imam Bonjol). Lapangan yang kini disebut sebagai Taman Suropati ini sejak tahun 1920 sudah menggantikan lapangan bundar yang luas dalam Rencana Moojen. Taman Suropati, yang disebut-sebut sebagai titik nol Republik Indonesia, menjadi taman yang rindang dan sejak beberapa tahun yang lalu dihiasi dengan patung-patung karya pematung dari negara-negara pendiri Perhimpunan Bangsa-Bangsa Asia Tenggara.</t>
  </si>
  <si>
    <t>{'lat': -6.1994034, 'lng': 106.8326228}</t>
  </si>
  <si>
    <t>Pasar Taman Puring</t>
  </si>
  <si>
    <t>Taman Puring bukanlah taman secara harfiah. Sejak eksis di tahun 1960 silam, Taman Puring adalah sebuah pasar. Selama bertahun-tahun, pasar ini sempat menjadi pasar gelap alias pasar barang-barang ilegal. Antara tahun 1980-1990an, pasar ini makin dijauhi masyarakat karena menjadi sentra barang-barang hasil tindakan kriminal. Sejak terbakar pada 2002, Pasar Taman Puring perlahan berbenah diri hingga sekarang menjadi destinasi belanja akhir pekan favorit warga Jakarta. Ada ratusan kios sepatu pria mulai dari sepatu kulit, sepatu gunung, sepatu futsal, hingga sepatu gaul khas anak muda. Beragam merk mulai dari Adidas, Caterpillar, Nike, Karrimor, Vans, hingga Converse tersedia dalam berbagai model dan warna.</t>
  </si>
  <si>
    <t>{'lat': -6.241368999999999, 'lng': 106.7890587}</t>
  </si>
  <si>
    <t>Grand Indonesia Mall</t>
  </si>
  <si>
    <t>Grand Indonesia merupakan mal di Jakarta. Mal ini dibuka pada tahun 2007 oleh Presiden Susilo Bambang Yudhoyono. Pada tahun 2007, Hotel Indonesia mengalami pemugaran. Selanjutnya setelah dibuka kembali, hotel dikelola oleh grup Kempinski dan namanya diganti menjadi Hotel Indonesia-Kempinski.</t>
  </si>
  <si>
    <t>{'lat': -6.195180099999999, 'lng': 106.8204412}</t>
  </si>
  <si>
    <t>Skyrink - Mall Taman Anggrek</t>
  </si>
  <si>
    <t>Salah satu arena ice skating Jakarta adalah Ice Skating Taman Anggrek. Area ice skating di Taman Anggrek dibuat seluas 1.248 meter persegi. Ice Skating Termegah Di Indonesia adalaH di Taman Anggrek. Tidak hanya termegah di Indonesia tetapi juga termegah di Asia.Maka dari itu tidak mengherankan bahwa banyak sekali pengunjung yang datang.</t>
  </si>
  <si>
    <t>{'lat': -6.178996, 'lng': 106.791941}</t>
  </si>
  <si>
    <t>Bumi Perkemahan Cibubur</t>
  </si>
  <si>
    <t xml:space="preserve">Bumi Perkemahan dan Graha Wisata Pramuka Cibubur (Buperta Cibubur) adalah kawasan perkemahan yang terdapat di Cibubur, Ciracas, Jakarta Timur. Kawasan ini memiliki luas 210 hektar dan sudah berkali-kali menjadi lokasi pelaksanaan Jambore Nasional sejak tahun 1973. Buperta Cibubur dibangun di kawasan yang sebelumnya merupakan hutan karet. Pihak pengelola juga bekerja sama dengan TNI AD dan TNI AU dalam pengelolaan Buperta Cibubur.Buperta Cibubur dapat diakses dari Terminal Kampung Rambutan dengan angkutan umum jurusan Kranggan atau Mekarsari Jonggol,
</t>
  </si>
  <si>
    <t>{'lat': -6.360248700000001, 'lng': 106.893842}</t>
  </si>
  <si>
    <t>Istana Negara Republik Indonesia</t>
  </si>
  <si>
    <t>Istana Negara merupakan pusat kegiatan pemerintahan negara. Banyak kegiatan-kegiatan bersifat kenegaraan digelar di Istana Negara. Seperti kegiatan pelantikan pejabat-pejabat penting negara, maupun pembukaan kongres bersifat nasional dan internasional. Istana Negara fungsinya lebih difokuskan kepada kegiatan resmi kepresidenan, yaitu sebagai kantor Presiden Republik Indonesia. Dilansir situs Sekretaris Negara (Sesneg), Istana Negara awalnya sebagai kediaman pribadi warga Belanda, J.A Van Braam.</t>
  </si>
  <si>
    <t>{'lat': -6.168069000000001, 'lng': 106.8239727}</t>
  </si>
  <si>
    <t>Museum Macan (Modern and Contemporary Art in Nusantara)</t>
  </si>
  <si>
    <t>Museum Seni Modern dan Kontemporer di Nusantara atau Museum MACAN adalah sebuah museum seni di Kebon Jeruk di Jakarta, Indonesia. Museum ini merupakan yang pertama di Indonesia yang memiliki koleksi seni modern dan kontemporer Indonesia dan internasional.</t>
  </si>
  <si>
    <t>{'lat': -6.190942, 'lng': 106.767622}</t>
  </si>
  <si>
    <t>Galeri Nasional Indonesia</t>
  </si>
  <si>
    <t xml:space="preserve">Galeri Nasional Indonesia (bahasa Inggris: National Gallery of Indonesia) adalah sebuah lembaga budaya negara atau sebagai museum seni rupa modern dan kontemporer. Di sini terdapat gedung yang berfungsi antara lain sebagai tempat pameran, dan perhelatan seni rupa Indonesia dan mancanegara. Gedung ini merupakan institusi milik pemerintah di bawah Menteri Pendidikan dan Kebudayaan. Fungsi Galeri Nasional Indonesia adalah melaksanakan pengkajian, pengumpulan, registrasi, perawatan, pengamanan, pameran, kemitraan, layanan edukasi dan publikasi karya seni rupa. Lalu fungsi utamanya adalah melindungi, pengembangan, dan pemanfaatan asset kesenian (seni rupa) sebagai fasilitas pendidikan dan kebudayaan. Galeri Nasional beralamat di Jalan Medan Merdeka Timur No. 14 Jakarta Pusat.
</t>
  </si>
  <si>
    <t>{'lat': -6.178548200000001, 'lng': 106.8327716}</t>
  </si>
  <si>
    <t>Museum Bahari Jakarta</t>
  </si>
  <si>
    <t>Museum Bahari adalah museum yang menyimpan koleksi yang berhubungan dengan kebaharian dan kenelayanan bangsa Indonesia dari Sabang hingga Merauke yang berlokasi di seberang Pelabuhan Sunda Kelapa. Museum adalah salah satu dari delapan museum yang berada di bawah pengawasan dari Dinas Kebudayaan Permuseuman Provinsi Daerah Khusus Ibu kota Jakarta.</t>
  </si>
  <si>
    <t>{'lat': -6.1269553, 'lng': 106.8085899}</t>
  </si>
  <si>
    <t>Museum Seni Rupa dan Kramik</t>
  </si>
  <si>
    <t>Museum Seni Rupa dan Keramik (Indonesia: Museum Seni Rupa dan Keramik) adalah sebuah museum di Jakarta, Indonesia. Museum ini didedikasikan khusus untuk menampilkan seni rupa tradisional dan keramik Indonesia. Museum ini terletak di sisi timur Lapangan Fatahillah, dekat Museum Sejarah Jakarta dan Museum Wayang.</t>
  </si>
  <si>
    <t>{'lat': -6.1342598, 'lng': 106.814552}</t>
  </si>
  <si>
    <t>The Escape Hunt</t>
  </si>
  <si>
    <t>Escape Hunt adalah salah satu tempat rekreasi yang lokasinya terletak di Jakarta Selatan. Di tempat ini, kamu akan berperan sebagai seorang detektif yang berada di sebuah ruangan terkunci dan hanya diberikan waktu 1 jam untuk memecahkan teka-teki yang ada. Tidak perlu khawatir atau takut sendirian, karena di sini kamu bisa mengajak hingga 4 temanmu dalam satu ruangan yang sama dan memecahkan kasus bersama-sama. Menarik sekali, bukan? Pertama kali datang di tempat ini, kamu akan dituntun untuk mengisi data di formulir yang telah disediakan dan diberikan briefing oleh pemandu game mengenai jalan cerita tema/kasus yang sudah kamu tentukan.</t>
  </si>
  <si>
    <t>{'lat': -6.2555033, 'lng': 106.8122591}</t>
  </si>
  <si>
    <t>Monumen Selamat Datang</t>
  </si>
  <si>
    <t xml:space="preserve">Monumen Selamat Datang adalah sebuah monumen yang terletak di tengah Bundaran Hotel Indonesia, Jakarta, Indonesia. Monumen ini berupa patung sepasang manusia yang sedang menggenggam bunga dan melambaikan tangan. Patung tersebut menghadap ke utara yang berarti mereka menyambut orang-orang yang datang dari arah Monumen Nasional.
</t>
  </si>
  <si>
    <t>{'lat': -6.194997799999999, 'lng': 106.8230496}</t>
  </si>
  <si>
    <t>Jakarta Aquarium dan Safari</t>
  </si>
  <si>
    <t>Jika telah mengunjungi Seaworld Ancol, mungkin sudah tidak asing lagi dengan serunya menyaksikan biota laut. Jika belum puas, pengunjung dapat mencoba mengunjungi wisata satwa laut unik di Jakarta Aquarium. Jakarta Aquarium menempati areal seluas ±7000 m2 ini menawarkan atraksi wisata laut modern yang tidak hanya menghibur, juga edukatif. Meskipun tidak seluas SeaWorld Ancol, taman rekreasi ini juga menawarkan wahana dan atraksi yang tak kalah menariknya.</t>
  </si>
  <si>
    <t>{'lat': -6.1752647, 'lng': 106.7904684}</t>
  </si>
  <si>
    <t>Pulau Semak Daun</t>
  </si>
  <si>
    <t>Pulau Semak Daun merupakan salah satu pulau yang terletak digugusan kepulauan Seribu. Secara administratif pulau ini termasuk dalam wilayah kabupaten Kepulauan Seribu provinsi DKI Jakarta sebagai daerah penangkaran penyu sisik dengan pantai yang nyaman untuk berenang karena pantainya yang bersih dan landai, berpasir putih, dan bebas bulu babi, terdapat pula daerah yang bagus untuk menyelam dan snorkeling pemula dan letaknya tidak jauh dari pulau Pramuka.</t>
  </si>
  <si>
    <t>{'lat': -5.729671599999999, 'lng': 106.5714158}</t>
  </si>
  <si>
    <t>Taman Situ Lembang</t>
  </si>
  <si>
    <t>Taman Situ Lembang adalah sebuah taman kota yang terletak di pusat Jakarta. Situ berarti danau yang payau, sedangkan Lembang adalah nama jalan yang berada di dekat taman tersebut..\nTaman ini merupakan salah satu taman tertua di Jakarta dan memiliki danau kecil yang airnya berasal dari sumber air alam. Di taman ini terletak fasilitas arena pemancingan, trek lari, dan arena permainan anak. Taman Situ Lembang dikelilingi oleh rumah-rumah di kawasan elite Menteng</t>
  </si>
  <si>
    <t>{'lat': -6.1978861, 'lng': 106.8346708}</t>
  </si>
  <si>
    <t>Taman Ismail Marzuki</t>
  </si>
  <si>
    <t>Pusat Kesenian Jakarta Taman Ismail Marzuki yang populer disebut Taman Ismail Marzuki (TIM) merupakan sebuah pusat kesenian dan kebudayaan yang berlokasi di jalan Cikini Raya 73, Jakarta Pusat. Di sini terletak Institut Kesenian Jakarta dan Planetarium Jakarta. Selain itu, TIM juga memiliki enam teater modern, balai pameran, galeri, gedung arsip, dan bioskop. Acara-acara seni dan budaya dipertunjukkan secara rutin di pusat kesenian ini, termasuk pementasan drama, tari, wayang, musik, pembacaan puisi, pameran lukisan dan pertunjukan film. Berbagai jenis kesenian tradisional dan kontemporer, baik yang merupakan tradisi asli Indonesia maupun dari luar negeri juga dapat ditemukan di tempat ini. Nama pusat kesenian ini berasal dari nama pencipta lagu terkenal Indonesia, Ismail Marzuki.</t>
  </si>
  <si>
    <t>{'lat': -6.1891586, 'lng': 106.8397738}</t>
  </si>
  <si>
    <t>Galeri Indonesia Kaya</t>
  </si>
  <si>
    <t>Galeri Indonesia Kaya (disingkat GIK) adalah ruang publik yang memadukan konsep edukasi dan digital dengan tujuan untuk memperkenalkan dan mengapresiasi seni-budaya Indonesia khususnya kepada generasi muda, yang bertempat di Grand Indonesia, Jakarta, Indonesia. Galeri Indonesia Kaya digagas dan dibangun untuk menjadi ruang edutainment budaya berbasis teknologi digital yang dapat mendekatkan dan menyalurkan kreativitas berekspresi generasi muda dalam lingkup tradisi budaya nusantara. Tempat ini memiliki auditorium yang dapat digunakan untuk masyarakat yang membutuhkan tempat berkarya.</t>
  </si>
  <si>
    <t>{'lat': -6.1948499, 'lng': 106.8200607}</t>
  </si>
  <si>
    <t>Museum Joang 45</t>
  </si>
  <si>
    <t>Gedung Joang '45 atau Museum Joang 45 adalah salah satu museum yang berada di Jakarta. Saat ini pengelolaannya dilaksanakan oleh Dinas Pariwisata dan Kebudayaan Provinsi DKI Jakarta. Museum ini terletak di Jalan Menteng Raya 31, Kelurahan Kebon Sirih, Kecamatan Menteng, Jakarta Pusat. Museum ini diresmikan pada tahun 1974 oleh Presiden Soeharto, setelah dilakukan renovasi.</t>
  </si>
  <si>
    <t>{'lat': -6.186183799999998, 'lng': 106.8364761}</t>
  </si>
  <si>
    <t>Jakarta Planetarium</t>
  </si>
  <si>
    <t>Planetarium dan Observatorium Jakarta adalah satu dari tiga wahana simulasi langit di Indonesia selain di Kutai, Kalimantan Timur, dan Surabaya, Jawa Timur. Planetarium tertua ini letaknya di Taman Ismail Marzuki, Jakarta. Planetarium Jakarta merupakan sarana wisata pendidikan yang dapat menyajikan pertunjukan / peragaan simulasi perbintangan atau benda-benda langit. Pengunjung diajak mengembara di jagat raya untuk memahami konsepsi tentang alam semesta melalui acara demi acara. Planetarium Jakarta berdiri tahun 1964 diprakarsai Presiden Soekarno dan diserahkan ke Pemerintah Provinsi DKI Jakarta pada 1969. Di tempat ini juga tersedia ruang pameran benda- benda angkasa yang menyuguhkan berbagai foto serta keterangan lengkap dari berbagai bentuk galaksi, teori-teori pembentukan galaksi disertai pengenalan tokoh-tokoh di balik munculnya teori.</t>
  </si>
  <si>
    <t>{'lat': -6.190081899999999, 'lng': 106.8388532}</t>
  </si>
  <si>
    <t>Kampung Cina</t>
  </si>
  <si>
    <t xml:space="preserve">KAMPUNG China adalah hunian dan kawasan perdagangan di Cibubur, Jakarta Timur. Wilayah ini berdiri berkat kerja sama antara Pemerintah Kota Jakarta Timur dengan perusahaan asing untuk menyulap area 300 hektare kawasan wisata Cibubur menjadi kota wisata, mandiri dan town center. Mengutip buku Ensiklopedia Jakarta, kampung itu mulai beroperasi pada tanggal 14 September 2002. Bangunan, nuansa alam, sampai pernak-pernik yang dijual masih berbau kesenian China. Semua produk yang dijajahkan pun berasal dari negeri tirai bambu tersebut. Wilayah itu akan menjadi tujuan wisata pada setiap perayaan hari raya Imlek.
</t>
  </si>
  <si>
    <t>{'lat': -6.3651357, 'lng': 106.7617984}</t>
  </si>
  <si>
    <t>Rumah Sipitung</t>
  </si>
  <si>
    <t>Rumah Si Pitung di Marunda, Jakarta Utara, Indonesia, merupakan satu dari sedikit rumah panggung Betawi yang tersisa. Rumah panggung ini merupakan representasi hunian panggung masyarakat Betawi yang tinggal di wilayah-wilayah Pesisir. Rumah ini menjadi museum dan masuk dalam cagar budaya. Tidak diketahui kapan persisnya Rumah Si Pitung didirikan. Diperkirakan bangunan tersebut dibangun pada abad ke-20. Rumah panggung yang sering juga disebut Rumah Tinggi Marunda ini mirip dengan rumah tradisional Suku Bugis. Rumah ini tadinya milik Haji Saipudin, seorang saudagar kaya bandar ikan asal Makassar (sumber lain mengatakan Haji Saipudin adalah juragan sero, atau konglomerat kapal). Haji Saipuddin diyakini merupakan sahabat erat Si Pitung. Pitung ditengarai hanya beberapa kali singgah di rumah itu (diperkirakan pada dasawarsa 1890-an). Singgahnya Si Pitung terakhir kali adalah dalam rangka bersembunyi dari kejaran tentara Belanda dengan tuduhan merampok. Pemerintah DKI Jakarta pertama kali memugar rumah panggung yang ditopang oleh 40 buah tiang itu pada tahun 1972. Sebelumnya pada tahun yang sama bangunan ini dibeli oleh Pemprov DKI Jakarta dari keturunan (ahli waris) H. Saipudin. Bangunan tersebut kini menjadi museum dan masuk dalam cagar budaya berdasarkan SK Gubernur No.475 tahun 1993 dan SK Menteri No.140/M/1998. Lembaga yang memberi nama rumah asli Betawi Pesisir ini sebagai rumah Si Pitung adalah Museum Nasional.</t>
  </si>
  <si>
    <t>{'lat': -6.10016, 'lng': 106.96057}</t>
  </si>
  <si>
    <t>Taman Agrowisata Cilangkap</t>
  </si>
  <si>
    <t>Taman seluas sekitar 19 hektar ini dimiliki oleh pemerintah Provinsi (Pemprov) DKI Jakarta yang dikelola oleh Dinas Pertanian dan Kehutanan DKI. Taman Wisata Agro Cilangkap ini terletak di Jalan Raya Cilangkap No.45, Jakarta Timur. Taman ini terasa begitu permai dengan tumbuhnya aneka jenis pepohonan rindang. Kesejukan udara yang jauh dari polusi asap kendaraan bermotor, juga dapat dinikmati di taman yang dijadikan alternatif destinasi wisata bagi warga berdomisili di sekitar kawasan tersebut. Taman Wisata Agro Cilangkap juga dilengkapi dengan beberapa fasilitas seperti arena olahraga, jogging track, arena bermain anak, serta bagi sobat Ayojakarta yang memiliki hobi memancing, di sekitar area taman memiliki danau yang biasanya dijadikan area untuk memancing.</t>
  </si>
  <si>
    <t>{'lat': -6.340151399999999, 'lng': 106.9012561}</t>
  </si>
  <si>
    <t>Klenteng Jin De Yuan</t>
  </si>
  <si>
    <t>Kelenteng Kim Tek Le, atau yang lebih dikenal dengan Kelenteng Jin De Yuan, sudah dibangun sejak 1650. Kelenteng yang disebut-sebut sebagai yang tertua di Jakarta ini didirikan oleh seorang Letnan Tionghoa, Kwee Hoen dan awalnya dinamakan Koan Im Teng. Jin De Yuan juga dikenal sebagai salah satu dari empat kelenteng besar yang dikelola oleh Kong Koan atau Dewan Tionghoa. Mereka adalah Kelenteng Goenoeng Sari, Kelenteng Toa Peh Kong, Kelenteng Jin De yuan sendiri, dan Kelenteng Hian Thian Shang di Tanah Tandjoeng yang kini sudah musnah.</t>
  </si>
  <si>
    <t>{'lat': -6.144473700000001, 'lng': 106.8126018}</t>
  </si>
  <si>
    <t>Pantai Ancol</t>
  </si>
  <si>
    <t>Pantai Ancol merupakan kawasan wisata yang merupakan destinasi wisata pantai dalam kota Jakarta. Wisatawan dapat menikmati suasana segar Pantai Lagoon, Festival, Indah, Beach Pool dan Carnaval, serta Danau Impian. Berlibur di alam terbuka dipercaya memiliki efek menenangkan dan menyenangkan. Panjang garis pantainya yang kurang lebih 6,5 km menjadi tempat berbagai aktivitas wisata. Wisata pantai ini merupakan BUMD penghasil Pendapatan Asli Daerah kedua terbesar bagi provinsi DKI Jakarta.</t>
  </si>
  <si>
    <t>{'lat': -6.1194215, 'lng': 106.8502435}</t>
  </si>
  <si>
    <t>Taman Lapangan Banteng</t>
  </si>
  <si>
    <t>Lapangan Banteng, dulu bernama Waterlooplein (bahasa Belanda: plein = lapangan) yaitu suatu lapangan yang terletak di Weltevreden, Batavia; tidak jauh dari Gereja Katedral Jakarta. Pada masa itu, Lapangan Banteng dikenal dengan sebutan Lapangan Singa[1] karena di tengahnya terpancang tugu peringatan kemenangan pertempuran di Waterloo, dengan patung singa di atasnya. Pertempuran Waterloo tersebut terjadi tanggal 18 Juni 1815 di dekat kota Waterloo, yaitu sekitar 15 km ke arah selatan dari ibu kota Belgia, Brussels. Pertempuran itu merupakan pertempuran terakhir Napoleon melawan pasukan gabungan Inggris-Belanda-Jerman. Pertempuran ini juga dicatat dalam sejarah sebagai penutup dari seratus hari sejak larinya Napoleon dari pengasingannya di pulau Elba. Sedangkan Tugu Singa tersebut didirikan pada zaman pemerintahan pendudukan tentara Jepang (1942-1945). Setelah Indonesia merdeka, namanya diganti menjadi Lapangan Banteng. Terdapat kemungkinan pada zaman dahulu tempat yang kini menjadi lapangan itu dihuni berbagai macam satwa liar seperti macan, kijang, dan banteng. Pada waktu J.P. Coen membangun kota Batavia di dekat muara Ciliwung, lapangan tersebut dan sekelilingnya masih berupa hutan belantara yang sebagian berpaya–paya. Sebelah timur dijalan Lapangan banteng timur tedapat Kantor Satlantas Polres jakarta Pusat.</t>
  </si>
  <si>
    <t>{'lat': -6.170554999999999, 'lng': 106.8350378}</t>
  </si>
  <si>
    <t>Taman Ayodya</t>
  </si>
  <si>
    <t>Taman Ayodya, yang dulu bernama Taman Barito, adalah sebuah taman kota yang berada di Jakarta Selatan. Taman ini berlokasi di atas lahan seluas 7.500 m2, dilengkapi dengan kolam buatan seluas 1.500 m2 di tengahnya.\nTaman Ayodya juga dilengkapi dengan jalur pijakan, kursi, gazebo, pendopo, kamar mandi, serta trek jogging.. Di dekat taman ini terdapat hotel dan pasar seperti Hotel Gran Mahakam, Plaza Blok M, Pasar Burung Barito, Mal Kebayoran Baru, dan Pasar Taman Puring.\nTaman ini bersebelahan dengan Taman Langsat hanya dengan menyebrang jalan raya saja.</t>
  </si>
  <si>
    <t>{'lat': -6.245229400000001, 'lng': 106.7946655}</t>
  </si>
  <si>
    <t>Museum Sumpah Pemuda</t>
  </si>
  <si>
    <t xml:space="preserve">Museum Sumpah Pemuda adalah sebuah museum sejarah perjuangan kemerdekaan Republik Indonesia yang berada di Jalan Kramat Raya No. 106, Jakarta Pusat dan dikelola oleh Kementerian Pendidikan dan Kebudayaan Republik Indonesia. Museum ini dibuka untuk umum, setiap hari Selasa sampai dengan Jumat dari pukul 08.00 hingga 16.00 UTC+7, setiap Sabtu dan Minggu pada pukul 08.00—16.00 WIB, dan setiap hari Senin dan hari besar nasional, museum ini ditutup untuk umum.\nMuseum ini memiliki koleksi foto dan benda-benda yang berhubungan dengan sejarah Sumpah Pemuda 1928, serta kegiatan-kegiatan dalam pergerakan nasional kepemudaan Indonesia. Museum Sumpah Pemuda ini didirikan berdasarkan SK Gubernur DKI Jakarta pada tahun 1972 dan menjadi benda cagar budaya nasional.
</t>
  </si>
  <si>
    <t>{'lat': -6.183838799999999, 'lng': 106.8430507}</t>
  </si>
  <si>
    <t>Museum Tekstil</t>
  </si>
  <si>
    <t>Museum cinta Tekstil menempati gedung tua di Jalan K.S. Tubun / Kota Bambu Selatan No. 4 Kecamatan Palmerah, Jakarta Barat\n\nGedungnya sendiri pada mulanya adalah rumah pribadi seorang warga negara Prancis yang dibangun pada abad ke-19. Kemudian dibeli oleh konsul Turki bernama Abdul Azis Almussawi Al Kazimi yang menetap di Indonesia. Selanjutnya tahun 1942 dijual kepada Dr. Karel Christian Cruq.\nPada masa perjuangan kemerdekaan Indonesia, gedung ini menjadi markas Barisan Keamanan Rakyat (BKR) dan tahun 1947 didiami oleh Lie Sion Pin. Pada tahun 1952 dibeli oleh Departemen Sosial dan pada tanggal 25 Oktober 1975 diserahkan kepada Pemda DKI Jakarta yang untuk kemudian pada tanggal 28 Juni 1976 diresmikan penggunaannya oleh Ibu Tien Soeharto sebagai Museum Tekstil.</t>
  </si>
  <si>
    <t>{'lat': -6.187963400000002, 'lng': 106.8096081}</t>
  </si>
  <si>
    <t>Tugu Proklamasi</t>
  </si>
  <si>
    <t>Tugu Proklamasi adalah tugu peringatan proklamasi kemerdekaan Republik Indonesia yang berdiri di kompleks Taman Proklamasi di Jalan Proklamasi, Jakarta Pusat. Taman tersebut berlokasi di bekas kediaman Sukarno di Jalan Pegangsaan Timur 56. Rumah tersebut, telah dihancurkan, adalah lokasi pembacaan proklamasi kemerdekaan.Pada kompleks juga terdapat monumen dua patung Sukarno-Hatta berukuran besar yang berdiri berdampingan, mirip dengan dokumentasi foto ketika naskah proklamasi pertama kali dibacakan. Di tengah-tengah dua patung proklamator terdapat patung naskah proklamasi terbuat dari lempengan batu marmer hitam, dengan susunan dan bentuk tulisan mirip dengan naskah ketikan aslinya.</t>
  </si>
  <si>
    <t>{'lat': -6.2030468, 'lng': 106.8466623}</t>
  </si>
  <si>
    <t>Taman Legenda Keong Emas</t>
  </si>
  <si>
    <t>Taman Legenda Keong Emas merupakan salah satu tempat rekreasi favorit yang ada di kawasan Jakarta Timur. Berada di dalam lokasi Taman Mini Indonesia Indah atau TMII, Taman Legenda Keong Emas TMII juga telah menjadi ikon di dalam pusat sarana wisata terbesar di Indonesia ini. Selain sebagai sarana rekreasi untuk seluruh keluarga, Taman Legenda Keong Emas TMII juga mempunyai visi dan misi untuk mengedukasi masyarakat sekaligus melestarikan warisan kebudayaan Indonesia, salah satunya melalui legenda cerita rakyat.</t>
  </si>
  <si>
    <t>{'lat': -6.303904200000001, 'lng': 106.8936219}</t>
  </si>
  <si>
    <t>Museum Kebangkitan Nasional</t>
  </si>
  <si>
    <t>Museum Kebangkitan Nasional (bahasa Inggris: Museum of National Awakening) adalah sebuah gedung yang dibangun sebagai monumen tempat lahir dan berkembangnya kesadaran nasional dan juga ditemukannya organisasi pergerakan modern pertama kali dengan nama Boedi Oetomo. Sebelum menjadi museum, bangunan ini dahulunya adalah sekolah kedokteran yang didirikan oleh Belanda dengan nama School tot Opleiding van Inlandsche Artsen disingkat STOVIA atau Sekolah Dokter Bumiputra. Dalam perjalanannya, gedung tersebut selalu beralih fungsi. Lokasi museum ini tidak jauh dari Pasar Senen, tepatnya di Jalan Abdurrahman Saleh No.26, sebelum RSPAD Gatot Subroto, Jakarta Pusat.</t>
  </si>
  <si>
    <t>{'lat': -6.178352, 'lng': 106.838094}</t>
  </si>
  <si>
    <t>Museum Sasmita Loka Ahmad Yani</t>
  </si>
  <si>
    <t>Museum Sasmita Loka Ahmad Yani adalah salah satu museum pahlawan nasional yang terletak di jalan Lembang No. 58 dan jalan Laruharhari No. 65, Jakarta Pusat, DKI Jakarta, Indonesia. Museum ini terbuka untuk umum dari hari Selasa hingga hari Minggu, dari pukul 08:00 hingga pukul 14:00 WIB. Setiap hari Senin museum ini ditutup untuk umum.</t>
  </si>
  <si>
    <t>{'lat': -6.204630300000001, 'lng': 106.8365324}</t>
  </si>
  <si>
    <t>Museum Basoeki Abdullah</t>
  </si>
  <si>
    <t xml:space="preserve">Museum Basoeki Abdullah berisi lukisan dan koleksi pribadi Basoeki Abdullah seperti patung, topeng, wayang dan senjata. Museum yang terletak di Jakarta Selatan ini dikelola oleh Kementerian Pendidikan dan Kebudayaan. Selain digunakan untuk pameran, museum ini juga digunakan untuk menggelar seminar, penelitian, lokakarya serta menerbitkan bermacam bentuk publikasi berupa katalog, biografi, kumpulan artikel dan hasil penelitian.
</t>
  </si>
  <si>
    <t>{'lat': -6.289788499999998, 'lng': 106.7932681}</t>
  </si>
  <si>
    <t>Museum Layang-layang</t>
  </si>
  <si>
    <t>Museum Layang-Layang adalah sebuah museum yang terletak di Jl. H. Kamang No. 38, Pondok Labu, Jakarta Selatan. Museum ini merupakan museum layang-layang pertama di Indonesia. Jumlah koleksi layang-layang di museum ini berjumlah 600, tetapi jumlah tersebut terus bertambah seiring datangnya koleksi-koleksi baru dari para pelayang daerah dan luar negeri maupun layang-layang yang dibuat sendiri oleh karyawan museum. Museum Layang-Layang buka setiap hari mulai pukul 09.00-16.00 WIB. Hari libur nasional Museum Layang-layang tutup.</t>
  </si>
  <si>
    <t>{'lat': -6.3080282, 'lng': 106.790548}</t>
  </si>
  <si>
    <t>Margasatwa Muara Angke</t>
  </si>
  <si>
    <t>Suaka margasatwa Muara Angke adalah sebuah kawasan konservasi berdasarkan SK Menteri Kehutanan RI Nomor: 097/Kpts-II/1988, 29 Februari 1998 di wilayah hutan bakau di pesisir utara Jakarta. Secara administratif, kawasan ini termasuk wilayah Kelurahan Kapuk Muara, Kecamatan Penjaringan, Kotamadya Jakarta Utara.</t>
  </si>
  <si>
    <t>{'lat': -6.1160075, 'lng': 106.7692016}</t>
  </si>
  <si>
    <t>Pasar Petak Sembilan</t>
  </si>
  <si>
    <t>Pecinan Glodok, tepatnya di Pasar Petak Sembilan, Jakarta Barat merupakan salah satu tempat yang menjual berbagai macam kuliner khas China. Kawasan yang sebagaian besar dihuni oleh orang Tionghoa ini terkenal dengan kuliner khas China yang banyak dijajakan oleh para warga. Mulai dari kue keranjang, kue dodol, hingga kue lapis banyak dijajakan di sini. Dengan harga mulai dari Rp 30 ribu hingga Rp 100 ribu, ketiga jenis kue ini menjadi kue yang paling sering dibeli untuk melengkapi perayaan Imlek. Menurut sumber dari penjual, mereka mengaku bahwa kue yang dijajakan didatangkan langsung dari berbagai daerah. Karena berasal dari wilayah yang berbeda, kue-kue ini memilliki ciri khas tersendiri.</t>
  </si>
  <si>
    <t>{'lat': -6.143672200000001, 'lng': 106.8129398}</t>
  </si>
  <si>
    <t>Freedom Library</t>
  </si>
  <si>
    <t xml:space="preserve">Freedom Library adalah perpustakaan buku yang dibuka umum. Memiliki puluhan ribu koleksi buku yang disusun di rak dan sesuai dengan tema, sehingga mempermudah untuk mencari buku yang diinginkan. Dengan desain ruangan yang modern serta suasana yang tenang membuat pembaca akan betah berlama-lama disini.  Cukup dengan mendaftar menjadi member terlebih dahulu dan tidak dikenakan biaya (Gratis) kalian bisa membaca buku diperpustakaan ini.
</t>
  </si>
  <si>
    <t>{'lat': -6.202248200000001, 'lng': 106.8451968}</t>
  </si>
  <si>
    <t>Perpustakaan Nasional</t>
  </si>
  <si>
    <t>Perpustakaan Nasional adalah perpustakaan yang secara khusus didirikan oleh Pemerintah Negara demi menyimpan informasi negara tersebut. Berbeda dengan perpustakaan umum, sangatlah jarang khalayak ramai diperbolehkan meminjam buku. Seringkali sebuah perpustakaan nasional menyimpan koleksi langka dan bersejarah.\nBeberapa perpustakaan awal bisa disebut perpustakaan nasional, seperti Perpustakaan Alexandria yang merupakan Perpustakaan Mesir Kuno. Perpustakaan nasional sering kali berukuran sangat besar dan luas apalagi jika diperbandingkan dengan perpustakaan biasa lainnya di negaranya. Beberapa negara yang tidak independen, tetapi tetap berkeinginan melestarikan budaya khusus mereka umumnya mendirikan sebuah perpustakaan nasional dengan segala atribut kelembagaan tersebut deposito hukum.\nBanyak perpustakaan nasional yang bekerja sama dengan Federasi Internasional dari Asosiasi dan Institusi Perpustakaan (bahasa Inggris: International Federation of Library Associations and Institutions (IFLA)) guna membagas tugas umum, menetapkan, dan mempromosikan standar umum serta pelaksanaan proyek untuk membantu memenuhi tugas mereka. Perpustakaan nasional di Eropa berpartisipasi dalam Perpustakaan Eropa. Ini merupakan pelayanan dari Konferensi Pustakawan Nasional Eropa (bahasa Inggris: Conference of European National Librarians (CENL)).\nSalah satu rencana pertama dari sebuah perpustakaan nasional yang dirancang oleh matematikawan, John Dee, pada tahun 1556 yang diperlihatkan pada Mary I dari Inggris dengan rencana yang visioner untuk pelestarian buku-buku lama, manuskrip, dan catatan dan pendirian perpustakaan nasional, tetapi proposal tersebut tidak disetujui.</t>
  </si>
  <si>
    <t>{'lat': -6.181291799999999, 'lng': 106.8268717}</t>
  </si>
  <si>
    <t>Cibubur Garden Diary (Cibugary)</t>
  </si>
  <si>
    <t>Cibubur Garden Dairy atau biasa dikenal degan sebutan Cibugary merupakan sebuah perternakan sapi perah dan peternakan kambing yang memiliki nuansa kebun dikawasan Cibubur, sang empunya Bapak Rachmat Baghory mempunyai inisiatif untuk menjadikan tempat tersebut sebagai wisata agro edukatif terutama untuk anak-anak.</t>
  </si>
  <si>
    <t>{'lat': -6.379996900000001, 'lng': 106.8949793}</t>
  </si>
  <si>
    <t>Waterboom PIK (Pantai Indah Kapuk)</t>
  </si>
  <si>
    <t>Waterbom Jakarta merupakan sebuah wahana permainan air yang cukup populer di kawasan Pantai Indah Kapuk (PIK), Jakarta Utara. Harga tiket masuk Waterboom PIK tidak terlalu menguras kantong, hanya Rp 100 ribu per orang saat weekday atau Rp 200 ribu saat weekend. Waterboom PIK menjadi objek wisata favorit saat liburan karena menawarkan fasilitas memadai dan memiliki wahana permainan air yang terbilang lengkap.</t>
  </si>
  <si>
    <t>{'lat': -6.113655899999999, 'lng': 106.7478596}</t>
  </si>
  <si>
    <t>Museum Perangko</t>
  </si>
  <si>
    <t>Museum perangko dibangun dengan bentuk bangunan bergaya Jawa Bali di atas lahan seluas 9.590 m2 dan diresmikan oleh Presiden Soeharto pada tanggal 29 September 1983. Museum ini memamerkan koleksi perangko asal Indonesia dan luar negeri. Adapula sepeda pos antik merk Falter buatan Jerman Barat tahun 1950 diletakkan di serambi museum. Halaman depan ada bola dunia dengan merpati yang membawa sebuah surat yang melambangkan bahwa tugas Perum Pos dan Giro menjangkau seluruh dunia.</t>
  </si>
  <si>
    <t>{'lat': -6.304184100000001, 'lng': 106.9017725}</t>
  </si>
  <si>
    <t>Museum Tengah Kebun</t>
  </si>
  <si>
    <t>Museum di Tengah Kebun adalah sebuah museum penyimpanan ± 4.000 koleksi seni dan sejarah Indonesia dan luar negeri yang berlokasi di daerah Kemang, Jakarta Selatan. Museum ini dibangun di tengah kebun seluas 3.500 m2. Museum ini dimiliki secara pribadi oleh Sjahrial Djalil, salah satu tokoh periklanan modern Indonesia dan pendiri biro iklan Ad Force Inc. Pada tahun 2013, museum ini terpilih sebagai Museum Swasta Terbaik di Museum Awards dengan koleksi dari 63 negara dan 26 provinsi di Indonesia.[2] Hal yang membuat museum ini berbeda dari museum lainnya adalah penataan sebanyak 2.414 koleksi yang dipamerkan kepada pengunjung diletakkan tidak beraturan di berbagai sudut ruangan, seperti lantai, tangah taman, toilet, dinding luar rumah, dan lain sebagainya.</t>
  </si>
  <si>
    <t>{'lat': -6.267513, 'lng': 106.824107}</t>
  </si>
  <si>
    <t>SnowBay Waterpark</t>
  </si>
  <si>
    <t>Waterpark yang menghadirkan wahana imajinatif berkonsep pegunungan bersalju. Tidak ketinggalan dengan atraksi air terbaik yang sangat menyenangkan. Dengan luas sekitar 3 hektar, tempat wisata ini menyediakan wahana – wahana permainan air terbaik. Tak salah jika water park ini diminati dan dipadati oleh pengunjung terutama saat musim liburan datang. Pengunjung dapat menikmati keseruan berbagai atraksi air dengan pemandangan artistik yang menutupi 70% kawasan dengan salju. Pengunjung dapat merasakan rasa lelah dan penat berkurang hanya dengan menyaksikan suasana salju eksotik ini. Pengunjung akan disambut dengan rekreasi air berkelas dunia dengan konsep petualangan yang akan membuat terkesima. Menyuguhkan berbagai aktivitas seru yang dapat dinikmati oleh seluruh keluarga dari segala umur. Tidak hanya permainan air, terdapat juga wahana yang menantang adrenalin, cocok bagi yang ingin melepas stres.</t>
  </si>
  <si>
    <t>{'lat': -6.299271800000001, 'lng': 106.89151}</t>
  </si>
  <si>
    <t>Taman Cattleya</t>
  </si>
  <si>
    <t>Kehadiran Taman Cattleya tentu saja sangat bermanfaat bagi masyarakat Ibu Kota, ditengah situasi penatnya kemacetan, tumpukkan pekerjaan, serta polusi yang menjadi ancaman bagi kota-kota besar. Lokasi Taman Cattleya sangat strategis bagi mereka anda yang sedang bingung mencari tempat yang pas di akhir pekan. Lokasi Taman Cattleya berada di dekat pusat perbelanjaan yang sangat terkenal, yaitu Mall Taman Anggrek.</t>
  </si>
  <si>
    <t>{'lat': -6.181084299999999, 'lng': 106.7954476}</t>
  </si>
  <si>
    <t>Taman Hutan Tebet</t>
  </si>
  <si>
    <t>Taman Tebet dibangun tahun 1960, taman ini sempat tertunda di tahun 1970 dan jadi pemukiman liar sampai tahun 2006. Dahulu, namanya Taman Honda. Bukan tanpa alasan, dinamakan demikian karena restorasi taman ini dilakukan atas kerjasama PT Honda Prospect Motor dan Pemerintah Provinsi DKI Jakarta. Taman seluas 1.800 m2 yang diresmikan oleh gubernur DKI Jakarta (waktu itu) Fauzi Bowo tanggal 28 Juli 2010. Merupakan ruang terbuka hijau yang dapat dimanfaatkan warga Jakarta untuk beraktivitas. Berada di antara jalan Tebet Barat Raya dan jalan Tebet Timur Raya Kecamatan Tebet, Kotamadya Jakarta Selatan. Kawasan taman memiliki anak sungai yang mengalir dari arah Pasarminggu menuju ke Manggarai. Taman Tebet juga dilengkapi dengan sejumlah fasilitas, seperti arena bermain untuk anak dan tempat berolahraga. Untuk arena olahraga sendiri, ada bulu tangkis dan jogging track. Taman yang dirawat oleh petugas ini juga menyediakan musala, kamar mandi, gazebo, dan fasilitas terapi refleksi.</t>
  </si>
  <si>
    <t>{'lat': -6.237140900000001, 'lng': 106.8526505}</t>
  </si>
  <si>
    <t>Hutan Kota Srengseng</t>
  </si>
  <si>
    <t>Selain Taman Hutan Mangrove dan Pantai Indah Kapuk, salah satu taman yang sudah cukup terkenal lama bisa dijumpai di sekitar Universitas Indonesia Depok, letaknya di pinggiran Jakarta, namanya Hutan Kota Srengseng. Sesuai namanya, kawasan wisata ini terletak di daerah Srengseng Kembangan Jakbar, letaknya dekat dengan daerah Kemayoran, Kebon Jeruk serta Rawa Buaya. Hutan Srengseng ini menjadi salah satu kawasan alam hijua yang bisa dijumpai di Daerah Khusus Ibukota Jakarta. Namun perlu diketahui bukan Srengseng Sawah ya, itu sudah berbeda. Kehadiran Taman Kota ini memberikan peran penting di sektor alam Jakarta yang tengah mengalami perkembangan cukup pesat.</t>
  </si>
  <si>
    <t>{'lat': -6.210694499999999, 'lng': 106.7643954}</t>
  </si>
  <si>
    <t>Taman Spathodea</t>
  </si>
  <si>
    <t>Objek Wisata Taman Spathodea di Jagakarsa DKI Jakarta Selatan Jakarta adalah salah satu tempat wisata yang berada di Jl. Kebagusan Raya, Kecamatan Jagakarsa, Kota Jakarta Selatan, Daerah Khusus Ibukota Jakarta, Indonesia. Objek Wisata Taman Spathodea di Jagakarsa DKI Jakarta Selatan Jakarta adalah tempat wisata yang ramai dengan wisatawan pada hari biasa maupun saat liburan. Yang menjadi daya tarik Taman Spathodea memiliki banyak jenis tanaman yang ditanam baik pepohonan dan bunga-bunga yang menghiasi area taman. Ada danau kecil yang berada ditengah taman akan membuat nyaman pengunjung. Banyak Fasilitas umum juga tersedia di Taman Spathodea seperti misalnya lintasan jogging, kolam ikan, outdoor gym, taman bermain untuk anak-anak, toilet, parkiran yang cukup luas dan tempat duduk yang cukup nyaman. Taman Spathodea ini hanya buka mulai pukul 05.00 – 18.00 WIB jadi kalo sudah mulai malam taman ini akan ditutup untuk umum.</t>
  </si>
  <si>
    <t>{'lat': -6.3226133, 'lng': 106.8241871}</t>
  </si>
  <si>
    <t>Plaza Indonesia</t>
  </si>
  <si>
    <t>Plaza Indonesia diresmikan pada awal tahun 1990, terdiri dari empat lantai pertokoan kelas atas dengan luas 38.050 m2. Pusat perbelanjaan ini terletak di Bundaran Hotel Indonesia, tepatnya pada perantara jalan M.H. Thamrin dan jalan Kebon Kacang Raya di kawasan bisnis utama Jakarta.\nPlaza Indonesia juga dilengkapi dengan hotel Grand Hyatt Jakarta, sebuah hotel bintang lima berlantai 28 yang resmi dibuka juga pada awal tahun 1990. Hotel ini memiliki lebih dari 300 kamar dengan desain modern minimalis, restoran-restoran eksklusif, dan fasilitas yang sangat lengkap.\nPengembangan Plaza Indonesia berlanjut ketika Entertainment X'nter dibuka disebelah gedung yang ada dengan membidik pangsa pasar anak muda. Kedua gedung disambung dengan sebuah jembatan yang dikelilingi toko-toko.\nKini, Plaza Indonesia telah dilengkapi dengan gedung perkantoran The Plaza Office Tower dan apartement The Keraton Grand Hyatt Residences.\nPlaza Indonesia dikembangkan oleh PT Global Land Development Tbk (sebelumnya bernama PT Kridaperdana Indahgraha Tbk).</t>
  </si>
  <si>
    <t>{'lat': -6.193925900000002, 'lng': 106.8222158}</t>
  </si>
  <si>
    <t>Mall Thamrin City</t>
  </si>
  <si>
    <t>Thamrin City atau Thamrin City Mall merupakan pusat perbelanjaan besar yang berada di Jakarta Pusat, yang lokasinya terletak ± 150 meter dari bundaran Hotel Indonesia dan ± 300 meter dari Pasar Tanah Abang, yang tepatnya berada di Jl. Thamrin Boulevard (d/h Kebon Kacang Raya) dengan akses berbagai arah antara lain dari Jl. Thamrin, Jl. Teluk Betung, maupun dari Jl. KH. Mas Mansyur</t>
  </si>
  <si>
    <t>{'lat': -6.1946096, 'lng': 106.817905}</t>
  </si>
  <si>
    <t>Museum Satria Mandala</t>
  </si>
  <si>
    <t>Museum Satria Mandala adalah museum sejarah perjuangan Tentara Nasional Indonesia yang terletak di Jalan Gatot Subroto, Jakarta Selatan. Museum yang diresmikan pada tahun 1972 oleh mantan Presiden Indonesia, Soeharto ini awalnya adalah rumah dari salah satu istri mantan Presiden Indonesia, Soekarno, yaitu istrinya yang bernama Ratna Sari Dewi Soekarno. Dalam museum ini dapat ditemui berbagai koleksi peralatan perang di Indonesia, dari masa lampau hingga modern seperti koleksi ranjau, rudal, torpedo, tank, meriam bahkan helikopter dan pesawat terbang (satu di antaranya adalah pesawat Cureng yang pernah diterbangkan oleh Marsekal Udara Agustinus Adisucipto).\nSelain itu museum ini juga menyimpan berbagai macam benda bersejarah yang berkaitan dengan TNI seperti aneka senjata berat maupun ringan, atribut ketentaraan, panji-panji dan lambang-lambang di lingkungan TNI. Selain itu di museum ini dipamerkan juga tandu yang dipergunakan untuk mengusung Panglima Besar Jenderal Soedirman saat dia bergerilya dalam keadaan sakit melawan pendudukan kembali Belanda pada era 1940-an.\nMasih dalam kompleks Museum TNI Satriamandala ini terdapat juga Museum Waspada Purbawisesa yang menampilkan diorama ketika TNI bersama-sama dengan rakyat menumpas gerombolan separatis DI/TII di Jawa Barat, Jawa Tengah, Aceh, Kalimantan Selatan dan Sulawesi Selatan pada era tahun 1960-an. Fasilitas lainnya yang ada di Museum TNI Satriamandala ini antara lain adalah Taman Bacaan Anak, Kios Cenderamata, Kantin serta Gedung Serbaguna yang berkapasitas 600 kursi.</t>
  </si>
  <si>
    <t>{'lat': -6.231698499999999, 'lng': 106.8185425}</t>
  </si>
  <si>
    <t>Alive Museum Ancol</t>
  </si>
  <si>
    <t>Museum kini tidak hanya menawarkan benda – benda yang bernilai sejarah dan edukatif. Tapi telah disulap menjadi wahana rekreasi seru dengan objek foto yang berbeda. Seperti Alive Museum yang ada di Ancol. Alive Museum menampilkan berbagai seni rupa berupa lukisan 3 dimensi. Dimana pengunjung dapat berfoto dengan latar belakang yang nyata meski hanya dari foto. Dan karena 3 dimensi, tentu foto akan terlihat nyata dengan objeknya.</t>
  </si>
  <si>
    <t>{'lat': -6.117534399999999, 'lng': 106.857313}</t>
  </si>
  <si>
    <t>Kawasan Kuliner BSM</t>
  </si>
  <si>
    <t>Tidak seperti Pecenongan, Kawasan Kuliner BSM buka dari pukul 09:00 hingga 18:00. Berlokasi di Jalan M. H. Thamrin, Jakarta Pusat, Kawasan Kuliner BSM merupakan tempat makan murah favorit warga sekitar serta pelancong. Kawasan kuliner Jakarta ini menghadirkan kios dan warung yang berderet di satu area khusus. Pengunjung bisa menyusuri jalur sempit di antara tiap kios untuk memilih hidangan. Kawasan Kuliner BSM menghadirkan hidangan berat dan makanan ringan. Pengunjung bisa menemukan bakso, nasi goreng, aneka soto, nasi Padang, nasi uduk, pecel, sete, gudeg, gado-gado, dan sebagainya. Ada juga berbagai hidangan ringan dan kue-kue, seperti misalnya donat kentang, jamur goreng, sup buah, kentang goreng, dan beragam gorengan. Pengunjung bisa naik bus Trans Jakarta koridor 1 (Blok M-Kota) hingga ke Halte Bank Indonesia, lalu menyeberang jalan ke dekat gedung Bank Mandiri. Dari sana, Kawasan Kuliner BSM cukup mudah ditemukan.</t>
  </si>
  <si>
    <t>{'lat': -6.184258799999999, 'lng': 106.824033}</t>
  </si>
  <si>
    <t>Taman Pintar Yogyakarta</t>
  </si>
  <si>
    <t>Taman Pintar Yogyakarta (bahasa Jawa: Hanacaraka,ꦠꦩꦤ꧀​ꦥꦶꦤ꧀ꦠꦂ​ꦔꦪꦺꦴꦒꦾꦏꦂꦠ, Taman Pintar Ngayogyakarta) adalah wahana wisata yang terdapat di pusat Kota Yogyakarta, tepatnya di Jalan Panembahan Senopati No. 1-3, Yogyakarta, di kawasan Benteng Vredeburg. Taman ini memadukan tempat wisata rekreasi maupun edukasi dalam satu lokasi. Taman Pintar memiliki arena bermain sekaligus sarana edukasi yang terbagi dalam beberapa zona. Akses langsung kepada pusat buku eks Shopping Centre juga menambah nilai lebih Taman Pintar. Tempat rekreasi ini sangat baik untuk anak-anak pada masa perkembangan.\nBeberapa tahun ini Taman Pintar menjadi alternatif tempat berwisata bagi masyarakat Yogyakarta maupun luar kota.Taman ini, khususnya pada wahana pendidikan anak usia dini dilengkapi dengan teknologi interaktif digital serta pemetaan video yang akan memacu imajinasi anak serta ketertarikan mereka terhadap teknologi. Pada saat ini ada 35 zona dan 3.500 alat peraga permainan yang edukatif.</t>
  </si>
  <si>
    <t>Yogyakarta</t>
  </si>
  <si>
    <t>{'lat': -7.800671500000001, 'lng': 110.3676551}</t>
  </si>
  <si>
    <t>Keraton Yogyakarta</t>
  </si>
  <si>
    <t>Keraton Ngayogyakarta Hadiningrat atau Keraton Yogyakarta (bahasa Jawa: ꦏꦫꦠꦺꦴꦤ꧀​ꦔꦪꦺꦴꦒꦾꦏꦂꦠ​ꦲꦢꦶꦤꦶꦔꦿꦠ꧀, translit. Karaton Ngayogyakarta Hadiningrat) merupakan istana resmi Kesultanan Ngayogyakarta Hadiningrat yang kini berlokasi di Kota Yogyakarta. Keraton ini didirikan oleh Sri Sultan Hamengkubuwana I pada tahun 1755 sebagai Istana/Keraton Yogyakarta yang baru berdiri akibat perpecahan Mataram Islam dengan adanya Perjanjian Giyanti. Keraton ini adalah pecahan dari Keraton Surakarta Hadiningrat dari Kesunanan Surakarta (Kerajaan Surakarta). Sehingga dinasti Mataram diteruskan oleh 2 Kerajaan yakni Kesultanan Yogyakarta dan Kesunanan Surakarta. Total luas wilayah keseluruhan keraton yogyakarta mencapai 184 hektar, yakni meliputi seluruh area di dalam benteng Baluwarti, alun-alun Lor, alun-alun Kidul, gapura Gladak, dan kompleks Masjid Gedhe Yogyakarta. Sementara luas dari kedhaton (inti keraton) mencapai 13 hektar. Walaupun Kesultanan Yogyakarta secara resmi telah menjadi bagian Republik Indonesia pada tahun 1945, kompleks bangunan keraton ini masih berfungsi sebagai tempat tinggal sultan dan rumah tangga istananya yang masih menjalankan tradisi kesultanan hingga saat ini. Keraton ini kini juga merupakan salah satu objek wisata di Kota Yogyakarta. Sebagian kompleks keraton merupakan museum yang menyimpan berbagai koleksi milik kesultanan, termasuk berbagai pemberian dari raja-raja Eropa, replika pusaka keraton, dan gamelan. Dari segi bangunannya, keraton ini merupakan salah satu contoh arsitektur istana Jawa yang terbaik, memiliki balairung-balairung mewah dan lapangan serta paviliun yang luas.</t>
  </si>
  <si>
    <t>{'lat': -7.8052845, 'lng': 110.3642031}</t>
  </si>
  <si>
    <t>Sindu Kusuma Edupark (SKE)</t>
  </si>
  <si>
    <t>Sindu Kusuma Edupark (SKE) merupakan sebuah destinasi rekreasi yang terletak di Jogjakarta. Di tujuh hektar kawasan taman yang selesai dibangun tahun 2014 ini, terdapat bermacam-macam wahana, baik wahana bermain maupun wahana belajar yang bisa dinikmati oleh semua anggota keluarga. Wahana yang paling terkenal dari SKE adalah bianglalanya, yang merupakan sebuah wahana bermain sekaligus ikon SKE sendiri. Bila Singapore memiliki Flyer setinggi 165 meter, sementara Malaysia punya Eye setinggi 88 meter, dan di Thailand ada Asiatique setinggi 60 meter, Indonesia memiliki Cakra Manggilingan dengan tinggi 48 meter. Di tingkat Asia Tenggara, bianglala ini memang mesti berpuas diri duduk di peringkat keenam sebagai bianglala tertinggi, tetapi di tingkat nasional, ia duduk di peringkat pertama.</t>
  </si>
  <si>
    <t>{'lat': -7.767297300000001, 'lng': 110.3542486}</t>
  </si>
  <si>
    <t>Museum Benteng Vredeburg Yogyakarta</t>
  </si>
  <si>
    <t>Museum Benteng Vredeburg (bahasa Jawa: ꦩꦸꦱꦶꦪꦸꦩ꧀​ꦧꦺꦠꦺꦁ​ꦮ꦳ꦽꦢꦼꦧꦸꦂꦒ꧀, translit. Musiyum Bètèng Vredeburg adalah sebuah benteng yang terletak di depan Gedung Agung dan Kraton Kesultanan Yogyakarta. Sekarang, benteng ini menjadi sebuah museum. Di sejumlah bangunan di dalam benteng ini terdapat diorama mengenai sejarah Indonesia.</t>
  </si>
  <si>
    <t>{'lat': -7.800201599999999, 'lng': 110.3663044}</t>
  </si>
  <si>
    <t>De Mata Museum Jogja</t>
  </si>
  <si>
    <t>Museum De Mata merupakan salah satu museum yang berisi lukisan 3D terbanyak di dunia. Jumlah lukisannya sekitar 120 dan setiap lukisan memiliki konsep dengan latar belakang yang terlihat seperti nyata. Ada beberapa ukuran lukisan yang ada di Museum De Mata dari ukuran biasa sampai mencapai 5 meter. Ada beberapa macam kategori lukisannya yaitu ornament, lanscape, olahraga, tokoh-tokoh terkenal, superhero, sampai lukisan sirkus. Museum ini didirikan untuk masyarakat menghabiskan liburan dengan menambah pengetahuan. Museum ini menawarkan banyak lukisan-lukisan yang unik misalnya terdapat lukisan dimana anda dapat merasakan keseruan berjalan di atas jembatan kayu yang dibawahnya terdapat jurang yang curam Atau berjuang untuk memadamkan semburanapi panas ari mulut naga, lukisan tersebut tampak seolah-olah nyata. Semua itu terdapat di dalam museum De Mata dengan hasil efek yang menipu mata.</t>
  </si>
  <si>
    <t>{'lat': -7.816315599999999, 'lng': 110.3871442}</t>
  </si>
  <si>
    <t>Kampung Wisata Taman Sari</t>
  </si>
  <si>
    <t>Taman Sari Yogyakarta atau Taman Sari Keraton Yogyakarta (Hanacaraka:ꦠꦩꦤ꧀ꦱꦫꦶꦔꦪꦺꦴꦒꦾꦏꦂꦡ, Tamansari Ngayogyakarta) adalah situs bekas taman atau kebun istana Keraton Ngayogyakarta Hadiningrat, yang dapat dibandingkan dengan Kebun Raya Bogor sebagai kebun Istana Bogor. Kebun ini dibangun pada zaman Sultan Hamengku Buwono I (HB I) pada tahun 1758-1765/9. Awalnya, taman yang mendapat sebutan "The Fragrant Garden" ini memiliki luas lebih dari 10 hektare dengan sekitar 57 bangunan baik berupa gedung, kolam pemandian, jembatan gantung, kanal air, maupun danau buatan beserta pulau buatan dan lorong bawah air. Kebun yang digunakan secara efektif antara 1765-1812 ini pada mulanya membentang dari barat daya kompleks Kedhaton sampai tenggara kompleks Magangan. Namun saat ini, sisa-sisa bagian Taman Sari yang dapat dilihat hanyalah yang berada di barat daya kompleks Kedhaton saja.</t>
  </si>
  <si>
    <t>{'lat': -7.8100673, 'lng': 110.3594581}</t>
  </si>
  <si>
    <t>Situs Warungboto</t>
  </si>
  <si>
    <t>Situs Warungboto atau Pesanggrahan Rejawinangun adalah salah satu bangunan cagar budaya yang terletak di Jalan Veteran No.77, Kelurahan Warungboto, Kecamatan Umbulharjo, Kota Yogyakarta, Daerah Istimewa Yogyakarta. Pada awalnya, situs ini merupakan lokasi sebuah pesanggrahan dan pemandian.</t>
  </si>
  <si>
    <t>{'lat': -7.8102685, 'lng': 110.3931513}</t>
  </si>
  <si>
    <t>Nol Kilometer Jl.Malioboro</t>
  </si>
  <si>
    <t>Walaupun hanyalah sebuah persimpangan, namun persimpangan Titik 0 km ini bukanlah sebuah persimpangan biasa. Karena di persimpangan ini bisa dibilang sebagai titik tengah kota Jogja karena lokasinya yang benar-benar di depan Keraton Yogyakarta sebagai pendiri daerah yang istimewa ini. Terlebih lagi di sebelah utaranya adalah pusat keramaian wisata Jogja yaitu Jalan Malioboro, sehingga jika anda sedang nongkrong di persimpangan Titik Nol Kilometer ini benar-benar merasakan titik tengah Jogja yang begitu syahdu. Titik 0 Kilometer Yogyakarta memang tempat favorit wisatawan untuk menghabiskan waktu, terlebih pada sore hari dan malam hari yang setiap hari selalu ramai disesaki oleh para wisatawan yang sekedar hanya untuk nongkrong di dudukan yang banyak disediakan di sekitar perempatan.</t>
  </si>
  <si>
    <t>{'lat': -7.8013803, 'lng': 110.3647652}</t>
  </si>
  <si>
    <t>Gembira Loka Zoo</t>
  </si>
  <si>
    <t>Kebun Binatang Gembira Loka biasa disebut Gembira Loka Zoo (disingkat GL Zoo, bahasa Jawa: ꦏꦼꦧꦺꦴꦤ꧀​ꦫꦗ​ꦒꦼꦩ꧀ꦧꦶꦫ​ꦭꦺꦴꦏ, translit. Kêbon Raja Gêmbira Loka) adalah kebun binatang yang berada di Kota Yogyakarta. Berisi berbagai macam spesies dari belahan dunia, seperti orang utan, gajah asia, simpanse, harimau, dan lain sebagainya. Kebun Binatang Gembira Loka menjadi daya tarik tersendiri bagi para wisatawan Yogyakarta. Gembira Loka Zoo sempat rusak parah akibat gempa bumi Yogyakarta tahun 2006. Tetapi, setelah direnovasi Kebun Binatang Gembira Loka tetap dicari para wisatawan.</t>
  </si>
  <si>
    <t>{'lat': -7.806234399999999, 'lng': 110.3967977}</t>
  </si>
  <si>
    <t>Sumur Gumuling</t>
  </si>
  <si>
    <t>Sumur Gumuling adalah salah satu tempat untuk ibadah atau kegiatan agama pada masa lalu. Sumur Gumuling merupakan masjid pada zaman pemerintahan Sri Sultan Hamengkubuwana I dan II.</t>
  </si>
  <si>
    <t>{'lat': -7.808791100000001, 'lng': 110.3591825}</t>
  </si>
  <si>
    <t>Desa Wisata Sungai Code Jogja Kota</t>
  </si>
  <si>
    <t>Kampung Code berada di Kelurahan Kotabaru, Kecamatan Gondokusuman Kota Yogyakarta. Lokasi persisnya ada di RT 01/RW 01 di sebelah selatan jembatan Gondolayu di Jl Jenderal Sudirman atau di sebelah timur bantaran Kali Code yang membelah Kota Yogyakarta. Kampung Code terletak persis di bantaran Kali Code yang memanjang ke arah selatan dengan kontur tanah bertebing dari atas ke bawah. Di bagian atas yang mepet Jl Faridan M. Noto sebagian besar digunakan warga untuk usaha jasa/jual beli ban mobil. Sedangkan di bagian bawah menjadi tempat pemukiman warga. Kampung Code yang tadinya kampung biasa, menjelma menjadi sebuah karya seni berkat jasa seorang arsitek sekaligus pemuka agama katolik, Romo YB Manguwijaya.</t>
  </si>
  <si>
    <t>{'lat': -7.822908900000001, 'lng': 110.3756894}</t>
  </si>
  <si>
    <t>Alun Alun Selatan Yogyakarta</t>
  </si>
  <si>
    <t>Alun-alun Selatan atau yang sekarang lebih dikenal sebagai Alun-alun Kidul (Alkid) yaitu alun-alun yang terletak di sebelah selatan karaton Yogyakarta. Alun-alun ini berbentuk tanah lapang luas berpasir, dengan luas sekitar 160m x 160 m. Alun-alun ini dikelilingi pagar tembok batu bata setinggi 2,20 m, tebal pagar tembok 30 cm, sudah banyak yang runtuh dan rusak. Adapun pagar tembok yang dapat disaksikan sekarang adalah pagar tembok baru, yang dibangun oleh Sri Sultan Hamengkubuwono ke VII pada masa pemerintahannya tahun 1877 -1921 M.</t>
  </si>
  <si>
    <t>{'lat': -7.8116719, 'lng': 110.363238}</t>
  </si>
  <si>
    <t>Monumen Yogya Kembali</t>
  </si>
  <si>
    <t>Museum Monumen Yogya Kembali (bahasa Jawa: ꦩꦺꦴꦤꦸꦩꦺꦤ꧀​ꦪꦺꦴꦒꦾ​ꦏꦼꦩ꧀ꦧꦭꦶ, translit. Monumèn Yogya Kembali) biasa dikenal sebagai Monumen Jogja Kembali disingkat Monjali adalah sebuah museum sejarah perjuangan kemerdekaan Indonesia yang ada di Daerah Istimewa Yogyakarta dan dikelola oleh Kementerian Pariwisata dan Ekonomi Kreatif. Museum yang berada di bagian utara kota ini banyak dikunjungi oleh para pelajar dalam acara darmawisata.\n\nMuseum monumen dengan bentuk kerucut ini terdiri dari 3 lantai dan dilengkapi dengan ruang perpustakaan serta ruang serbaguna. Pada rana pintu masuk dituliskan sejumlah 422 nama pahlawan yang gugur di daerah Wehrkreise III (RIS) antara tanggal 19 Desember 1948 sampai dengan 29 Juni 1949. Dalam 4 ruang museum di lantai 1 terdapat benda-benda koleksi: relief, replika, foto, dokumen, heraldika, berbagai jenis senjata, bentuk evokatif dapur umum dalam suasana perang kemerdekaan 1945-1949. Tandu dan dokar (kereta kuda) yang pernah dipergunakan oleh Panglima Besar Jenderal Soedirman juga disimpan di sini (di ruang museum nomor 2). Monumen Yogya Kembali beralamat di Jl. Ring Road Utara, Kabupaten Sleman, Daerah Istimewa Yogyakarta.</t>
  </si>
  <si>
    <t>{'lat': -7.7495904, 'lng': 110.3696068}</t>
  </si>
  <si>
    <t>Taman Pelangi Yogyakarta</t>
  </si>
  <si>
    <t>Taman Pelangi Yogyakarta merupakan tempat wisata malam yang menampilkan warna-warni lampu lampion, sehingga terlihat seperti pelangi. Taman wisata ini terletak di Jalan Padjajaran (sebelumnya bernama Jalan Ring Road Utara), dan berada di lokasi Museum Monumen Yogya Kembali (Monumen Jogja Kembali) Yogyakarta. Taman Pelangi memiliki lebih dari 20 jenis permainan, 25 stand makan dan stand minum. Taman pelangi ini bisa dinikmati dari sore sampai malam, atau dari jam 17.00 sampai jam 23.00. Malam hari anda akan terasa lengkap dan sempurna di Taman Pelangi dengan banyaknya lampion yang menyala memberikan kesan yang menarik untuk menenangkan pikiran.</t>
  </si>
  <si>
    <t>{'lat': -7.7505259, 'lng': 110.3687049}</t>
  </si>
  <si>
    <t>Kampung Wisata Kadipaten</t>
  </si>
  <si>
    <t>Kampung Wisata Kadipaten secaara kewilayahan berada di Kelurahan Kadipaten Kecamatan Kraton. Keberadaannya juga berfungsi sebagai penyangga obyek wisata Kraton Kasultanan Yogyakarta. Sesuai dengan potensi yang ada Kampung Wisata Kadipaten kemudian mengangkat tema “Art and Heritage Turism” sebagai brandinngnya. Kawasan kampung wisata ini menjadi sangat unik dan spesifik karena disana banyak terdapat bangunan situs cagar busaya terutama bangunan Dalem Pangeran. Nama Kadipaten sendiri konon berasal dari nama kawasan yang disana banyak terdapat bangunan situs cagar budaya terutama bangunan Dalem Pangeran. Nama Kadipaten konon berasal dari nama kawasan yang disana banyak ditinggali oleh kerabat Kraton yang sekaligus sebagai pengagung Kraton.</t>
  </si>
  <si>
    <t>{'lat': -7.806093000000001, 'lng': 110.35831}</t>
  </si>
  <si>
    <t>Taman Budaya Yogyakarta</t>
  </si>
  <si>
    <t xml:space="preserve">Taman Budaya Yogyakarta (TBY) (Hanacaraka:ꦠꦩꦤ꧀​ꦧꦸꦢꦪ​ꦔꦪꦺꦴꦒꦾꦏꦂꦠ, bahasa Jawa: Taman Budaya Ngayogyakarta) adalah sarana wisata yang terletak di Jalan Sri Wedani No 1, Yogyakarta. TBY memiliki kompleks gedung yang berfungsi sebagai tempat pameran, pertunjukan, dan berbagai kegiatan seni lainnya. TBY merupakan Unit Pelaksana Teknis Dinas (UPTD) pada Dinas Kebudayaan Provinsi Daerah Istimewa Yogyakarta. Fungsi dari TBY adalah sebagai pusat budaya termasuk di dalamnya pengembangan dan pengolahan pusat dokumentasi, etalase, dan informasi seni budaya dan pariwisata.
</t>
  </si>
  <si>
    <t>{'lat': -7.8001041, 'lng': 110.3676579}</t>
  </si>
  <si>
    <t>Kampung Wisata Sosro Menduran</t>
  </si>
  <si>
    <t>Kampung wisata Sosromenduran merupakan kampung wisata yang sangat unik karena berbasis multi culture, akomodasi dan belanja sekaligus berfungsi sebagai penyangga kawasan Objek Wisata Malioboro. Secara kewilayahan kampung wisata sosromenduran berada di Kelurahan Sosromenduran Kecamatan Gedongtengen. Letaknya sangat strategis karena berada disamping dikawasan Malioboro juga sangat dekat dengan Stasiun Kereta Api Tugu serta banyak terdapat fasilitas kepariwisataan baik hotel, homestay, warung dan restoran, travel, money changer, coffee, rental mobil, sepeda motor bahkan sepeda ontel dan yang sangat menarik di kampung wisata Sosromenduran juga terdapat banyak produsen souvenir kaos oblong yang juga banyak dijual di sepanjang jalan malioboro</t>
  </si>
  <si>
    <t>{'lat': -7.792189999999999, 'lng': 110.362151}</t>
  </si>
  <si>
    <t>Monumen Batik Yogyakarta</t>
  </si>
  <si>
    <t>Perhatian pemerintah megenai kebudayan batik ini sangat besar, hal ini dikarenakan kebudayaannya bersinggungan langsung dengan masyarakat Jawa. Memperingati Hari Batik Nasional pada hari ini, traveler bisa berjalan-jalan ke monumen batik yang ada di Jogja. Perhatian pemerintah megenai kebudayan batik ini sangat besar, hal ini dikarenakan kebudayaannya bersinggungan langsung dengan masyarakat Jawa. Memperingati Hari Batik Nasional pada hari ini, traveler bisa berjalan-jalan ke monumen batik yang ada di Jogja.</t>
  </si>
  <si>
    <t>{'lat': -7.8011159, 'lng': 110.3646172}</t>
  </si>
  <si>
    <t>Tugu Pal Putih Jogja</t>
  </si>
  <si>
    <t xml:space="preserve">Tugu Yogyakarta (Jawa: , Tugu Ngayogyakarta) adalah sebuah landmark bersejarah yang penting di kota Yogyakarta, Indonesia. Tugu berarti tugu, yang biasanya dibangun sebagai simbol suatu kawasan yang mengkonseptualisasikan ciri-ciri kawasan tersebut. Karena latar belakang sejarahnya, Tugu Yogyakarta telah menjadi ikon sejarah kota. Tugu Yogyakarta terletak tepat di tengah persimpangan antara Jalan Mangkubumi, Jalan Sudirman, Jalan A.M Sangaji, dan Jalan Dipenogoro kota.
</t>
  </si>
  <si>
    <t>{'lat': -7.782943699999998, 'lng': 110.3670548}</t>
  </si>
  <si>
    <t>Tebing Breksi</t>
  </si>
  <si>
    <t>Tebing Breksi merupakan tempat wisata yang berada di wilayah Kabupaten Sleman. Lokasinya berada di sebelah selatan Candi Prambanan dan berdekatan dengan Candi Ijo serta Kompleks Keraton Boko. Lokasi Wisata Tebing Breksi tepatnya berada di Desa Sambirejo, Prambanan, Kabupaten Sleman, Daerah Istimewa Yogyakarta 55572.</t>
  </si>
  <si>
    <t>{'lat': -7.781571400000001, 'lng': 110.5045827}</t>
  </si>
  <si>
    <t>Candi Donotirto</t>
  </si>
  <si>
    <t>Walaupun melekat dengan kata candi, Candi Donotirto bukanlah peninggalan jaman Hindu-Buddha di Yogyakarta. Tempat ini dibangun oleh pemerintah Belanda. Ada dua bagian, yaitu bagian barat untuk kaum adam dan bagian timur untuk kaum hawa. Masing-masing dialiri oleh 5 buah pancuran air yang bersumber dari Sungai Winogo, berarti ada 10 buah pancuran di sana. Hingga kini, tempat ini tetap dirawat oleh warga sekitar walaupun digunakan sebagai WC umum. Oleh karenanya, janganlah berat tangan untuk menyisihkan uang Anda sebagai ganti biaya perawatan dan kebersihan tempat ini.</t>
  </si>
  <si>
    <t>{'lat': -7.795561299999998, 'lng': 110.3612095}</t>
  </si>
  <si>
    <t>Kawasan Malioboro</t>
  </si>
  <si>
    <t>Jalan Malioboro adalah nama salah satu kawasan jalan dari tiga jalan di Kota Yogyakarta yang membentang dari Tugu Yogyakarta hingga ke perempatan Kantor Pos Yogyakarta. Secara keseluruhan terdiri dari Jalan Margo Utomo, Jalan Malioboro, dan Jalan Margo Mulyo. Jalan ini merupakan poros Garis Imajiner Kraton Yogyakarta.</t>
  </si>
  <si>
    <t>{'lat': -7.793167, 'lng': 110.3655238}</t>
  </si>
  <si>
    <t>Bangsal Pagelaran</t>
  </si>
  <si>
    <t xml:space="preserve">Bangunan utama adalah Bangsal Pagelaran yang dahulu dikenal dengan nama Tratag Rambat. Pada zamannya Pagelaran merupakan tempat para penggawa kesultanan menghadap Sultan pada upacara resmi. Sekarang sering digunakan untuk even-even pariwisata, religi, dan lain-lain disamping untuk upacara adat keraton. Sepasang Bangsal Pemandengan terletak di sisi jauh sebelah timur dan barat Pagelaran. Dahulu tempat ini digunakan oleh Sultan untuk menyaksikan latihan perang di Alun-alun Lor.
</t>
  </si>
  <si>
    <t>{'lat': -7.805284299999999, 'lng': 110.3642137}</t>
  </si>
  <si>
    <t>Embung Tambakboyo</t>
  </si>
  <si>
    <t>Embung atau waduk Tambakboyo adalah konservasi air yang terletak di Dusun Tambakboyo, Kecamatan Depok, Kabupaten Sleman, Yogyakarta. Waduk ini memanfaatkan sumber air dari sungai Tambak Bayan dan sungai Buntung dengan luasan 7,8 ha. Waduk ini dibangun sejak tahun 2003 hingga 2008 dan diresmikan setahun kemudian.</t>
  </si>
  <si>
    <t>{'lat': -7.756227000000001, 'lng': 110.4150131}</t>
  </si>
  <si>
    <t>Hutan Pinus Pengger</t>
  </si>
  <si>
    <t>Hutan Pinus Pengger (bahasa Jawa: ꦄꦭꦱ꧀​ꦥꦶꦤꦸꦱ꧀​ꦥꦼꦁ​ꦒꦼꦂ​, translit. Alas Pinus​ Pěnggěr) merupakan salah satu objek wisata andalan Kabupaten Bantul. Wisata alam ini berlokasi di Sendangsari, Desa Terong, Kec. Dlingo, Kabupaten Bantul, Daerah Istimewa Yogyakarta.\nHutan Pinus Pengger mudah dijangkau karena terletak dipinggir jalan Patuk-Dlingo km 4,5.\nWalaupun masih terdengar asing, dikalangan penyuka jalan-jalan objek wisata, Hutan Pinus Pengger terbilang cukup populer . Tempat ini masih dirasa asing karena baru dibuka secara resmi pada tanggal 7 April 2016. Hutan Pinus ini sangat digemari oleh para pencipta objek wisata, karena objek wisata ini menyuguhkan pemandangan alam yang sangat indah.</t>
  </si>
  <si>
    <t>{'lat': -7.870483200000001, 'lng': 110.4599108}</t>
  </si>
  <si>
    <t>Monumen Serangan Umum 1 Maret</t>
  </si>
  <si>
    <t>Monumen Serangan Umum 1 Maret berada di area sekitar Museum Benteng Vredeburg yaitu tepat di depan Kantor Pos Besar Yogyakarta. Monumen ini dibangun untuk memperingati serangan tentara Indonesia terhadap Belanda pada tanggal 1 Maret 1949. Ketika itu Negara Indonesia telah dianggap lumpuh dan tidak ada oleh Belanda. Untuk membuktikan bahwa Negara Indonesia masih ada maka dilakukan serangan besar-besaran. Serangan ini dilakukan oleh Tentara Nasional Indonesia (TNI) yang dipimpin oleh Letnan Kolonel Soeharto, Komandan Brigade 10 daerah Wehrkreise III.</t>
  </si>
  <si>
    <t>{'lat': -7.801012399999999, 'lng': 110.3653376}</t>
  </si>
  <si>
    <t>Puncak Pinus Becici</t>
  </si>
  <si>
    <t>Puncak Pinus Becici atau Puncak Becici merupakan objek wisata yang berada di Desa Muntuk, Kecamatan Dlingo, Kabupaten Bantul, Yogyakarta. Pemandangan di kawasan ini sangat indah dengan hamparan perbukitan yang banyak di tumbuhi pohon pinus serta dapat melihat pesona Kota Yogyakarta dari ketinggian dengan gardu pandang. Dari bagian utara dapat melihat Candi Prambanan, bagian selatan terlihat garis lurus yang merupakan Pantai Selatan serta dapat melihat Gunung Merapi dan Gunung Sindoro.</t>
  </si>
  <si>
    <t>{'lat': -7.902035499999998, 'lng': 110.4374627}</t>
  </si>
  <si>
    <t>Bukit Bintang Yogyakarta</t>
  </si>
  <si>
    <t xml:space="preserve">Bukit Bintang merupakan salah satu lokasi nongkrong favorit di Yogyakarta. Saat malam tiba, pemandangan Yogyakarta sangatlah indah!Terletak di perbatasan Bantul dan Gunungkidul, siapa pun yang berkunjung ke kawasan ini dapat menikmati taburan gemintang di langit malam serta kerlip benderang lampu kota dari ketinggian.Kota ini memiliki Bukit Bintang yang selalu ramai dipadati kawula muda untuk menikmati keindahan malam. Bukit Bintang menjadi tempat yang sempurna untuk menikmati senja hingga malam tiba.
</t>
  </si>
  <si>
    <t>{'lat': -7.845840699999997, 'lng': 110.4798457}</t>
  </si>
  <si>
    <t>Gedung Agung Yogyakarta</t>
  </si>
  <si>
    <t>Istana Yogyakarta yang dikenal dengan nama Gedung Agung (bahasa Jawa: ꦒꦼꦝꦺꦴꦁ​ꦄꦒꦼꦁ, translit. Gedhong Ageng) terletak di pusat keramaian kota, tepatnya di ujung selatan Jalan Ahmad Yani dahulu dikenal dengan Jalan Margomulyo. Kawasan istana terletak di Kelurahan Ngupasan, Kecamatan Gondomanan, Kota Yogyakarta, dan berada pada ketinggian 120 m dari permukaan laut. Kompleks istana ini menempati lahan seluas 43.585 m².</t>
  </si>
  <si>
    <t>{'lat': -7.800150599999999, 'lng': 110.3637507}</t>
  </si>
  <si>
    <t>The Lost World Castle</t>
  </si>
  <si>
    <t>The Lost World Castle merupakan salah satu objek wisata di kawasan lereng Gunung Merapi yang terletak di Dusun Petung, Desa Kepuharjo Cangkringan, Sleman, Daerah Istimewa Yogyakarta, Indonesia. Objek wisata ini dibangun menyerupai Benteng Takeshi dan dibangun di atas lahan 1,3 hektare pada tahun 2016.Pengunjung yang ingin memasuki kawasan The Lost World Castle akan dikenakan biaya sebesar Rp 25.000 tiap orang dan belum termasuk biaya parkir. Biaya parkir mobil sebesar Rp5.000,00, sementara biaya parkir untuk sepeda motor sebesar Rp2.000,00.</t>
  </si>
  <si>
    <t>{'lat': -7.6041648, 'lng': 110.4510042}</t>
  </si>
  <si>
    <t>Monumen Sanapati</t>
  </si>
  <si>
    <t>Monumen Sanapati dibangun untuk memeringati 50 tahun persandian Indonesia di Yogyakarta. Persandian di Yogyakarta memiliki andil yang besar dalam mempertahankan kemerdekaan Negara Indonesia. Tercatat pada peristiwa Serangan Umum 1 Maret 1949, sandi buatan Roebiono masih digunakan untuk menyebarkan pesan pada dunia bahwa Indonesia masih ada dan masih bisa melawan. Selanjutnya, peristiwa tersebut dikenal dengan Peristiwa 6 jam di Yogyakarta. Monumen Sanapati terletak di kawasan Kotabaru, tepatnya di tengah persimpangan Jalan Abu Bakar Ali, di taman depan Gereja Santo Antonius. Bangunan Monumen Sanapati berbentuk segitiga berujung lancip menyerupai piramida dengan tinggi 3 meter dan lebar 2,5 meter. Monumen tersebut didesain oleh Drs Kasman dan diresmikan oleh Menteri Sekretaris Negara Republik Indonesia saat itu, Moerdiono, pada 4 April 1996, tepat pada Hari Persandian Indonesia. Pembangunan monument membutuhkan waktu satu bulan dan memakan biaya sebesar 25 juta rupiah.</t>
  </si>
  <si>
    <t>{'lat': -7.788172800000001, 'lng': 110.3715403}</t>
  </si>
  <si>
    <t>Jurang Tembelan Kanigoro</t>
  </si>
  <si>
    <t>Jurang Tembelan Kanigoro berada di Desa Wisata Mangunan, Dlingo, Bantul. Familiar dengan Desa Mangunan, bukan? Kawasan ini memang memiliki tempat wisata bagus yang murah. Termasuk Jurang Tembelan Kanigoro yang berada tidak jauh dari Kebun Buah Mangunan atau Bukit Panguk Kediwung. Dari Jogja, arahkan kendaraan menuju Jalan Imogiri Timur, setelah sampai di pertigaan dekat Pasar Imogiri ikuti arah menuju Mangunan. Untuk menuju ke sana, cek terlebih dahulu kondisi kendaraan. Jalanan yang naik turun serta tikungan tajam, harus diwaspadai. Bagi yang menggunakan kendaraan besar seperti bus, diharapkan memutar melewati Bukit Bintang Gunung Kidul. Selain itu, selalu berhati-hati dan tetap fokus selama berkendara.</t>
  </si>
  <si>
    <t>{'lat': -7.940106500000001, 'lng': 110.4300062}</t>
  </si>
  <si>
    <t>The World Landmarks - Merapi Park Yogyakarta</t>
  </si>
  <si>
    <t>Merapi Park merupakan salah satu tempat wisata di Yogyakarta yang terletak di Jalan Kaliurang km 22, Hargobinangun, Kecamatan Pakem, Kabupaten Sleman. Pengoperasian Merapi Park dimulai sejak tanggal 25 Juni 2017. Fasilitas yang tersedia meliputi tempat pengambilan foto</t>
  </si>
  <si>
    <t>{'lat': -7.620904599999999, 'lng': 110.4216275}</t>
  </si>
  <si>
    <t>Museum Sonobudoyo Unit I</t>
  </si>
  <si>
    <t xml:space="preserve">Museum Sonobudoyo adalah museum dan perpustakaan sejarah dan budaya Jawa di Yogyakarta, Indonesia. Museum ini berisi koleksi artefak Jawa terlengkap, setelah Museum Nasional di Jakarta. Selain keramik era Neolitikum dan patung perunggu abad ke-8, museum ini juga menyimpan koleksi wayang, berbagai senjata kuno (seperti keris), dan topeng Jawa. Museum Sonobudoyo terdiri dari dua unit, Unit I terletak di Jalan Trikora No. 6 Yogyakarta, dan Unit II terletak di Ndalem Condrokiranan, Wijilan, di sebelah timur alun-alun utama (utara) kota.
</t>
  </si>
  <si>
    <t>{'lat': -7.8024499, 'lng': 110.3639555}</t>
  </si>
  <si>
    <t>Lava Bantal</t>
  </si>
  <si>
    <t>Wilayah DIY menawarkan sejumlah potensi wisata, terlebih pariwisata berbasis sungai. Salah satunya yang kini menjadi salah satu favorut wisatawan adalah Lava Bantal yang berada di Kecamatan Berbah, Kabupaten Sleman. Sesuai namanya, objek wisata ini menawarkan batuan yang diduga berasal dari lava pijar dari gunung api bawah laut yang mengering selama kurun waktu ratusan tahun lalu. Terhampar di Sungai Opak, batuan tersebut menjadi pemandangan unik yang mampu menyita perhatian para pelancong. Konon keberadaan Lava Bantal berkontribusi besar terhadap terbentuknya Pulau Jawa. Fenomena alam seperti yang terjadi di Lava Bantal ini sangat jarang terjadi. Di Pulau Jawa fenomena sejenis hanya bisa ditemukan di Karangsambung (Kebumen), Ciletuh (Jawa Barat), dan di Berbah (DIY). Dengan latar belakang sejarah geologi yang panjang, sejak 2 Oktober 2014 silam pemerintah telah menetapkan objek wisata ini sebagai geo heritage. Artinya, semua keunikan geologis yang ada di objek wisata tersebut tergolong sebagai objek yang dilindungi oleh pemerintah.</t>
  </si>
  <si>
    <t>{'lat': -7.808151800000001, 'lng': 110.4595183}</t>
  </si>
  <si>
    <t>Bukit Panguk Kediwung</t>
  </si>
  <si>
    <t>Bukit Panguk Kediwung adalah salah satu obyek wisata yang menawarkan pemandangan alam dari ketinggian. Jika dibandingkan dengan obyek wisata perbukitan lain di Bantul memang Bukit Panguk Kediwung termasuk baru karena dibuka pada tahun 2016. Namun jangan salah, lokasi ini sudah mencuri hati banyak pengunjung dari dalam maupun luar kota. Bukit Panguk Kediwung berlokasi di Kediwung, Mangunan, Dlingo, Bantul, Yogyakarta. Jangan khawatir untuk tersesat karena di sepanjang jalan menuju ke lokasi kita akan melihat beberapa papan petunjuk. Kurang lebih berjarak 20 km dari pusat Kota Yogyakarta. Dari pusat Kota Yogyakarta anda bisa bergerak menuju ke selatan tepatnya ke arah Jalan Imogiri Timur, ikuti jalan hingga menemukan Pasar Imogiri, lalu belok kiri dan lanjutkan perjalanan menuju ke arah Dlingo, dari sana anda akan mulai melihat petunjuk jalan menuju Bukit Panguk Kediwung. Akses jalan menuju Bukit Panguk Kediwung sudah diaspal halus hanya saja konturnya sedikit naik turun namun masih dalam kategori aman. Sangat disarankan untuk menggunakan kendaraan pribadi karena akses ke sini menggunakan kendaraan umum cukup sulit.</t>
  </si>
  <si>
    <t>{'lat': -7.9583695, 'lng': 110.4407622}</t>
  </si>
  <si>
    <t>Candi Prambanan</t>
  </si>
  <si>
    <t>Candi Prambanan atau Candi Roro Jonggrang (bahasa Jawa: ꦕꦤ꧀ꦝꦶ​ꦥꦿꦩ꧀ꦧꦤꦤ꧀, translit. Candhi Prambanan) adalah kompleks candi Hindu terbesar di Indonesia yang dibangun pada abad ke-9 masehi. Candi ini dipersembahkan untuk Trimurti, tiga dewa utama Hindu yaitu Brahma sebagai dewa pencipta, Wisnu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diutamakan.\nKompleks percandian Candi Prambanan secara keseluruhan berada di wilayah provinsi Daerah Istimewa Yogyakarta, namun pintu administrasinya berada di Daerah Istimewa Surakarta (sekarang bagian Provinsi Jawa Tengah), hal ini yang membuat Candi Prambanan terletak di 2 tempat yakni di Desa Bokoharjo, Kecamatan Prambanan, Kabupaten Sleman, dan di Desa Tlogo, Kecamatan Prambanan, Kabupaten Klaten, atau kurang lebih 17 kilometer timur laut Yogyakarta, 50 kilometer barat daya Surakarta dan 120 kilometer selatan Semarang, persis di perbatasan antara Daerah Istimewa Yogyakarta dan Daerah Istimewa Surakarta.Candi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 Sebagai salah satu candi termegah di Asia Tenggara, candi Prambanan menjadi daya tarik kunjungan wisatawan dari seluruh dunia.Menurut prasasti Siwagrha, candi ini mulai dibangun pada sekitar tahun 850 masehi oleh Rakai Pikatan, dan terus dikembangkan dan diperluas oleh Balitung Maha Sambu, pada masa kerajaan Medang Mataram.</t>
  </si>
  <si>
    <t>{'lat': -7.752020600000001, 'lng': 110.4914674}</t>
  </si>
  <si>
    <t>Watu Goyang</t>
  </si>
  <si>
    <t>Watu Goyang ini berasal dari Bahasa Jawa yang berarti Batu yang bergoyang. Dulunya di tempat ini terdapat batu yang berada di puncak yang bias bergoyang ketika disentuh maupun didorong. Batu tersebut sudah ada sejak ratuhan tahun yang lalu. Para pengelola menjelaskan bahwa Watu Goyang ini tidak pernah roboh walaupun disetuh bahkan di panjat, tetapi pihak pengelola melarang kesar untuk pengunjung yang mencoba menaiki Watu Goyang tersebut karena akan sangat berbahaya bagi keselamatan. Keunikan dari batu raksasa itu adalah stukturnya yang memuat tonjolan-tonjolan yang unik. Pemandangan alam yang masih hijau dan gunung merapi terlihat sangat alami, sangat cocok bagi para pengunjung untuk menghilangkan rasa bosan dengan aktivitas sehari-hari di perkotaan. Berada di puncak ini pengunjung akan merasakan sejuknya suhu udara, terutama pada pagi hari. Dan ketika di siang hari, meskipun cuaca sedang panas, maka hembusan angin yang menyapa terasa segar dan nyaman.</t>
  </si>
  <si>
    <t>{'lat': -7.9274086, 'lng': 110.4120586}</t>
  </si>
  <si>
    <t>Kampung Wisata Rejowinangun</t>
  </si>
  <si>
    <t xml:space="preserve">Kampung wisata Rejowinangun terletak di Kelurahan rejowinangun, Kecamatan Kotagede, Kota Yogyakarta tepatnya sebelah selatan Kebun binatang Gembiraloka. Kampung wisata ini telah dirintis sejak tahun 2010 dan dengan kerjasama seluruh elemen masyarakat, pada tanggal 04 Oktober 2013 oleh Kepala dinas Pariwisata Kota Yogyakarta, Kampung Wisata Rejowinangun diresmikan. Kelurahan Rejowinangun merupakan satu kelurahan dari tiga kelurahan yang ada di Kecamatan Kotagede, sebuah kecamatan diujung timur Kota Yogyakarta yang terkenal dengan perak dan bekas kerajaan Mataram. Kelurahan Rejowinangun memiliki banyak potensi yang jika dikembangkan sungguh akan sangat luar biasa, meskpun saat ini yang terkenal baru Kebun Raya Kebun Binatang (KRKB) Gembiraloka yang lokasinya berada di wilayah Kelurahan Rejowinangun. Dengan adanya tempat wisata KRKB Gembiraloka di wilayah ini, berusaha mengembangkan wilayah kelurahan dengan potensi yang ada sehingga wisatawan selain mengunjungi Gembiraloka bisa singgah di kampung wisata ini.
</t>
  </si>
  <si>
    <t>{'lat': -7.8152776, 'lng': 110.3988359}</t>
  </si>
  <si>
    <t>Kauman Pakualaman Yogyakarta</t>
  </si>
  <si>
    <t xml:space="preserve">Pakualaman adalah sebuah kecamatan di Kota Yogyakarta, Provinsi Daerah Istimewa Yogyakarta, Indonesia. Kecamatan ini terletak di antara Sungai Code dan Sungai Manunggal. Nama 'Pakualaman' diambil dari Puro Paku Alaman, kediaman resmi Sri Paduka Pakualam yang terletak tepat di tengah-tengah kecamatan ini. Sebelumnya, Pakualaman bukan bagian kota Yogyakarta, melainkan Kabupaten Kota Pakualaman, yang dihapus setelah terbentuknya Pemerintah Kota Yogyakarta pada 1947.
</t>
  </si>
  <si>
    <t>{'lat': -7.801034700000001, 'lng': 110.3751922}</t>
  </si>
  <si>
    <t>Alun-alun Utara Keraton Yogyakarta</t>
  </si>
  <si>
    <t>Alun-alun utara atau dalam Bahasa Jawa disebut Alun-alun Lor merupakan salah satu land mark Kota Yogyakarta yang berupa sebuah tanah lapang yang berada di depan Keraton Yogyakarta. Disebut Alun-alun Lor karena di Kota Yogyakarta terdapat dua alun-alun yang letaknya di sebelah selatan dan utara dari Keraton Yogyakarta. Alun-alun Lor berbentuk persegi dengan luas 150 x 150 meter dengan dua pohon beringin besar berpagar yang berada di tengah alun-alun. Dua Pohon Beringin Besar itu masing-masing diberi nama Kyai Dewandaru dan Kyai Wijayandaru. Pada masa lalu di sekeliling Alun-alun Lor ditanam 63 Pohon Beringin yang melambangkan umur Nabi Muhammad SAW.</t>
  </si>
  <si>
    <t>{'lat': -7.803897499999998, 'lng': 110.3644232}</t>
  </si>
  <si>
    <t>Pantai Goa Cemara</t>
  </si>
  <si>
    <t>Pantai Goa Cemara (bahasa Jawa: ꦥꦱꦶꦱꦶꦂ​ ꦒꦸꦮ​ ꦕꦺꦩꦫ, translit. Pasisir Guwa Cemara​) adalah objek wisata pantai yang terletak di Dusun Patihan, Desa Gadingsari, Kecamatan Sanden, Kabupaten Bantul. Daerah Istimewa Yogyakarta. Pantai ini terletak tepatnya berdampingan dengan Pantai Samas dan Pantai Pandansari.\n\nPantai ini memiliki pasir berwarna hitam tapi lembut dengan ombak yang cukup besar kerakteristik pantai selatan. Pantai ini merupakan pantai pengembangan baru dimana terdapat banyak pohong Cemara udang rindang membentuk seperti goa, hal ini yang membuat pantai ini dinamai Goa Cemara. Pohon Cemara ini bertujuan untuk melindungi abrasi air laut dan menahan gumuk pasir supaya tidak mengalamai perpindahan akibat tiupan angin.</t>
  </si>
  <si>
    <t>{'lat': -7.999422999999998, 'lng': 110.248963}</t>
  </si>
  <si>
    <t>Blue Lagoon Jogja</t>
  </si>
  <si>
    <t>Blue Lagoon adalah salah satu wisata air Jogja yang sudah sangat terkenal dan banyak dikunjungi oleh wisatawan dari berbagai daerah penjuru. Banyak yang menganggap bahwa Blue Lagoon sebagai surga wisata Jogja tersembunyi. Meskipun keindahan yang ditawarkan oleh tempat ini sangat mahal, namun untuk bisa menikmatinya kamu tidak perlu merogoh kocek dalam2. Karena budget untuk masuk ke area wisata ini tidak semahal yang ada di Islandia.</t>
  </si>
  <si>
    <t>{'lat': -7.7044358, 'lng': 110.45026}</t>
  </si>
  <si>
    <t>Gumuk Pasir Parangkusumo</t>
  </si>
  <si>
    <t>Gumuk Pasir Parangkusumo (bahasa Jawa: ꦒꦸꦩꦸꦏ꧀​ꦥꦱꦶꦂ​ꦥꦫꦁ​ꦏꦸꦱꦸꦩ, translit. Gumuk Pasir Parangkusuma) adalah objek wisata di Kabupaten Bantul, Yogyakarta, letaknya di sebelah barat Pantai Parangtritis, yaitu di Desa Parangtritis, Kecamatan Kretek, Kabupaten Bantul, Daerah Istimewa Yogyakarta. Gumuk Pasir ini memiliki sejumlah keistimewaan terkait dengan jumlahnya hanya terbatas di dunia.\nNama "Gumuk" berasal dari bahasa Jawa yang artinya gundukan-gundukan pasir yang terhampar luas. Gumuk Pasir Yogyakarta terbentuk dari material Gunung Merapi yang kemudian mengalami transportasi melalui Sungai Opak dan Sungai Progo yang kemudian terbawa ombak dan mengendap di pantai. Material yang mengendap kemudian mengering dan terbawa angin lalu terbang kedaratan sehingga mengalami proses deposisi menjadi Gumuk Pasir.</t>
  </si>
  <si>
    <t>{'lat': -8.0173266, 'lng': 110.3180791}</t>
  </si>
  <si>
    <t>Bukit Lintang Sewu</t>
  </si>
  <si>
    <t xml:space="preserve">Bukit Lintang Sewu ini berasal ketika pada saat malam hari di bukit ini terlihat ribuan bintang – bintang yang membentang luas di angkasa. Dalam bahasa Jawa Bukit Seribu Bintang adalah Bukit Lintang Sewu (lintang: bintang, sewu: seribu). Pemandangan alam yang tidak kalah mempesona membuat Bukit Langit Sewu ini menjadi tempat favorit bagi pecinta alam. Pada saat menuju bukit, pengunjung akan disuguhkan dengan pepohonan pinus, tetapi saat sampai pengunjung akan disuguhkan panorama hutan Kayu Putih yang menjadi keunikan tempat wisata ini. Diatas pohon Kayu Putih ini juga terdapat Burung Alap-alap yang melintas diatas pohonnya. Selain itu pengunjung juga akan dimanjakan dengan deretan pegunungan seperti Gunung merbabu, Gunung Sumbing, Menoreh, dan Gunung Merapi.
</t>
  </si>
  <si>
    <t>{'lat': -7.915799699999999, 'lng': 110.4366436}</t>
  </si>
  <si>
    <t>Studio Alam Gamplong</t>
  </si>
  <si>
    <t>Studio Gamplong atau Studio Alam Gamplong adalah sebuah tempat wisata yang terletak di Desa Gamplong, Kecamatan Moyudan, Kabupaten Sleman. Tempat tersebut awalnya adalah tempat pengambilan gambar film Sultan Agung: Tahta, Perjuangan, Cinta dan Bumi Manusia karya Hanung Bramantyo. Tempat tersebut didirikan di atas lahan seluas 2,5 hektar. Tempat tersebut diresmikan oleh Presiden Joko Widodo pada 15 Juli 2018.</t>
  </si>
  <si>
    <t>{'lat': -7.805793599999998, 'lng': 110.2367304}</t>
  </si>
  <si>
    <t>Watu Lumbung</t>
  </si>
  <si>
    <t>Letak Kampung Edukasi Watu Lumbung yang berada di area perbukitan dipenuhi rerimbunan pohon jati, membuat pemandadangan dari tempat ini sangat indah sekali. Watu Lumbung dikonsep oleh M Boy Rifai sebagai tempat yang mengajarkan nilai-nilai edukasi, di mana Boy Rifai telah berhasil menyulap lahan tandus yang dulunya dibiarkan saja, kini menjadi tempat eksotis untuk menikmati malam maupun melihat sunset dan sunrise. Untuk menjaga keasrian di daerah sekitar tempat wisata pengelolah sengaja membangun area ini sebagai kawasan wisata yang selaras dengan alam.</t>
  </si>
  <si>
    <t>{'lat': -7.992437900000001, 'lng': 110.317778}</t>
  </si>
  <si>
    <t>Air Terjun Kedung Pedut</t>
  </si>
  <si>
    <t>Air Terjun Kedung Pedut atau biasa disebut Curug Kedung Pedut berasal dari istilah bahasa Jawa. Curug yang berarti air terjun, kedung berarti kubangan atau kolam, dan pedut berarti kabut. Air Terjun Kedung Pedut merupakan salah satu wisata alam yang di Kulonprogo yang dikenal karena keindahan warna airnya.</t>
  </si>
  <si>
    <t>{'lat': -7.769987499999998, 'lng': 110.1210707}</t>
  </si>
  <si>
    <t>Puncak Kebun Buah Mangunan</t>
  </si>
  <si>
    <t xml:space="preserve">Berlibur di pegunungan memang menyenangkan. Dapat menikmati sejuknya udara serta pemandangan indah dari atas perbukitan. Wisata seperti ini dapat dinikmati di Bantul, tepatnya di Kebun Buah Mangunan. Beruntungnya Jogja dikaruniai bentang alam yang begitu indah. Ada pantai, gunung, bukit, serta kota dan budaya yang sangat menarik. Kebun Buah Mangunan hadir sebagai objek wisata yang begitu menarik minat wisatawan. Apalagi di pagi hari, pemandangannya tak ubahnya seperti negeri di atas awan.
</t>
  </si>
  <si>
    <t>{'lat': -7.941371800000001, 'lng': 110.4247345}</t>
  </si>
  <si>
    <t>Desa Wisata Gamplong</t>
  </si>
  <si>
    <t>Desa Wisata Gamplong adalah desa wisata kerajinan tenun yang berada di Padukuhan Gamplong Desa Sumber Rahayu Kecamatan Moyudan Kabupaten Sleman, Yogyakarta. Desa wisata yang terletak di sebelah barat Kota Yogyakarta ini cukup menarik untuk disinggahi wisatawan terlebih karena masih adanya industri kerajinan tenun tradisional dengan menggunakan Alat Tenun Bukan Mesin (ATBM). Dengan ATBM, masyarakat perajin Gamplong mampu menghasilkan kain tenun sebagai bahan stagen (kain panjang untuk melilit bagian perut wanita). Selain kerajinan tenun, perajin juga mampu memproduksi kerajinan anyaman untuk suvenir.</t>
  </si>
  <si>
    <t>{'lat': -7.805523199999997, 'lng': 110.2374676}</t>
  </si>
  <si>
    <t>Kawasan Wisata Sosrowijayan</t>
  </si>
  <si>
    <t>Tempat wisata Sosrowijayan memang selama ini dikenal sebagai Wisata Kampung bule, lokasinya sendiri berada di pusat kota Yogyakarta sehingga hampir tiap hari di lokasi ini banyak sekali pengunjungnya yang sangat padat. Bagi Anda yang ingin berkunjung ke sini, harus menggunakan kendaraan karena dari arah stasiun Tugu Anda tinggal berjalan selama 200 meter selanjutnya anda pun akan langsung menemukan daerah Sosrowijayan yang mempunyai tanda yaitu Sebuah Jalan Kecil menuju Barat dengan nama yang sama. Wisata unik sosrowijayan menjadi membagi dua daerah yaitu Sosrowijayan Wetan dan Sosrowijayan Kulon dan menjadi penghubung jalan Jogonegaran dan Jalan Malioboro. Akan tetapi untuk Sosrowijayan Wetan yang saat ini langsung terkenal sampai ke penjuru dunia dan dikenal sebagai Kampung turis kedua di Yogyakarta setelah Prawirotaman. Karena disebut Kampung bule maka disini pun anda akan melihat banyak sekali turis dari mancanegara yang menikmati suasana malam di Yogyakarta. Anda pun bisa melihat dua buah busuk seperti yang ada di daerah Prawirotaman ketika memasuki dan pertama. Di daerah ini banyak sekali buku yang dijual seperti novel berbahasa Inggris, buku kecil berbahasa Indonesia, dan beberapa buku yang berkualitas dan pastinya akan memberikan pendidikan bagi para pembacanya.</t>
  </si>
  <si>
    <t>{'lat': -7.7916235, 'lng': 110.361956}</t>
  </si>
  <si>
    <t>Grojogan Watu Purbo Bangunrejo</t>
  </si>
  <si>
    <t>Objek wisata itu tak adalah Grojogan Watu Purbo yang berada di Bangunrejo, Merdikorejo, Kecamatan Tempel. Objek wisata itu sekitar setahun terakhir cukup populer di kalangan wisatawan karena memiliki pemandangan eksotis berupa air terjun yang memiliki enam tingkatan. Wisatawan yang datang rata-rata menjadikan air terjun itu sebagai latar untuk swafoto karena pemandangannya yang dinilai instagramable. Grojokan Watu Purbo ini tepatnya berlokasi di aliran Kali Krisak, yang merupakan jalur dari lahar dingin yang mengalir dari Gunung Merapi. Pemandangan kawasan ini eksotis karena dikepung pepohonan asri serta hamparan sawah. Munculnya air terjun atau grojogan ini berasal dari enam dam dengan ketinggian bervariasi tak lebih dari 10 meter.</t>
  </si>
  <si>
    <t>{'lat': -7.6340172, 'lng': 110.33837}</t>
  </si>
  <si>
    <t>Wisata Alam Kalibiru</t>
  </si>
  <si>
    <t>Kalibiru sebenarnya adalah sebuah nama hutan yang saat ini diolah menjadi sebuah tempat wisata alam. Hutan Kalibiru memiliki ketinggian 450 mdpl dan berupa kawasan perbukitan yang subur. Suhu udara di tempat ini sangat sejuk. Kalibiru dikelola oleh pemerintah dan masyarakat setempat sebagai wisata alam dan edukasi. Ada banyak hal yang bisa didapatkan di sana, termasuk outbond, penginapan, dan beberapa spot untuk mencari foto kekinian. Ada juga jalur trekking yang juga bisa dijadikan lokasi camping.</t>
  </si>
  <si>
    <t>{'lat': -7.8057305, 'lng': 110.127969}</t>
  </si>
  <si>
    <t>Jogja Exotarium</t>
  </si>
  <si>
    <t>Di Yogyakarta, tepatnya di Sleman, ada satu tempat wisata edukasi yang patut dikunjungi. Namanya adalah Jogja Exotarium — terdengar unik, kan? Namun sebenarnya, tempat ini merupakan taman hewan berskala kecil. Koleksi hewannya beragam dan bisa diajak berinteraksi secara langsung</t>
  </si>
  <si>
    <t>{'lat': -7.7280356, 'lng': 110.3591712}</t>
  </si>
  <si>
    <t>Puncak Gunung Api Purba - Nglanggeran</t>
  </si>
  <si>
    <t>Gunung Nglanggeran adalah sebuah gunung di Daerah Istimewa Yogyakarta, Indonesia. Gunung ini merupakan suatu gunung api purba yang terbentuk sekitar 0,6-70 juta tahun yang lalu atau yang memiliki umur tersier (Oligo-Miosen). Gunung Nglanggeran memiliki batuan yang sangat khas karena didominasi oleh aglomerat dan breksi gunung api. Gunung ini terletak di Desa Nglanggeran, Kecamatan Patuk, Kabupaten Gunung Kidul yang berada pada deretan Pegunungan Baturagung.</t>
  </si>
  <si>
    <t>{'lat': -7.841252999999998, 'lng': 110.543056}</t>
  </si>
  <si>
    <t>Bendung Lepen</t>
  </si>
  <si>
    <t>Bendung Lepen sendiri dulunya merupakan saluran irigasi yang tidak sebersih sekarang ini. Sebelumnya, tempat ini merupakan saluran irigasi yang kumuh disertai taman desa yang tak terurus. Namun, kesadaran para pemuda akan kebersihan lingkungan mengubah kali (sungai/lepen) yang semula begitu kotor menjadi tempat wisata yang disenangi banyak orang. Bendung Lepen sekarang menjadi indah dan dipenuhi ikan nila dan gurame. Jika dulunya hanya menjadi taman wisata yang tidak terurus dan kumuh, sekarang ini Bendung Lepen menjadi destinasi wisata yang nyaman dikunjungi bersama keluarga. Bahkan di kala pandemi COVID-19 ini, Bendung Lepen tidak kekurangan peminat. Masih banyak anak-anak yang menikmati senja dengan riang sambil memberi makan ikan di kali. Tentunya ditemani oleh orang tuanya yang juga bisa mencuci mata melihat aliran air yang jernih dengan ikan warna-warni yang berenang di kali. Selain itu, banyak juga anak muda yang duduk-duduk di taman sembari menikmati udara sore yang sejuk ditemani segelas es teh.</t>
  </si>
  <si>
    <t>{'lat': -7.831666800000002, 'lng': 110.3945119}</t>
  </si>
  <si>
    <t>Bunker Kaliadem Merapi</t>
  </si>
  <si>
    <t>Bunker Kaliadem merupakan objek wisata yang terletak di lereng selatan Gunung Merapi. Destinasi wisata ini banyak menyimpan jejak erupsi gunung tersebut, terutama tahun 2006 dan 2010. Lokasi fenomenal tersebut berada di ketinggian lebih dari 2.000 meter di atas permukaan laut. Berada di Kabupaten Sleman, wisatawan diajak menyaksikan kegagahan Merapi dari jarak lima kilometer. Kawasan ini memadukan sejarah, keindahaan serta keunikan alam gunung merapi dengan fenomena vulkaniknya.</t>
  </si>
  <si>
    <t>{'lat': -7.582919800000001, 'lng': 110.4476816}</t>
  </si>
  <si>
    <t>Ledok Sambi</t>
  </si>
  <si>
    <t>Desa wisata Ledok Sambi merupakan desa yang mempunyai nuansa alami asli Jogja, yang berlokasi dekat dengan Gunung Merapi atau berada di Jl. Kaliurang Km. 19,2 Padukuhan Sambi Desa Pakembinangun Kec. Pakem Kabupaten Sleman Daerah Istimewa Yogyakarta. Pemandangan alam yang indah dapat memberikan kesejukan, kesegaran dan ketentraman hati. Sepanjang mata memandang di Desa wisata ini anda akan disuguhkan bentangan luasnya persawahan yang alami dan asri dan juga pepohonan yang hijau nan rindang serta kejernihan air yang dimiliki wilayah Desa Wisata Ledok Sambi. Rumah-rumah Tradisional khas Jogja yang luas dijadikan sebagai tempat bermain sambil menikmati udara sejuk yang menenangkan hati jiwa dan pikiran.</t>
  </si>
  <si>
    <t>{'lat': -7.647094300000001, 'lng': 110.4280998}</t>
  </si>
  <si>
    <t>Seribu Batu Songgo Langit</t>
  </si>
  <si>
    <t>Nama Seribu Batu Songgo Langit memiliki makna tersendiri. Sebelum jadi tempat wisata, di lokasi ini terdapat ratusan bahkan ribuan batu dan pastinya hutan pinus. Songgo langit berarti penyangga langit, hal ini dikarenakan di Seribu Baru Songgo Langit terdapat bukit yang seakan akan merupakan tiang dari langit .Seribu Batu Songgo Langit merupakan tempat wisata di kawasan Dlingo yang menawarkan berbagai macam atraksi wisata, namun kebanyakan adalah spot foto. Spot foto di Seribu Batu hampir semuanya anti mainstream. Anda akan menemui beberapa spot foto dalam empat bagian di tempat wisata ini. Memasuki gerbang Seribu Batu Songgo Langit anda diharuskan untuk menuruni tangga yang terbuat dari kayu untuk mencapai spot pertama. Spot pertama ini menawarkan rumah dongeng seribu kayu. Spot ini berbentuk rumah kecil-kecil yang menyerupai rumah kurcaci dalam dongeng. Terdapat tujuh buah rumah kurcaci yang ditata secara mengerucut sehingga akan menciptakan angle foto yang bagus.</t>
  </si>
  <si>
    <t>{'lat': -7.931098399999999, 'lng': 110.430919}</t>
  </si>
  <si>
    <t>Goa Jomblang</t>
  </si>
  <si>
    <t>Gua Jomblang merupakan gua vertikal yang bertipe collapse doline. Gua ini terbentuk akibat proses geologi amblasnya tanah beserta vegetasi yang ada di atasnya ke dasar bumi yang terjadi ribuan tahun lalu. Runtuhan ini membentuk sinkhole atau sumuran yang dalam bahasa Jawa dikenal dengan istilah luweng. Itulah yang membuat unik karena di dalam gua terdapat luas mulut gua sekitar 50 meter ini sering disebut dengan nama Luweng Jomblang. Gua Jomblang terletak di Kabupaten Gunungkidul, DI Yogyakarta.\nSaat ini Gua Jomblang merupakan tempat konservasi tumbuhan purba dan dikembangkan menjadi tempat wisata minat khusus yang mana dikelola oleh penduduk atau warga setempat. Untuk menuruni gua vertikal ini pihak pengelola sudah menyediakan perlengkapan lengkap sesuai standar keselamatan caving di gua vertikal.\nSinar matahari yang menerobos masuk dari Luweng Grubug setinggi 90 meter membentuk satu tiang cahaya, menyinari flowstone yang indah serta kedalaman gua yang gelap gulita. Air yang menetes dari ketinggian turut mempercantik pemandangan. Tidak salah\njika banyak orang terkagum-kagum datang ke sini ketika menyaksikan lukisan alam yang dikenal dengan istilah "cahaya surga".</t>
  </si>
  <si>
    <t>{'lat': -8.0281562, 'lng': 110.6383307}</t>
  </si>
  <si>
    <t>Desa Wisata Rumah Domes/Teletubbies</t>
  </si>
  <si>
    <t>Kawasan desa teletubbies menjadi perhatian menarik berbagai media, sehingga menjadikan para wisatawan mulai berbondong-bondong datang kesana. Hingga sekarang kawasan ini menjadi objek wisata unik jogja yang menarik dikunjungi. Bagi kawan-kawan datawisata yang sedang berlibur atau berdomisili di Yogyakarta dan sekitar, coba deh rasakan sensasi wisata unik ini, setidaknya bisa dijadikan koleksi foto yang mengusung spot-spot kece instagenic. Mulanya objek wisata Rumah Domes merupakan bentuk bantuan dari NGO, kala itu Yogyakarta terkena musibah bencana alam gempa bumi. Di desa Nglepen setidaknya ada 80 bangunan mengusung desain rumah dome lengkap beserta fasilitas seperti warung makan, toilet umum, area parkir, tempat ibadah, rumah kesehatan dan balai desa yang kerap dimanfaatkan ketika ada hajatan atau acara budaya. Desa wisata Sumberharjo ini memiliki luas kurang lebih 2 hektar serta bangunan dibangun sejak tahun 2006. Selain disebut desa teletubbies, pemukiman disana juga sering disebut New Nglepen.</t>
  </si>
  <si>
    <t>{'lat': -7.813608499999999, 'lng': 110.5033442}</t>
  </si>
  <si>
    <t>Bukit Wisata Pulepayung</t>
  </si>
  <si>
    <t>Pule Payung Yogyakarta. Sebuah objek wisata populer yang menyajikan keindahan alam dari ketinggian 500 mdpl. Bukit Wisata Pule Payung Yogyakarta merupakan kawasan wisata yang dipenuhi dengan kreativitas yang tinggi, merubah zona biasa menjadi luar biasa. Daya tarik yang pertama dari Pule Payung Yogyakarta adalah objek wisata yang menyajikan pesona alam pegunungan. Sehingga, orang-orang menyebutnya dengan Bukit Wisata. Ketinggian Pule Payung Yogyakarta sekitar 500 mdpl, serta jalan menuju Pule Payung Yogyakarta dapat ditempuh dengan kendaraan roda dua, maupun roda empat. Pesona keindahan Waduk Sermo dapat terlihat jelas saat berada di Pule Payung. Waduk eksotis yang dikelilingi pegunungan yang masih asri. Dan Pule Payung Yogyakarta adalah bukit yang notabene sebagai destinasi wisata alam, diberikan sentuhan kreativitas, serta memprioritaskan aspek keamanan di setiap spotnya, akhirnya menjadi wisata favorit di Jogja.</t>
  </si>
  <si>
    <t>{'lat': -7.800110599999999, 'lng': 110.1238954}</t>
  </si>
  <si>
    <t>Bentara Budaya Yogyakarta (BBY)</t>
  </si>
  <si>
    <t>Bentara Budaya Yogyakarta adalah pusat budaya yang terletak di Yogyakarta, Indonesia. Bentara Budaya Yogyakarta dibuka pada 26 September 1982, didanai oleh Kompas Gramedia Group. Bentara Budaya Yogyakarta adalah cabang dari Bentara Budaya Jakarta, sebuah lembaga budaya yang dikelola oleh Kompas Gramedia Group yang juga memiliki beberapa pusat budaya di Jakarta, Surakarta (sebagai Balai Soedjatmoko), dan Bali.</t>
  </si>
  <si>
    <t>{'lat': -7.7857242, 'lng': 110.3746954}</t>
  </si>
  <si>
    <t>Goa Rancang Kencono</t>
  </si>
  <si>
    <t>Goa Rancang Kencono yang terletak di Padukuhan Menggoran, Desa Bleberan, Kecamatan Playen, Gunungkidul, Yogyakarta, merupakan salah satu goa yang yang dihuni manusia prasejarah hingga modern. Diperkirakan goa yang terletak di kawasan air terjun Sri Getuk ini sudah dihuni sejak 3000 tahun lalu. Dari buku Ragam Warisan Budaya dan Cagar Budaya Gunungkidul yang ditulis oleh Winarsih (Kepala Seksi Kepurbakalaan dan Permuseuman, Bidang Pelestarian Warisan dan Nilai Budaya, Dinas Kebudayaan Gunungkidul), Arkeologi UGM Yogyakarta pada tahun 2001 sudah pernah melakukan penelitian tersebut. Goa Rancang Kencono sudah dihuni manusia sejak 3000 tahun yang lalu dengan bukti temuan tulang manusia.</t>
  </si>
  <si>
    <t>{'lat': -7.9492612, 'lng': 110.4926511}</t>
  </si>
  <si>
    <t>Goa Cerme</t>
  </si>
  <si>
    <t>Gua Cerme (bahasa Jawa: ꦒꦸꦮ​ꦕꦺꦂꦩꦺ, translit. Gua Cerme) adalah gua bersejarah dan sekaligus tempat wisata yang terletak di Dusun Srunggo, Desa Selopamioro, Kecamatan Imogiri, Kabupaten Bantul atau sekitar 20 km selatan Kota Yogyakarta. Gua Cerme memiliki panjang 1,5 km yang tembus hingga sendang di wilayah Panggang, yaitu di Dusun Ploso, Desa Giritirto, Kecamatan Purwosari, Kabupaten Gunungkidul.\nDi samping gua Cerme, di sekitarnya terdapat gua lain yang lebih kecil seperti Goa Dalang, Goa Ledek, Goa Badut dan Goa Kaum yang sering digunakan untuk bersemedi. Untuk mencapai gua, terdapat tangga setinggi 759 m. Kata cerme berasal dari kata ceramah yang mengisyaratkan pembicaraan yang dilakukan walisongo. Gua Cerme dulunya digunakan oleh para Walisongo untuk menyebarkan agama Islam di Jawa. Selain itu, Gua Cerme juga digunakan untuk membahas rencana pendirian Masjid Agung Demak. Setiap Senin atau Selasa wage, selalu diadakan upacara syukuran untuk meminta berkah kepada Tuhan.</t>
  </si>
  <si>
    <t>{'lat': -7.979441299999999, 'lng': 110.3803114}</t>
  </si>
  <si>
    <t>Wisata Kraton Jogja</t>
  </si>
  <si>
    <t>Kraton Jogja adalah sebuah komplek kerajaan yang berada tepat berdiri di tengah kota Yogyakarta. Kraton yang didirikan seiring perjanjian giyanti pada tahun 1755 yang memecah Kerajaan Mataram Islam menjadi Kerajaan Ngayogyakarta Surakarta ini menyimpan keindahan arsitektur jawa yang tidak diragukan lagi, dan merupakan salah komplek istana terbaik di tanah jawa. Keindahan Kraton Jogja ini tidak terlepas dari pendirinya, yaitu Sri Sultan Hamengkubuwono I yang merupakan arsitek dari kerajaannya ini. Apabila anda sedang wisata ke Kraton Jogja maka apabila anda dari Jalan Malioboro pertama anda akan disambut oleh Gapura Pangurakan yang berasitrektur jawa kental yang bersebelahan dengan bangunan-bangunan Hindia Belanda. Setelah memasukinya anda akan memasuki Alun-alun Utara yang memiliki area yang cukup luas. Di sekelilingnya terdapat Joglo-joglo tertutup yang disebut Gedhong dan terbuka yang dinamakan Tratag. Di area ini terdapat beberapa pilihan kuliner yang sangat pas anda kunjungi sebelum anda memasuki kompleks Kraton Yogyakarta, sehingga anda tidak merasa kelaparan.</t>
  </si>
  <si>
    <t>{'lat': -7.806753499999999, 'lng': 110.3636659}</t>
  </si>
  <si>
    <t>Desa Wisata Kelor</t>
  </si>
  <si>
    <t>Desa wisata Kelor merupakan salah satu desa yang ada di kabupaten Sleman yang saat ini sedang dikembangkan menjadi desa wisata. Desa wisata Kelor ini menawarkan suasana pedesaan yang penduduknya bermata pencaharian sebagai petani, peternak, dan budidaya jamur. Banyak tanaman hijau yang membentang luas dengan pemandangan alam yang asri. Desa wisata Kelor ini memiliki masyarakat yang ramah dan memiliki lingkungan desa yang sangat nyaman. Desa Kelor ini juga memiliki sungai, dan air di sungai tersebut masih jernih dan indah.</t>
  </si>
  <si>
    <t>{'lat': -7.641025800000001, 'lng': 110.3622794}</t>
  </si>
  <si>
    <t>Pantai Patihan</t>
  </si>
  <si>
    <t>Pantai ini terletak di daerah Srigading, Sanden dan cukup dekat dengan Pantai Goa Cemara. Tempatnya juga asyik banget buat foto-foto, nggak beda jauh dengan Pandasari.</t>
  </si>
  <si>
    <t>{'lat': -7.997777999999999, 'lng': 110.2449113}</t>
  </si>
  <si>
    <t>Pantai Kukup</t>
  </si>
  <si>
    <t>Pantai Kukup adalah salah satu pantai yang memiliki hamparan pasir putih yang terkenal di Kabupaten Gunung Kidul, Yogyakarta. Selain memiliki pemandangan pantai yang cantik, pantai ini juga memberikan keunikan tersendiri. Di pantai ini terdapat pulau Karang yang menjadi daya tarik utama bagi para wisatawan lokal atau mancanegara. Karena di pulau Karang ini para wisatawan dapat menikmati keindahan pantai yang sangat menawan. Pantai cantik ini berada di sebelah timurnya Pantai Baron, kurang lebih berjarak sekitar 1 km. Tepatnya berada di Desa Kemadang, Kecamatan Tanjungsari, Kabupaten Gunung Kidul, Yogyakarta. Pantai Kukup ini masih dalam satu barisan dengan Pantai Baron, Pantai Krakal, Pantai Sundak, Pantai Sepanjang dan pantai-pantai lainnya. Jarak dari Kota Jogja ke pantai ini sekitar 40 km sedangkan jarak dari Kota Wonosari sekitar 25 km.</t>
  </si>
  <si>
    <t>{'lat': -8.133876299999999, 'lng': 110.5548349}</t>
  </si>
  <si>
    <t>Pantai Ngrawe (Mesra)</t>
  </si>
  <si>
    <t>Kabupaten Gunungkidul jadi salah satu wilayah di Yogyakarta dengan koleksi pantai terbanyak. Tak terhitung jumlah pantai yang ada di sepanjang pesisir selatannya. Ada yang tetap alami, ada juga yang sengaja mendapat sentuhan agar lebih apik. Salah satunya adalah Pantai Ngrawe yang terletak di Kemadang, Gunungkidul. Sebagai pantai wisata, pantai yang juga terkenal dengan Pantai Mesra ini populer berkat kekuatan media sosial. Sementara pantai lainnya menawarkan keindahan alami, Pantai Ngrawe justru menyajikan konsep “taman” yang tidak biasa. Tertarik untuk mencoba berwisata di taman pinggir pantai? Pantai ini bisa jadi pilihan yang tepat!</t>
  </si>
  <si>
    <t>{'lat': -8.1333389, 'lng': 110.5537405}</t>
  </si>
  <si>
    <t>Pantai Ngobaran</t>
  </si>
  <si>
    <t>Pantai Ngobaran merupakan salah satu tempat wisata alam yang terletak di gugusan laut pantai selatan tepatnya di Desa Kanigoro, kecamatan Saptosari Kabupaten Gunungkidul Daerah Istimewa Yogyakarta 2 km dari pantai Ngrenehan.\nPantai ini sangat indah jika air surut maka tampaklah kolam kolam kecil yang terbentuk dari karang karang yang tertutp oleh alga (rumput laut yang hijau sebagai bahan baku kosmetik) dan terdapat banyak biota laut lainnya yang mungkin terjebak di kolam karang tersebut. Hal inilah yang menopanng kehidupan nelayan darat yakni para nelayan yang tidak memerlukan kapal atau perahu untuk mendapatkan hasil laut cukup beraktivitas dipinggir pantai. Biota laut yang sering di dapat adalah Lobster, landak laut, kerang-kerangan, bintang laut dan rumput laut itu sendiri tentunya .</t>
  </si>
  <si>
    <t>{'lat': -8.1184844, 'lng': 110.5028785}</t>
  </si>
  <si>
    <t>Pantai Pulang Sawal</t>
  </si>
  <si>
    <t>Pantai Pulang Sawal yang ada di Kecamatan Tepus bisa dicoba. Wisatawan lebih akrab dengan nama Indrayanti untuk merujuk pantai ini. Tidak hanya pengunjung lokal, wisatawan mancanegara pun terpikat dengan pesonanya.</t>
  </si>
  <si>
    <t>{'lat': -8.1506589, 'lng': 110.6126311}</t>
  </si>
  <si>
    <t>Pantai Baron</t>
  </si>
  <si>
    <t>Pantai Baron adalah salah satu objek wisata berupa pantai yang terletak di Desa Kemadang, Kecamatan Tanjungsari, Kabupaten Gunungkidul. Lokasi Pantai Baron dapat ditempuh 40 km daeri pusat kota Yogyakarta. Asal mula nama Pantai Baron berasal dari nama seorang bangsawan asal Belanda yang bernama Baron Skeber. Bangsawan tersebut pernah mendaratkan kapalnya di pantai selatan tepatnya di pantai yang saat ini terkenal dengan sebutan Pantai Baron. Jalan menuju objek wisata Pantai Baron cukup baik untuk dilalui kendaraan pribadi, sepeda motor dan bus.Objek wisata Pantai Baron merupakan pantai yang membentuk cekungan. Seperti pantai lainnya, di Pantai Baron tersedia aneka ikan laut beserta olahannya. Ikan yang biasanya dijual di Pantai Baron adalah udang windu, kakap, bawal putih dan tongkol. Pantai Baron memiliki fasilitas berupa tempat pelelangan ikan, wahana permainan anak-anak, perahu bermesin, dan toko cenderamata. Buah sirkaya, pisang tanduk, sirsak, dan berbagai macam cenderamata yang terbuat dari kerang laut. Cenderamata berbahan kerang yang banyak dijual di Pantai Baron adalah bros, tirai kerang, lampu hias, cermin berhias karang, figura, dan aneka karakter hewan yang juga terbuat dari kerang laut.Upacara sedekah laut adalah upacara yang masih sering dilakukan oleh masyarakat Gunungkidul. Pantai Baron adalah salah satu tempat untuk menyelenggarakan upacara sedekah laut tersebut. Upacara sedekah laut diselenggarakan setiap tanggal satu Syuro dalam penanggalan Jawa. Upacara sedekah laut dilakukan sebagai ungkapan rasa syukur penduduk setempat atas melimpahnya tangkapan ikan di Pantai Baron. Awalnya, sebagaian besar penduduk di sekitar Pantai Baron bukanlah nelayan melainkan petani yang mengolah kebun. Suatu ketika ada seseorang yang memulai menangkap ikan di pinggiran pantai dan mendapatkan banyak ikan, kemudian banyak penduduk yang mengikuti orang tersebut untuk menangkap ikan. Semakin lama, ikan di pinggir pantai semakin sedikit kemudian penduduk mencoba menangkap ikan ketengah laut menggunakan rakit kayu. Adanya kapal di pantai ini karena suatu ketika terjadi tragedi nelayan yang saat menangkap ikan di tengah laut digigit oleh ikan hiu maka kabar ini pun tersiar di mana-mana dan menjadikan pemerintah menyumbangkan perahu untuk nelayan Pantai Baron.Keunikan Pantai Baron adalah adanya sunga bawah tanah yang mengalir cukup deras ke arah lautan. Sungai bawah tanah tersebut mengalir ke arah laut dan membentuk sebuah sungai. Uniknya sungai bawah tanah yang ada di Pantai Baron adalah rasa airnya yang tawar meskipun berada sangat dekat dengan laut. Pengunjung yang tidak berani bermain dan berenang di laut dapat bermain air dan berenang dialiran sungai bawah tanah tersebut. Pemandangan lain yang ada di Pantai Baron adalah sebuah bukit yang berada di sekitar pantai. Pengunjung dapat menikmati keindahan pantai dari atas bukit tersebut.</t>
  </si>
  <si>
    <t>{'lat': -8.1288246, 'lng': 110.5487763}</t>
  </si>
  <si>
    <t>Pantai Pok Tunggal</t>
  </si>
  <si>
    <t>Pantai Pok Tunggal atau biasa disebut "the hidden paradise" (surga yang tersembunyi) adalah salah satu objek wisata yang ada di Yogyakarta tepatnya di Desa Tepus, Tepus, Gunung Kidul, Yogyakarta. Jika dihitung dari kota, maka jarak tempuhnya sejauh 80 km atau sekitar 2 jam perjalanan.\nNama Pantai Pok Tunggal diambil karena dipantai tersebut terdapat sebuah pohon duras tua yang berdiri kokoh hingga saat ini. Pantai ini dikelilingi oleh tebing perbukitan karst. Terdapat tebing-tebing karang yang ditumbuhi oleh pepohonan yang lebat dan didalamnya dihuni oleh kera-kera yang jinak. Uniknya, pantai ini memiliki aliran sungai air tawar dibawah tanah yang menjadi sumber kehidupan bagi masyarakat sekitar pantai. Layaknya pantai selatan lainnya, Pantai Pok Tunggal memiliki pasir putih yang halus dan membentang sepanjang pantai. Sampai saat ini Pantai Pok Tunggal masih terjaga kebersihan dan kealamiannya.\nPantai ini sangat ramai dikunjungi baik saat liburan maupun saat hari biasa. Terdapat banyak sekali aktivitas-aktivitas yang ditawarkan di Pantai Pok Tunggal, seperti diving, snorkeling, berenang, berkemah, berfoto di spot-spot foto yang indah, hingga aktivitas ekstrem seperti rock climbing.</t>
  </si>
  <si>
    <t>{'lat': -8.1554468, 'lng': 110.6217582}</t>
  </si>
  <si>
    <t>Hutan Pinus Asri</t>
  </si>
  <si>
    <t>Hampir semua kawasan di daerah Dlingo dan sekitarnya banyak ditumbuhi pohon pinus. Salah satunya adalah kawasan Hutan Pinus Asri yang ada di Dusun Karangasem. Karena keindahannya, tak heran jika banyak wisatawan datang untuk berfoto. Udara sejuk berkolaborasi dengan jajaran pohon pinus nan indah. Jika diperhatikan, pemandangan pohon pinus ini terlihat seperti pemandangan di Northwest Pacific. Apalagi, kabut tipis di pagi hari menyelimuti dengan tenangnya.</t>
  </si>
  <si>
    <t>{'lat': -7.9209209, 'lng': 110.4355651}</t>
  </si>
  <si>
    <t>Pasar Kebon Empring Bintaran</t>
  </si>
  <si>
    <t>Pasar Kebon Empring merupakan salah satu objek wisata di Kecamatan Piyungan yang menawarkan kuliner tradisional seperti sego atau nasi wader, jangan lombok, sego lele, sego welut, sego wiwit, tengkleng, sego mentel, geblek hingga dawet batok dan seruni. Harga yang ditawarkan relatif murah, mulai dari Rp3.000 sampai Rp17.000. Pasar Kebon Pring mulai dibuka untuk kunjungan wisatawan pada 17 Mei 2018. Dinamakan Pasar Kebon Empring karena hampir sekeliling objek wisata tersebut adalah pohon bambu atau empring dalam bahasa jawa. Lokasi tersebut mulai menjadi objek wisata awalnya karena banyak orang yang berswafoto di jembatan Kali Gawe dalam lokasi pasar Kebon Empring. Setelah jembatan Kali Gawe diresmikan pada Februari 2018, empat bulan kemudian warga setempat memanfaatkannya dan mengembangkan menjadi lokasi wisata dengan menambah sarana dan prasarana penunjang wisata seperti taman, destinasi swafoto, bale di atas Kali Gawe.</t>
  </si>
  <si>
    <t>{'lat': -7.836320499999998, 'lng': 110.4575806}</t>
  </si>
  <si>
    <t>Bukit Paralayang, Watugupit</t>
  </si>
  <si>
    <t>Bukit Paralayang Parangtritis merupakan tempat wisata di Yogyakarta, tempat ini mensajikan pemandangan pantai parangtritis dari atas bukit dengan ketinggian 900 mdpl dan pemandangan matahari terbenam. selain itu di bukit paralayang parangtritis terdapat olahraga ekstrem paralayang, bagi wisatawan yang tertarik,terdapat ahli yang mendampingi. Awalnya bukit ini hanya perbukitan biasa. Kemudian pada tahun 1991 dibuat landasan beton pertama yang digunakan untuk olahraga paralayang. Kemudian dilanjutkan pembangunan fasilitas pendopo, tangga, dan area parkir pada tahun 1998</t>
  </si>
  <si>
    <t>{'lat': -8.026855099999999, 'lng': 110.3459122}</t>
  </si>
  <si>
    <t>Kampung Wisata Dipowinatan</t>
  </si>
  <si>
    <t>Kampung Wisata Dipowinatan adalah sebuah kampung yang dikembangkan oleh Dinas Pariwisata Yogyakarta untuk tujuan pariwisata. Kampung tersebut merupakan salah satu dari 17 yang saat ini sedang dikembangkan oleh Pemerintah Kota Yogyakarta. Pepatnya, Kampung Dipowinatan terdapat di Kelurahan Keparakan, Kecamatan Mergangsan, Kota Yogyakarta. Keunggulan utama yang ditonjolkan oleh kampung itu adalah adanya konsep live in atau rekreasi yang berpadu dengan masyarakat sekitar sekaligus membaur dengan unsur budaya dan lokalitas masyarakat yang ada. Di dalam kampung tersebut, pengunjung akan disuguhi beberapa fasilitas unik seperti berkunjung ke rumah-rumah keluarga Jawa dengan mengenakan pakaian adat Jawa dan ditambah dengan adanya hiburan kesenian sekaligus sajian kuliner khas Jawa.</t>
  </si>
  <si>
    <t>{'lat': -7.810552899999999, 'lng': 110.3704987}</t>
  </si>
  <si>
    <t>Watu Mabur Mangunan</t>
  </si>
  <si>
    <t xml:space="preserve">Kawasan Tebing Watu Mabur ini terbilang belum lama dikenal oleh masyarakat. Hal ini memang terjadi karena dahulu potensi wisata di kawasan Mangunan belum dikembangkan sedemikian rupa. Dahulu Kawasan Tebing Watu Mabur merupakan kawasan yang digunakan untuk perkemahan. Area perkemahannya sendiri cukup luas yang bisa menampung puluhan tenda besar. Sampai sekarang kawasan perkemahannya masih ada, namun jarang digunakan untuk aktivitas perkemahan, karena di Yogyakarta begitu banyak spot untuk berkemah. Mengunjungi Tebing Watu Mabur tidak lengkap jika tidak mencoba beberapa spot fotonya yang sekarang sangat hits. Spot foto yang paling terkenal ialah jalan raya / landasan pacu yang ujungnya tepat menghadap jurang. Sehingga ketika anda foto di tempat ini seperti sedang berada di jalan yang tidak berujung.
</t>
  </si>
  <si>
    <t>{'lat': -7.947121, 'lng': 110.441}</t>
  </si>
  <si>
    <t>Pintoe Langit Dahromo</t>
  </si>
  <si>
    <t>Pintu Langit Dahromo ini menyediakan berbagai spot selfie yang hitz dan instagramable dengan latar belakang panorama keindahan sebagian Kota Jogja yang istimewa. Adapun berbagai spot foto tersebut seperti spot foto rumah dengan bunga-bunga disekitarnya, pintu langit, gardu pandang yang berbentuk love, dan ada juga sayap capung. Pintu Langit Dahromo berlokasi di Jl. Dahromo, Karang Asem, Muntuk, Dlingo, Bantul, Daerah Istimewa Yogyakarta 55783. Tepatnya berada di jalur wisata perbukitan sebelah selatan bukit Lintang Sewu. Untuk mencapai Pintu Langit ini, rute perjalanan yang dilalui cukup mudah karena berada dekat dengan wisata lainnya.</t>
  </si>
  <si>
    <t>{'lat': -7.913608000000001, 'lng': 110.437783}</t>
  </si>
  <si>
    <t>Green Village Gedangsari</t>
  </si>
  <si>
    <t xml:space="preserve">Wisata Green Village Gedangsari Gunungkidul merupakan wisata alam cukup menakjubkan, pesona alam berupa hamparan pepohonan hijau rindang serta udara sejuk, bahkan sekarang telah hadir loh wahana flying fox terpanjang se Asia Tenggara. Berada di dataran tinggi, pengunjung dapat menyaksikan panorama kota Jogja, Klaten hingga kota Solo. Beberapa kegiatan liburan menyenangkan dapat dilakukan ketika liburan di Green Village Gunungkidul. Sepanjang jalan setapak berawal dari gerbang masuk hingga lokasi puncak, tak perlu heran kalau banyak pengunjung berswafoto di sepanjang jalan. Hal tersebut mengingat pesona alam masih asri, sehingga sangat cocok dijadikan background berswafoto bareng keluarga, teman atau pun bareng pasangan. Tentu saja banyak pengunjung membawa tongkat selfie bahkan ada juga menggunakan pesawat drone demi merekam momen keseruan dan keindahan alam Gunungkidul melalui jepretan kamera.
</t>
  </si>
  <si>
    <t>{'lat': -7.813093999999999, 'lng': 110.615571}</t>
  </si>
  <si>
    <t>Kebun Teh Nglinggo</t>
  </si>
  <si>
    <t>Wisata Kebun Teh Nglinggo adalah satu-satunya kebun teh yang berada di Yogyakarta. Sebenarnya kebun teh ini merupakan tempat mata pencaharian penduduk di sekitar Pagerhajo. Kemudian warga mempunyai ide untuk menjadikannya sebagai tempat wisata. Dengan pesona alamnya Kebun Teh Nglinggo menjadi objek wisata yang cukup terkenal di Kulon Progo. Kebun Teh Nglinggo terletak di wilayah Perbukitan Menoreh. Lokasinya di Desa Wisata Nglinggo, Nglinggo Barat, Pagerharjo, Samigaluh, Kabupaten Kulon Progo, DIY. Wisata ini menawarkan objek wisata berupa hamparan perkebunan teh dengan luas sekitar 136 hektare di ketinggian 900-1000 mdpl . Di sana pengunjung dapat melihat para pemetik daun teh dan dapat pula ikut memanen daun teh. Jika kurang puas pengunjung juga dapat naik hingga Puncak Kendeng Gunung Kukusan, dan akan dimanjakan dengan pemandangan alam yang memikat mata juga udara sejuk pegunungan yang masih alami . Dari puncak tersebut pengunjung akan disajikan dengan pemandangan delapan gunung besar yang ada di Jogja dan Jawa Tengah . Pengunjung juga bisa menjelajahi Kebun Teh Nglinggo dengan jeep ataupun motor trail. Meskipun buka dari pukul 06.00-18.00 WIB, tetapi Kebun Teh Nglinggo dapat dijadikan objek wisata untuk berburu sunrise. Karena pengunjung dapat bermalam di home stay sekitar. Untuk harga tiket masuk objek wisata Kebun Teh Nglinggo sebesar Rp 5000 per orang.</t>
  </si>
  <si>
    <t>{'lat': -7.647054, 'lng': 110.1414699}</t>
  </si>
  <si>
    <t>Geoforest Watu Payung Turunan</t>
  </si>
  <si>
    <t>Bagi para pemburu keindahan matahari terbit yang tinggal atau berdomisili di Yogyakarta dan sekitarnya, Geoforest Watu Payung Turunan merupakan tujuan yang tepat. Keindahan matahari terbit, panorama alam, dan keunikan ornamen merupakan perpaduan sempurna yang tersaji di Geoforest Watu Payung Turunan. Tak hanya untuk memotret, obyek wisata ini juga pas untuk sekadar bersantai menikmati indahnya pagi.</t>
  </si>
  <si>
    <t>{'lat': -7.974294, 'lng': 110.4364363}</t>
  </si>
  <si>
    <t>Pantai Timang</t>
  </si>
  <si>
    <t xml:space="preserve">Pantai Timang adalah objek wisata berupa pantai yaitu wilayah yang menjadi batas antara lautan dan daratan yang terletak di Kabupaten Gunungkidul, Daerah Istimewa Yogyakarta. Pantai Timang merupakan salah satu pantai di yogyakarta yang pasirnya berwarna putih. Pantai Timang terletak di antara Pantai Siung dan Pantai Sundak Gunungkidul. Aksesn menuju pantai ini cukup sulit, jalan ke arah pantai ini masih banyak yang belum diaspal karena lokasi pantai ini cukup terpencil. Keunikan pantai ini ialah terdapat sebuah pulau yang menjadi habitat lobster laut diseberang pantai.
</t>
  </si>
  <si>
    <t>{'lat': -8.1759266, 'lng': 110.6624196}</t>
  </si>
  <si>
    <t>Puncak Segoro</t>
  </si>
  <si>
    <t>Puncak Segoro menjadi destinasi wisata terbaru di Yogyakarta yang menawarkan sajian pesona sunset yang mempesona. Puncak Segoro Jogja sendiri berlokasi di pinggir pantai selatan Yogyakarta. Kenapa di beri nama Puncak Segoro, Karena lokasinya berada di atas lautan dengan lanscape pemandangan alam yang luar biasa. Berupa tebing tinggi yang menghadap ke laut kidul membuat keindahan panorama yang di sajikan begitu istimewa.</t>
  </si>
  <si>
    <t>{'lat': -8.1026167, 'lng': 110.4562084}</t>
  </si>
  <si>
    <t>Candi Borobudur</t>
  </si>
  <si>
    <t>Borobudur (bahasa Jawa: ꦕꦤ꧀ꦝꦶ​ꦧꦫꦧꦸꦝꦸꦂ, translit. Candhi Barabudhur) adalah sebuah candi Buddha yang terletak di Borobudur, Magelang, Jawa Tengah, Indonesia. Candi ini terletak kurang lebih 100 km di sebelah barat daya Semarang, 86 km di sebelah barat Surakarta, dan 40 km di sebelah barat laut Yogyakarta. Candi berbentuk stupa ini didirikan oleh para penganut agama Buddha Mahayana sekitar tahun 800-an Masehi pada masa pemerintahan wangsa Syailendra. Borobudur adalah candi atau kuil Buddha terbesar di dunia, sekaligus salah satu monumen Buddha terbesar di dunia.\nMonumen ini terdiri atas enam teras berbentuk bujur sangkar yang di atasnya terdapat tiga pelataran melingkar, pada dindingnya dihiasi dengan 2.672 panel relief dan aslinya terdapat 504 arca Buddha. Borobudur memiliki koleksi relief Buddha terlengkap dan terbanyak di dunia. Stupa utama terbesar teletak di tengah sekaligus memahkotai bangunan ini, dikelilingi oleh tiga barisan melingkar 72 stupa berlubang yang di dalamnya terdapat arca Buddha tengah duduk bersila dalam posisi teratai sempurna dengan mudra (sikap tangan) Dharmachakra mudra (memutar roda dharma).\nMonumen ini merupakan model alam semesta dan dibangun sebagai tempat suci untuk memuliakan Buddha sekaligus berfungsi sebagai tempat ziarah untuk menuntun umat manusia beralih dari alam nafsu duniawi menuju pencerahan dan kebijaksanaan sesuai ajaran Buddha. Para peziarah masuk melalui sisi timur dan memulai ritual di dasar candi dengan berjalan melingkari bangunan suci ini searah jarum jam, sambil terus naik ke undakan berikutnya melalui tiga tingkatan ranah dalam kosmologi Buddha. Ketiga tingkatan itu adalah Kāmadhātu (ranah hawa nafsu), Rupadhatu (ranah berwujud), dan Arupadhatu (ranah tak berwujud). Dalam perjalanannya para peziarah berjalan melalui serangkaian lorong dan tangga dengan menyaksikan tak kurang dari 1.460 panel relief indah yang terukir pada dinding dan pagar langkan.\nMenurut bukti-bukti sejarah, Borobudur ditinggalkan pada abad ke-14 seiring melemahnya pengaruh kerajaan Hindu dan Buddha di Jawa serta mulai masuknya pengaruh Islam. Dunia mulai menyadari keberadaan bangunan ini sejak ditemukan 1814 oleh Sir Thomas Stamford Raffles, yang saat itu menjabat sebagai Gubernur Jenderal Inggris atas Jawa. Sejak saat itu Borobudur telah mengalami serangkaian upaya penyelamatan dan pemugaran (perbaikan kembali). Proyek pemugaran terbesar digelar pada kurun waktu 1975 hingga 1982 atas upaya Pemerintah Republik Indonesia dan UNESCO, kemudian situs bersejarah ini masuk dalam daftar Situs Warisan Dunia.Borobudur kini masih digunakan sebagai tempat ziarah keagamaan; tiap tahun umat Buddha yang datang dari seluruh Indonesia dan mancanegara berkumpul di Borobudur untuk memperingati Trisuci Waisak. Dalam dunia pariwisata, Borobudur adalah objek wisata tunggal di Indonesia yang paling banyak dikunjungi wisatawan.</t>
  </si>
  <si>
    <t>{'lat': -7.6078738, 'lng': 110.2037513}</t>
  </si>
  <si>
    <t>Candi Ijo</t>
  </si>
  <si>
    <t xml:space="preserve">Candi Ijo (bahasa Jawa: ꦕꦤ꧀ꦝꦶ​ꦆꦗꦺꦴ, translit. Candhi Ijo) adalah sebuah kompleks percandian bercorak Hindu, berada 4 kilometer arah tenggara dari Candi Ratu Boko atau kira-kira 18 kilometer di sebelah timur kota Yogyakarta. Candi ini diperkirakan dibangun antara kurun abad ke-10 sampai dengan ke-11 Masehi pada saat zaman Kerajaan Medang periode Mataram.
</t>
  </si>
  <si>
    <t>{'lat': -7.783827600000001, 'lng': 110.5118987}</t>
  </si>
  <si>
    <t>Pantai Indrayanti</t>
  </si>
  <si>
    <t>Pantai Indrayanti menawarkan keindahan alam yang menakjubkan. Hamparan pasir dan birunya laut menjadi pesona yang tiada dua. Pantai Indrayanti merupakan salah satu tempat wisata Yogyakarta yang menjadi rekomendasi bagi wisatawan. Jika kamu merasa jenuh di Malioboro, pantai ini bisa menjadi pilihannya.</t>
  </si>
  <si>
    <t>{'lat': -8.1508415, 'lng': 110.6129852}</t>
  </si>
  <si>
    <t>Pantai Nglambor</t>
  </si>
  <si>
    <t>Pantai Nglambor adalah sebuah pantai eksotis yang terletak di Kelurahan Purwodadi, Kecamatan Tepus, Gunung Kidul, Daerah Istimewa Yogyakarta. Lokasinya persis di sebelah barat dari Pantai Siung dan sebelah timur dari Pantai Jogan. Jaraknya kurang lebih 74 km dari pusat kota Jogja, pantai ini menawarkan panorama pantai yang indah. Terdapat dua batu karang besar yang menyerupai kura-kura persis di depan teluknya.\nAir lautnya yang jernih menjadikan pengunjung bisa dengan leluasa melihat karang, rumput laut, ikan dengan berbagai warna berkejaran, dan aneka biota laut lainnya dari permukaan air. Para pengunjung pun bisa melakukan snorkeling dan berenang di pantai ini tanpa harus khawatir tergulung ombak besar karena memang lokasinya pantainya yang berada di teluk.Seringkali pengunjung berasal dari luar kota bahkan luar negeri, seperti turis dari Belanda, Prancis dan Singapura</t>
  </si>
  <si>
    <t>{'lat': -8.1827028, 'lng': 110.6792399}</t>
  </si>
  <si>
    <t>Pasar Beringharjo</t>
  </si>
  <si>
    <t>Pasar Beringharjo (bahasa Jawa: ꦥꦱꦂꦧꦼꦫꦶꦁꦲꦂꦗ, translit. Pasar Beringharjo) adalah pasar tertua dengan nilai historis dan filosofis yang tidak dapat dipisahkan dengan Keraton Yogyakarta. Beringharjo memiliki makna harafiah hutan pohon beringin yang diharapkan memberikan kesejahteraan bagi warga Yogyakarta. Pasar Beringharjo terletak di Jalan Jenderal Ahmad Yani nomor 16, Yogyakarta. Ada banyak jenis barang yang dapat dibeli di Pasar Beringharjo, mulai dari batik, jajanan pasar, uang kuno, pakaian anak dan dewasa, makanan cepat saji, bahan dasar jamu tradisional, sembako hingga barang antik.</t>
  </si>
  <si>
    <t>{'lat': -7.798794300000001, 'lng': 110.367443}</t>
  </si>
  <si>
    <t>Museum Ullen Sentalu</t>
  </si>
  <si>
    <t xml:space="preserve">Museum Ullen Sentalu, (bahasa Jawa: ꦩꦸꦱꦶꦪꦸꦩ꧀​ꦈꦭ꧀ꦭꦺꦤ꧀​ꦱꦼꦤ꧀ꦠꦭꦸ, translit. Musiyum Ullèn Sentalu) terletak di Kecamatan Pakem (Kaliurang), Kabupaten Sleman, Daerah Istimewa Yogyakarta, adalah museum yang menampilkan budaya dan kehidupan para bangsawan Dinasti Mataram (Kasunanan Surakarta, Kesultanan Yogyakarta, Praja Mangkunegaran, dan Kadipaten Pakualaman) beserta koleksi bermacam-macam batik (baik gaya Yogyakarta maupun Surakarta).\nMuseum ini juga menampilkan tokoh raja-raja beserta permaisurinya dengan berbagai macam pakaian yang dikenakan, baik untuk acara formal maupun untuk keseharian. \nNama Ullen Sentalu merupakan akronim dari bahasa Jawa: “ULating bLENcong SEjatiNe TAtaraning LUmaku” yang artinya adalah “Nyala lampu blencong sebagai petunjuk bagi umat manusia dalam melangkah dan meniti kehidupan”. Falsafah ini diambil dari sebuah lampu minyak yang dipergunakan dalam pertunjukkan wayang kulit (blencong) yang merupakan cahaya yang selalu bergerak untuk mengarahkan dan menerangi perjalanan hidup kita. Museum ini didirikan oleh salah seorang bangsawan Yogyakarta yang dikenal sangat dekat dengan keluarga keraton Surakarta dan Yogyakarta.\nDi Museum Ullen Sentalu, dapat diketahui bagaimana para leluhur Jawa membuat batik yang memiliki arti dan makna yang mendalam di dalam setiap coraknya. Ada juga berbagai sejarah mengenai keadaan budaya Jawa dari masa Mataram Kuno hingga Mataram Islam dengan segala aturannya. Keadaan museum yang dibangun dengan baik mampu membuat pengunjung seperti terserap ke masa Jawa kuno yang mengagumkan.
</t>
  </si>
  <si>
    <t>{'lat': -7.5978656, 'lng': 110.4233959}</t>
  </si>
  <si>
    <t>Museum Gunung Merapi</t>
  </si>
  <si>
    <t>Museum Gunung Merapi (bahasa Jawa: ꧋ꦩꦸꦱꦶꦪꦸꦩ꧀​ ꦒꦸꦤꦸꦁ​ ꦩꦼꦫꦥꦶ꧉, translit. Musiyum Gunung Merapi) merupakan museum bersejarah yang terdapat di Yogyakarta tepatnya di Jln. Boyong, Dusun Banteng, Desa Hargobinangun, Kecamatan Pakem, Kabupaten Sleman, Daerah Istimewa Yogyakarta sekitar lima kilometer dari kawasan objek wisata Kaliurang. Museum Gunung Merapi telah diresmikan pada tanggal 1 Oktober 2009 oleh Menteri Energi dan Sumber Daya Mineral (ESDM), Purnomo Yusgiantoro.\nDengan luas bangunan sekitar 4,470 yang berdiri di atas tanah seluas 3,5 hektare, museum yang ke depan juga akan dilengkapi dengan taman, area parkir, dan plasa ini ingin dikenal masyarakat sebagai Museum Gunungapi Merapi dengan semboyan Merapi Jendela Bumi .\nMuseum Gunung Merapi ini dapat dijadikan sebagai sarana pendidikan, penyebarluasan informasi aspek kegunungapian khususnya dan kebencanaan geologi lainnya yang bersifat rekreatif-edukatif untuk masyarakat luas dengan tujuan untuk memberikan wawasan dan pemahaman tentang aspek ilmiah, maupun sosial-budaya dan lain-lain yang berkaitan dengan gunungapi dan sumber kebencanaan geologi lainnya. Museum Gunungapi ini diharapkan dapat menjadi solusi alternatif sebagai sarana yang sangat penting dan potensial sebagai pusat layanan informasi kegunungapian dalam upaya mencerdaskan kehidupan masyarakat, serta sebagai media dalam meningkatkan kesadaran dan kewaspadaan masyarakat tentang manfaat dan ancaman bahaya letusan gunungapi serta bencana geologi lainnya .</t>
  </si>
  <si>
    <t>{'lat': -7.615927200000001, 'lng': 110.4243329}</t>
  </si>
  <si>
    <t>Pantai Parangtritis</t>
  </si>
  <si>
    <t>Pantai Parangtritis (bahasa Jawa: ꦥꦱꦶꦱꦶꦂ ꦥꦫꦁꦠꦿꦶꦠꦶꦱ꧀, translit. Pasisir Parangtritis) adalah tempat wisata yang terletak di Desa Parangtritis, Kretek, Kabupaten Bantul, Daerah Istimewa Yogyakarta. Jaraknya kurang lebih 27 km dari pusat Kota Yogyakarta. Pantai ini boleh terbilang adalah salah satu destinasi wisata terkenal di Yogyakarta dan paling favorit diantara para wisatawan sejak lama, bahkan Pantai Parangtritis telah menjadi ikon pariwisata di Yogyakarta. Pantai Parangtritis mempunyai nilai simbolis yang merupakan garis yang bersifat magis yang menghubungkan Panggung Krapyak, Keraton Yogyakarta, Tugu Yogyakarta dan Gunung Merapi yang dikenal sebagai Garis Imajiner Yogyakarta.\nPantai yang terletak di sisi timur Pantai Parangkusumo ini terkenal diantara para wisatawan karena memiliki legenda yang melekat dengan Ratu Kidul sebagai penguasa laut selatan dan keindahannya. Pantai ini merupakan pantai yang cukup luas di Yogyakarta, berbeda dengan pantai-pantai di kawasan Yogyakarta lainya seperti Pantai di Gunungkidul yang ukurannya relatif kecil.</t>
  </si>
  <si>
    <t>{'lat': -8.024607999999999, 'lng': 110.3298045}</t>
  </si>
  <si>
    <t>Goa Pindul</t>
  </si>
  <si>
    <t>Gua Pindul adalah objek wisata berupa gua yang terletak di Desa Bejiharjo, Kecamatan Karangmojo, Kabupaten Gunungkidul. Gua Pindul dikenal karena cara menyusuri gua yang dilakukan dengan menaiki ban pelampung di atas aliran sungai bawah tanah di dalam gua, kegiatan ini dikenal dengan istilah cave tubing.</t>
  </si>
  <si>
    <t>{'lat': -7.9339721, 'lng': 110.651966}</t>
  </si>
  <si>
    <t>Candi Ratu Boko</t>
  </si>
  <si>
    <t>Situs Ratu Baka atau Candi Boko (Hanacaraka:ꦕꦤ꧀ꦝꦶ​ꦫꦠꦸ​ꦧꦏ, bahasa Jawa: Candhi Ratu Baka) adalah situs purbakala yang merupakan kompleks sejumlah sisa bangunan yang berada kira-kira 3 km di sebelah selatan dari kompleks Candi Prambanan, 18 km sebelah timur Kota Yogyakarta atau 50 km barat daya Kota Surakarta, Jawa Tengah, Indonesia. Situs Ratu Boko terletak di sebuah bukit pada ketinggian 196 meter dari permukaan laut. Luas keseluruhan kompleks adalah sekitar 25 ha.</t>
  </si>
  <si>
    <t>{'lat': -7.7705416, 'lng': 110.4894158}</t>
  </si>
  <si>
    <t>Pantai Depok Jogja</t>
  </si>
  <si>
    <t>Pantai Depok (bahasa Jawa: ꦥꦱꦶꦱꦶꦂ ꦝꦺꦥꦺꦴꦏ꧀, translit. Pasisir Dhépok) merupakan objek wisata pantai yang terletak di Kecamatan Kretek, Kabupaten Bantul, Daerah Istimewa Yogyakarta, sekitar tiga puluh kilometer di sebelah selatan Kota Yogyakarta. Pantai ini terkenal akan pasar ikannya yang ikannya merupakan hasil tangkapan nelayan Pantai Depok.</t>
  </si>
  <si>
    <t>{'lat': -8.0137087, 'lng': 110.2914777}</t>
  </si>
  <si>
    <t>Pantai Sundak</t>
  </si>
  <si>
    <t>Pantai Sundak merupakan salah satu pantai indah yang berada di Gunung Kidul tepatnya di dekat Pantai Indrayanti. Pantai ini berpasir putih dan memilii air yang masih bersih, bening, dan menyegarkan. Tetapi ombak di Pantai Sundak ini sangat besar, jadi jika anda ingin bermain air di Pantai Sundak diharapkan untuk berhati-hati. Selain bermain air anda juga bisa berjalan-jalan di tepi pantai sambil menikmati keindahan pantai ini. Jika anda berjalan di tepi pantai sampai sejauh 40 meter anda akan menemukan batu-batu karang kecil berjajar dan batu-batu karang tersebut adalah tempat persembunyian hewan-hewan laut yang kecil, tetapi harus tetap berhati-hati karena batu karang tersebut begitu tajam.</t>
  </si>
  <si>
    <t>{'lat': -8.147072, 'lng': 110.6079043}</t>
  </si>
  <si>
    <t>Hutan Mangrove Kulon Progo</t>
  </si>
  <si>
    <t xml:space="preserve">Di sini ada kawasan wisata Hutan Mangrove Kulon Progo yang menyajikan keindahan alamnya. hutan Mangrove  ini memberikan pesona tersendiri selain pantai Glagah yang sudah menjadi primadona di Kulon Progo ini. Letak lokasi hutan mangrove  Kulon Progo ini sejatinya sudah masuk ke kawasan Pasir Mendit Kecamatan Temon Kulon Progo.
</t>
  </si>
  <si>
    <t>{'lat': -7.8933459, 'lng': 110.0198257}</t>
  </si>
  <si>
    <t>Jogja Bay Pirates Adventure Waterpark</t>
  </si>
  <si>
    <t>Jogja Bay Waterpark atau Jogja Bay (bahasa Jawa: ꦠꦼꦭꦸꦏ꧀ꦔꦪꦺꦴꦒꦾ 'Teluk Ngayogya') adalah salah satu taman wisata air atau waterpark terbesar di Asia Tenggara yang berlokasi di Yogyakarta, Indonesia. Taman wisata air ini dibuka secara resmi pada 20 Desember 2015.</t>
  </si>
  <si>
    <t>{'lat': -7.747846099999999, 'lng': 110.4188754}</t>
  </si>
  <si>
    <t>Pantai Sepanjang</t>
  </si>
  <si>
    <t>Siapa sangka, ternyata Yogyakarta pun punya “Kuta”-nya sendiri Ialah Pantai Sepanjang, salah satu pantai di Kabuaten Gunungkidul. Daerah yang satu ini memang memiliki koleksi pantai cantik yang tak terhitung jumlahnya. Bahkan pantai ini digadang-gadang sebagai ‘Kuta Tempo Doeloe‘. Memang, pesona seperti apa yang ditawarkan pantai ini?</t>
  </si>
  <si>
    <t>{'lat': -8.136665599999999, 'lng': 110.5659962}</t>
  </si>
  <si>
    <t>Pantai Krakal</t>
  </si>
  <si>
    <t>Pantai krakal merupakan pantai strategis untuk singgah, selain bisa menikmati panorama laut, wisatawan juga bisa mencicipi kuliner laut. Terdapat icon berupa bangunan berbentuk ikan diatas bukit yang sering dijadikan tempat foto.</t>
  </si>
  <si>
    <t>{'lat': -8.145019, 'lng': 110.5998857}</t>
  </si>
  <si>
    <t>Pantai Glagah</t>
  </si>
  <si>
    <t>Pantai Glagah Indah adalah salah satu pantai yang menjadi objek wisata di provinsi Daerah Istimewa Yogyakarta. Pantai Glagah Indah merupakan salah satu pantai di Yogyakarta dengan hamparan pasir yang berwarna hitam dan banyak mengandung pasir besi. Pantai Glagah Indah memiliki akses yang baik</t>
  </si>
  <si>
    <t>{'lat': -7.911942699999999, 'lng': 110.0647339}</t>
  </si>
  <si>
    <t>Pantai Siung</t>
  </si>
  <si>
    <t>Pantai Siung adalah suatu objek wisata pantai yang terletak di Kec. Tepus, tepatnya berada di Dusun Duwet, Kelurahan Purwodadi, Kecamatan Tepus, Kabupaten Gunungkidul, provinsi Daerah Istimewa Yogyakarta. Lokasinya berjarak kurang lebih 75 km dari kota Yogya dan memiliki jalur panjat tebing dengan 250 jalur berstandar internasional.\nDi sepanjang perjalanan menuju lokasi pantai, Anda akan disuguhi pemandangan bukit kapur yang ditumbuhi pohon-pohon jati. Jalan yang berkelok-kelok dan menaik, merupakan tantangan yang harus Anda lewati sebelum mencapai Pantai Siung. Akan tetapi, perjalanan yang melelahkan akan terbayar ketika Anda sudah berada di kawasan Pantai Siung. Pantai dengan hamparan pasir putih dan suara deburan ombak, akan membuat suasana hati dan pikiran Anda tenang dan damai.\nKarena pantai ini sangat terpencil, fasilitas yang tersedia masih minim. Untuk akomodasi penginapan belum tersedia di sini, tetapi jika Anda ingin bermalam di Pantai Siung, Anda bisa menggunakan pondok pemanjat yang bentuknya mirip rumah panggung dengan kapasitas kurang lebih sekitar 20 orang. Jika Anda ingin bermalam dengan suasana alam, anda bisa membawa tenda sendiri yang bisa Anda gunakan di area camping ground.\nJika Anda dari Kota Yogyakarta, Anda bisa menggunakan jalur Yogyakarta-Wonosari-Tepus-Purwodadi-Pantai Siung. Jika Anda menggunakan transportasi umum, Anda dapat menggunakan bus dari Terminal Giwangan Yogyakarta dengan menggunakan bus jurusan Jogja-Wonosari. Sampai di terminal Wonosari, Anda dapat menggunakan angkutan umum jurusan Wonosari-Jepitu. Sesampai Pertigaan Balai Desa Purwodadi, Anda bisa menggunakan jasa ojek, karena hanya itu transportasi umum yang bisa digunakan sampai ke Pantai Siung.</t>
  </si>
  <si>
    <t>{'lat': -8.1818233, 'lng': 110.6832394}</t>
  </si>
  <si>
    <t>Pantai Sadranan</t>
  </si>
  <si>
    <t>Pantai Sadranan Jogja adalah butiran intan permata tersembunyi yang tiba-tiba memunculkan diri, dari dalam tumpukan harta karun deretan pantai pantai indah di Jogja. Seperti halnya pantai-pantai lain di kawasan Selatan Jogja, Pantai Sadranan juga memiliki ciri khas pasir putih dengan karang koral di area sangaet dekat dengan bibir pantai. Pasir putih ini mengingatkan pada Pantai terkenal semacam Kuta di Bali dan Mandalika di Lombok. Namun pantai di gunung kidul ini punya kelebihan dari 2 pantai terkenal itu, yaitu terdapatnya koral karang di pantai. Selain itu, pantai ini juga masih terbilang sepi. Kedua kelebihan ini, membuat pengunjung benar-benar bisa menikmati keasrian pantai tanpa harus terganggu hiruk pikuknya manusia.</t>
  </si>
  <si>
    <t>{'lat': -8.145667999999997, 'lng': 110.6043914}</t>
  </si>
  <si>
    <t>Pantai Nguluran</t>
  </si>
  <si>
    <t>Di pantai Nguluran anda hanya bisa melihat hamparan laut luas serta spot foto. Semua fasilitas itu adanya di atas tebing. Sekitar belasan meter dari permukaan air pantai. Spot favorit di resort pantai ini adalah teras kaca. Teras kaca ini dapat dijadikan spot selfie dengan latar belakang pantai. Pengunjung akan mendapatkan foto yang sangat bagus dan indah untuk dipajang di IG, FB, atau media sosial lain. Apalagi jika foto diambil saat sunset. Saat berfoto di teras kaca, pengunjung akan merasakan sensasi yang menegangkan. Sensasi tegang ini timbul akibat teras kaca yang tepat berdiri di atas pinggir laut. Sensasi yang timbul seperti berjalan di atas seutas tali pada ketingian belasan meter di atas air laut. Namun tidak perlu kuatir, pihak pengelola menjamin keselematan para pengunjung, sepanjang tidak melanggar peraturan yang sudah di buat pihak pengelola.</t>
  </si>
  <si>
    <t>{'lat': -8.1060061, 'lng': 110.4618655}</t>
  </si>
  <si>
    <t>Pantai Samas</t>
  </si>
  <si>
    <t>Pantai Samas (bahasa Jawa: ꦥꦱꦶꦱꦶꦂ​ꦱꦩꦱ꧀, translit. Pasisir Samas) merupakan salah satu pantai yang berada di deretan pantai sebelah timur Pantai Parangtritis. Lokasi Pantai Samas kurang lebih 14 km arah selatan Kota Bantul atau sekitar 35 km dari pusat Kota Yogyakarta, tepatnya di Desa Srigading, Kecamatan Sanden, Kabupaten Bantul, Daerah Istimewa Yogyakarta.</t>
  </si>
  <si>
    <t>{'lat': -8.0045535, 'lng': 110.2703756}</t>
  </si>
  <si>
    <t>Pantai Drini</t>
  </si>
  <si>
    <t>Pantai Drini adalah salah satu objek wisata yang terletak di Desa Banjarejo, Kecamatan Tanjungsari,Gunungkidul, Yogyakarta. Letaknya di sebelah timur Pantai Baron dan berjarak sekitar 1 km ke arah timur Pantai Sepanjang. Namun jarak sebenarnya yang harus ditempuh untuk sampai ke pantai ini sejauh 60 km atau sekitar 2-3 jam dari Kota Yogyakarta. Infrastruktur menuju ke Pantai Drini cukup mulus, walaupun jalan masuk untuk sampai ke pantai ini cukup terjal dan berkelok-kelok. Pantai Drini merupakan pantai yang langsung berhadapan dengan Samudra Hindia. Pantai ini memiliki lereng pantai yang cukup curam sekitar 10 derajat dan merupakan bagian dari Wonosari yang didominasi oleh batuan karst dari Gunung Sewu. Pantai ini belum banyak terjamah oleh wisatawan lokal maupun asing, karena letaknya yang berada di daerah terpencil. Sehingga, Pantai Drini ini dikenal dengan nama Pantai Perawan. Sebutan ini digunakan oleh masyarakat setempat karena kondisi Pantai Drini yang masih bersih, udara yang sejuk, air yang terasa dingin ditambah dengan hamparan pasir putih yang mempesona dan aliran airnya yang tidak seganas Pantai Parangtritis Pantai ini memiliki sebuah tebing besar yang berada di tengah-tengah pantai dan membagi pantai ini menjadi dua sisi, yaitu sisi barat dan sisi timur . Tebing ini terlihat begitu indah sehingga membuatnya seolah-olah seperti pulau kecil yang terapung di tengah pantai. Di atas karang ini dibangun mercusuar dimana dari menaranya mata kita akan dimanjakan dengan pemandangan yang luar biasa indahnya.. Di pantai ini pengunjung juga dapat melihat dengan jelas rumput-rumput laut di antara karang-karang laut dan biota laut lainnya.</t>
  </si>
  <si>
    <t>{'lat': -8.1384509, 'lng': 110.577522}</t>
  </si>
  <si>
    <t>Air Terjun Sri Gethuk</t>
  </si>
  <si>
    <t>Air Terjun Sri Gethuk merupakan salah satu objek wisata alam yang terletak di Kecamatan Playen, Kabupaten Gunungkidul, Yogyakarta. Air terjun ini berada di tepi Sungai Oyo sehingga untuk menikmatinya harus menyelusuri sungai dengan rakit. Sepanjang perjalanan akan disuguhi pemandangan berupa tebing tebing kapur dikanan-kiri dan rimbunnya pepohonan. Jika di musim kemarau, air sungai akan sangat jernih berwana kehijauan dan tenang.\nAir terjun Sri Gethuk ini memiliki 3 sumber mata air yaitu mata air Ngandong, Dong Poh, dan Ngumbul. Ketiga mata air ini berkumpul dan mengalir melalui tebing tinggi hingga membentuk air terjun Sri Gethuk. Air Terjun Sri Gethuk memiliki tinggi sekira 25 meter dengan 3-5 terjunan air terjun tergantung musim. Air yang tak pernah kering itu jatuh tak membuat kolam namun langsung merayapi bebatuan kapur yang rapi di tepi sungai. Air terjun ini sedang dalam tahap pengembangan untuk menjadi destinasi wisata andalan Kabupaten Gunungkidul selain dari pantai dan pegunungan karst.\nAir Terjun Sri Gethuk juga disebut sebagai Air Terjun Slempret. Nama Slempret sendiri berasal dari legenda yang ada di Desa Bleberan. Menurut cerita yang beredar di masyarakat, air tejun ini merupakan pusatnya para jin dengan pimpinan Jin Anggo Menduro. Air terjun ini bermula dari tiga sumber mata air yaitu Kedungpoh, Ngandong, dan Ngumbul. Ketiga sumber mata air tersebut mengalir menjadi satu dan membentuk butiran-butiran air yang jatuh dari tebing bebatuan karst yang tandus.</t>
  </si>
  <si>
    <t>{'lat': -7.943178000000001, 'lng': 110.48924}</t>
  </si>
  <si>
    <t>Candi Sewu</t>
  </si>
  <si>
    <t>Candi Sewu atau Manjusrighra (Hanacaraka:ꦕꦤ꧀ꦝꦶ​ꦱꦺꦮꦸ, Jawa: Candhi Sèwu) adalah candi Buddha yang dibangun pada abad ke-8 Masehi yang berjarak hanya delapan ratus meter di sebelah utara Candi Prambanan. Candi Sewu merupakan kompleks candi Buddha terbesar kedua setelah Candi Borobudur di Jawa Tengah. Candi Sewu berusia lebih tua daripada Candi Borobudur dan Prambanan. Meskipun aslinya memiliki 249 candi, oleh masyarakat setempat candi ini dinamakan "Sewu" yang berarti seribu dalam bahasa Jawa. Penamaan ini berdasarkan kisah legenda Loro Jonggrang.\nSecara administratif, kompleks Candi Sewu terletak di Dukuh Bener, Desa Bugisan, Kecamatan Prambanan, Kabupaten Klaten, Provinsi Jawa Tengah.</t>
  </si>
  <si>
    <t>{'lat': -7.7439217, 'lng': 110.4929095}</t>
  </si>
  <si>
    <t>Pantai Wediombo</t>
  </si>
  <si>
    <t>Pantai Wediombo (O Jawa: Wedhiamba) adalah sebuah pantai yang berada di Desa Jepitu, Girisubo, Gunungkidul di dekat Pantai Siung, berjarak 80 km dari kota Yogyakarta. Pantai tersebut meliputi sebuah teluk yang dikelilingi pegunungan batu karang dan pasir putih. Di tengah laut, batu karang tampak menonjol. Tempat tersebut juga dipakai untuk selancar. Ketinggian ombak dapat mencapai 3-4 meter. Pantai Wediombo menghadap ke barat dan matahari berada di sisi selatan (pada November-Mei). Dari pantai ini, orang-orang dapat melihat matahari terbenam pada waktu sore. Selin untuk berselancar, Wediombo juga memiliki kolam alami sampai perairan tanpa ombak. Ada pula tempat untuk snorkeling. Wediombo masuk salah satu dari 13 tempat yang masuk Cagar Alam Dunia UNESCO Gunung Sewu.</t>
  </si>
  <si>
    <t>{'lat': -8.1862462, 'lng': 110.709901}</t>
  </si>
  <si>
    <t>Pantai Jogan</t>
  </si>
  <si>
    <t>Pantai Jogan adalah objek wisata pantai yang terletak di Dusun Duwet, Purwodadi, Tepus, Kabupaten Gunungkidul, Daerah Istimewa Yogyakarta. Lokasinya berjarak kurang lebih 74 km dari Pusat kota Yogyakarta. Pantai ini terletak di jajaran pegunungan Gunungkidul, yang memberikan pemandangan alam tebing dan air terjun yang mengarah ke laut lepas.</t>
  </si>
  <si>
    <t>{'lat': -8.180135, 'lng': 110.6763715}</t>
  </si>
  <si>
    <t>Pantai Ngrenehan</t>
  </si>
  <si>
    <t>Pantai Ngrenehan merupakan\npantai nelayan. Terletak di desa Kanigoro\nKecamatan Saptosari kurang lebih 30 km di sebelah selatan kota Wonosari. Suatu pantai berupa teluk yang dikelilingi hamparan perbukitan kapur dan memiliki panorama yang sangat memukau dengan deburan ombak menerpa pasir putih. Para wisatawan dapat menyaksikan aktivitas kegiatan nelayan dan menikmati ikan siap saji atau membawa ikan segar sebagai oleh-oleh.</t>
  </si>
  <si>
    <t>{'lat': -8.1211475, 'lng': 110.5142337}</t>
  </si>
  <si>
    <t>Pantai Jungwok</t>
  </si>
  <si>
    <t>Pantai Jungwok adalah pantai yang terletak di Desa Jepitu, Kecamatan Girisubo, Kabupaten Gunungkidul, Daerah Istimewa Yogyakarta. Pantai Jungwok merupakan salah satu pantai yang memiliki panorama yang indah dengan pasir putih yang khas dari pantai di Gunung Kidul. Pantai Jungwok terletak di sebelah Timur Pantai Wediombo dan di sebelah Barat Pantai Ngusalan. Jarak Pantai Jungwok dari Kota Wonosari sekitar 40 km. Akses jalan menuju Pantai Jungwook masih cukup sulit, itu dikarenakan jalan yang masih belum diaspal. Pantai Jungwok sering menjadi destinasi wisata karena tempatnya yang nyaman untuk berkemah.</t>
  </si>
  <si>
    <t>{'lat': -8.197822, 'lng': 110.7123397}</t>
  </si>
  <si>
    <t>Pantai Greweng</t>
  </si>
  <si>
    <t>Di Kabupaten Gunungkidul, tidak sulit memilih pantai yang masih sepi dan indah. Pantai Greweng yang berada di Kecamatan Girisubo adalah satu di antaranya. Tidak hanya cantik, pantai ini juga dikenal sebagai destinasi untuk berkemah. Namun, siapkan energi lebih untuk mencapai lokasinya yang terpencil.</t>
  </si>
  <si>
    <t>{'lat': -8.197864399999998, 'lng': 110.7186216}</t>
  </si>
  <si>
    <t>Pantai Sedahan</t>
  </si>
  <si>
    <t>Pantai Sedahan ini memiliki garis pantai yang cukup panjang dan cukup luas untuk dijadikan sebagai arena bermain. Pada kedua sisi pantai, terdapat tebing karang yang mengapit pantai ini dan menjorok ke tengah laut. Pantai Sedahan mempunyai deburan ombak yang khas laut selatan dan hamparan pasir putih dengan butiran butiran yang halus. Air Biru kehijauan yang bening, segar, dan berkilauan teritampa cahaya matahari akan menghipnotis siapa pun untuk bermain air dan menceburkan diri di pantai tersebut. Tetapi pengunjung harus tetap berhati hati karena pantai selatan selalu berarus dan berombak kuat, maka para pengunjung tidak disarankan untuk berenang terlalu jauh dari daratan. Pantai Sedahan ini juga dikenal oleh banyak orang sebagai lokasi memancing yang menyenangkan. Banyak pengunjung yang rela dan menyempatkan datang jauh jauh hanya untuk memancing ikan di Pantai Sedahan ini.</t>
  </si>
  <si>
    <t>{'lat': -8.1978943, 'lng': 110.7208535}</t>
  </si>
  <si>
    <t>Pantai Watu Kodok</t>
  </si>
  <si>
    <t>Pantai Watu Kodok merupakan salah satu pantai yang ada di Gunung Kidul. Pantai Watu Kodok ini memiliki pasir putih dan air laut yang masih berwarna biru yang sangat indah. Di pantai ini terdapat beberapa batu karang yang terjal, batu tersebut menjadi daya tarik para wisatawan dan keunikan bagi pantai itu sendiri. Dan suasana pantai yang masih alami juga menjadikan pantai ini menjadi daya tariknya, tetapi pantai ini masih tergolong pantai baru jadi masih belum banyak wisatawan. Pantai Watu Kodok ini sangat cocok bagi Anda yang ingin menghabiskan waktu liburan bersama keluarga.</t>
  </si>
  <si>
    <t>{'lat': -8.1370556, 'lng': 110.5746611}</t>
  </si>
  <si>
    <t>Pantai Kesirat</t>
  </si>
  <si>
    <t>Pada umumnya pantai identik dengan pasirnya bukan, namun pantai kesirat memiliki keunikan tersendiri yang akan anda temukan disini. Pantai kesirat tidak memiliki pasir namun anda akan menemukan tebing tebing yang memeiliki struktur yang cantik kemudian anda kana menikmati pantai di atasnya, tempat ini juga sangat cocok untuk menikmati sunset. Keindahan pantai ini membuat semua orang tidak bisa melupakannya seperti janji mantan hehee.. pantai kesirat memiliki spot spot foto yang instagramable banget cocok sekali untuk kamu yang suka berfoto. Keunikan lain yang menjadi ciri khas dari wisata Pantai Kesirat adalah hadirnya sebuah pohon yang tampak berdiri kokoh yang menjadi ikon dari tempat wisata ini. Banyak wisatawan yang memanfaatkan pohon ini sebagai latar belakang foto mereka.</t>
  </si>
  <si>
    <t>{'lat': -8.096153500000002, 'lng': 110.4350483}</t>
  </si>
  <si>
    <t>Pantai Ngandong</t>
  </si>
  <si>
    <t>Pantai Ngandong terletak di Desa Sidoarjo, Kecamatan Tepus, Kabupaten Gunung Kidul, Yogyakarta. Pantai ini sebenarnya tidak jauh dari Pantai Indrayanti yang lebih terkenal dahulu, tepatnya terletak di sebelah barat laut dari pantai Indrayanti. Pantai Ngandong termasuk pantai yang kecil namun mempunyai ciri khas tersendiri yang menjadi daya tarik bagi wisatawan. Meskipun demikian belum banyak wisatawan yang mengetahui destinasi wisata pantai ini. Pantai ini ramai penunjung ketika musim liburan, namun sepi ketika hari-hari biasa.</t>
  </si>
  <si>
    <t>{'lat': -8.146423, 'lng': 110.6061408}</t>
  </si>
  <si>
    <t>Galaxy Waterpark Jogja</t>
  </si>
  <si>
    <t>Galaxy Waterpark adalah taman rekreasi air yang berdiri di atas lahan seluas 2,5 hektar ini sangat cukup untuk menampung pengunjung di waktu liburan. Dengan lokasi yang sangat luas banyak wahana dan fasilitas yang bisa kamu nikmati. Di tempat ini juga tersedia beberapa kolam, dari kolam anak sampai kolam dewasa. Selain itu fasilitas yang disediakan pengelolapun juga terbilang lengkap untuk mendukung kenyamananmu saat berlibur.</t>
  </si>
  <si>
    <t>{'lat': -7.815963299999999, 'lng': 110.4136917}</t>
  </si>
  <si>
    <t>Desa Wisata Pulesari</t>
  </si>
  <si>
    <t>Desa Wisata Pulesari semakin menambah deretan profil desa wisata di Jogja yang lahir dari kesadaran masyarakat, atas potensi lokal yang dimiliki. Baik itu dari sisi ragam budaya, pesona alam sekitar, kazanah kuliner, maupun nilai sejarah, dan budaya yang ada. Semuanya dikemas dalam sebuah keseruan wisata. Lokasi Desa Wisata Pulesari berada di Kabupaten Sleman, Daerah Istimewa Yogyakarta (DIY), yang notabene sebagai kabupaten yang dianugerahi banyak sekali tempat wisata. Kehadiran Desa Wisata Pulesari seakan menjadi penambal dari puzle wisata yang belum lengkap. Dan inilah review Desa Wisata Pulosari sebagai referensi awal untuk menentukan lokasi liburan nanti.</t>
  </si>
  <si>
    <t>{'lat': -7.625880599999999, 'lng': 110.371698}</t>
  </si>
  <si>
    <t>Desa Wisata Tembi</t>
  </si>
  <si>
    <t>Desa Wisata Tembi, merupakan satu dari sekian desa wisata yang sukses menata kawasannya, sehingga menjadi sebuah kawasan yang layak untuk dikunjungi. Potensi alam, sejarah, serta potensi budaya yang dimiliki Desa Wisata Tembi memang sangat pas untuk dijadikan sebuah desa wisata. Apalagi jarak Desa Wisata Tembi tidak jauh dari pusat kota Jogja. Ternyata, pesona keindahan Desa Wisata Tembi tidak hanya terbatas pada dua hal tersebut saja. Dan inilah info lengkap Desa Wisata Tembi, sebagai referensi awal menentukan lokasi wisata saat liburan nanti. Lokasi Desa Wisata Tembi terletak satu arah menuju Parangtritis. Alamat Desa Wisata Tembi berada di Desa Tembi, Kecamatan Sewon, Kabupaten Bantul, Daerah Istimewa Yogyakarta.</t>
  </si>
  <si>
    <t>{'lat': -7.872567300000001, 'lng': 110.3546963}</t>
  </si>
  <si>
    <t>Wisata Kaliurang</t>
  </si>
  <si>
    <t>Jogja selalu menarik untuk dikulik, terlebih tempat wisatanya. Berbagai wisata tersedia di Jogja, mulai dari wisata buatan hingga wisata alam. Seperti halnya Taman Wisata Kaliurang, yang memadukan unsur alam dengan taman rekreasi. Taman rekreasi ini berada di kawasan lereng Gunung Merapi. Bukan hal aneh jika objek wisata ini sangat sejuk. Menghabiskan waktu untuk berlibur di sini merupakan pilihan yang tepat.</t>
  </si>
  <si>
    <t>{'lat': -7.6120675, 'lng': 110.4205209}</t>
  </si>
  <si>
    <t>Heha Sky View</t>
  </si>
  <si>
    <t>HeHa Sky View adalah salah satu tempat wisata terbaru di Yogyakarta dan paling hits saat ini. Mau foto estetik ala selebgram atau berfoto di atas rooftop berlantai kaca? Bisa! .Terletak di Yogyakarta yang romantis, Heha Sky View adalah tempat wisata yang punya tiga ciri khas. Berdasarkan akun Instagram milik mereka, tiga hal yang menjadi ciri utama Heha Sky View adalah selfie, resto, dan food stalls. Ada banyak penjual makanan kekinian berkonsep kontainer untuk kamu yang suka memanjakan lidah. Dan kalau ingin menambah stok swafoto ada banyak spot Instagrammable yang patut dicoba.</t>
  </si>
  <si>
    <t>{'lat': -7.8496144, 'lng': 110.478324}</t>
  </si>
  <si>
    <t>Taman Sungai Mudal</t>
  </si>
  <si>
    <t>Taman Sungai Mudal, sebuah objek wisata alam terbuka yang terletak di Kabupaten Kulon Progo, yang menawarkan pesona sebuah kolam pemandian yang bersumber dari mata air alami. Mata airnya bersumber dari sebuah goa, sehingga kehadiran Taman Sungai Mudal menjadi mengesampingkan kesan angker dari sebuah goa. Apalagi ditambah dengan dukungan fasilitas yang membuat para wisatawan merasa nyaman saat berada di sana. Taman Sungai Mudal menjadi salah-satu wisata Kulon Progo yang selalu menjadi destinasi utama saat liburan tiba. Salah-satu alasan utamanya dikarenakan Taman Sungai Mudal mampu menjadi destinasi wisata keluarga yang menyenangkan.</t>
  </si>
  <si>
    <t>{'lat': -7.762813599999998, 'lng': 110.1161626}</t>
  </si>
  <si>
    <t>Pantai Sanglen</t>
  </si>
  <si>
    <t>Pantai Sanglen. Lokasinya berada di Desa Kemadang, Gunung Kidul. Pantai indah yang satu ini memang terdengar asing di telinga, namun ternyata pantai ini menyimpan keindahan yang sangat menenangkan. Keadaan ombaknya diam-diam menghanyutkan membuat kita harus berhati-hati jika ingin bermain air ketika sedang pasang, namun ketika surut kamu dapat bemain ombak di sekitar pantainya. Tak jauh dari area pantai terdapat sebuah bukit dengan hiasan pepohonan yang masih rindang serta berwarna hijau alam, kamu dapat naik ke atas bukit melalui tangga yang sudah disediakan.</t>
  </si>
  <si>
    <t>{'lat': -8.1367456, 'lng': 110.5716362}</t>
  </si>
  <si>
    <t>Pantai Congot</t>
  </si>
  <si>
    <t>Selain Pantai Glagah dan Pantai Trisik, ternyata masih ada satu lagi pantai yang berada di Kulon Progo. Yakni Pantai Congot, pantai yang satu ini terkenal sebagai surganya memancing ikan. Maka tak heran jika Pantai Congot banyak dikunjungi oleh mereka para mancing mania, selain itu masyarakat sekitar Pantai Congot menggantungkan hidupnya sebagai nelayan. Pantai Congot memang tak sepopuler pantai lain yang ada di Kulon Progo, mulai banyak dikunjungi wisatawan ketika dibukanya Hutan Mangrove Pasir Mendit. Karena memang lokasinya yang tak terlalu jauh dari Pantai Congot, yakni berada di sebelah barat pantai. Pantai Congot merupakan muara dari Sungai Bogowonto. Ini pulalah yang menyebabkan Pantai Congot menjadi spot favorite para pemancing, karena terdapat banyak jenis ikan yang ada mulai dari ikan air tawar, ikan air payau hingga ikan air asin.</t>
  </si>
  <si>
    <t>{'lat': -7.907542500000001, 'lng': 110.0535658}</t>
  </si>
  <si>
    <t>GunungTangkuban perahu</t>
  </si>
  <si>
    <t xml:space="preserve">Gunung Tangkuban Parahu adalah salah satu gunung yang terletak di Provinsi Jawa Barat, Indonesia. Sekitar 20 km ke arah utara Kota Bandung, dengan rimbun pohon pinus dan hamparan kebun teh di sekitarnya, Gunung Tangkuban Parahu mempunyai ketinggian setinggi 2.084 meter. Bentuk gunung ini adalah Stratovulcano dengan pusat erupsi yang berpindah dari timur ke barat. Jenis batuan yang dikeluarkan melalui letusan kebanyakan adalah lava dan sulfur, mineral yang dikeluarkan adalah sulfur belerang, mineral yang dikeluarkan saat gunung tidak aktif adalah uap belerang. Daerah Gunung Tangkuban Parahu dikelola oleh Perum Perhutanan. Suhu rata-rata hariannya adalah 17oC pada siang hari dan 2 °C pada malam hari.
</t>
  </si>
  <si>
    <t>Bandung</t>
  </si>
  <si>
    <t>{'lat': -6.759637700000001, 'lng': 107.6097807}</t>
  </si>
  <si>
    <t>Jalan Braga</t>
  </si>
  <si>
    <t>Jalan Braga adalah nama sebuah jalan utama di kota Bandung, Indonesia. Nama jalan ini cukup dikenal sejak masa pemerintahan Hindia Belanda. Sampai saat ini nama jalan tersebut tetap dipertahankan sebagai salah satu maskot dan objek wisata kota Bandung yang dahulu dikenal sebagai Parijs van Java.</t>
  </si>
  <si>
    <t>{'lat': -6.9150534, 'lng': 107.6089842}</t>
  </si>
  <si>
    <t>Gedung Sate</t>
  </si>
  <si>
    <t>Gedung Sate, dengan ciri khasnya berupa ornamen tusuk sate pada menara sentralnya, telah lama menjadi penanda atau markah tanah Kota Bandung yang tidak saja dikenal masyarakat di Jawa Barat, tetapi juga seluruh Indonesia bahkan model bangunan itu dijadikan pertanda bagi beberapa bangunan dan tanda-tanda kota di Jawa Barat. Misalnya bentuk gedung bagian depan Stasiun Kereta Api Tasikmalaya. Mulai dibangun tahun 1920, gedung berwarna putih ini masih berdiri kokoh namun anggun dan kini berfungsi sebagai gedung pusat pemerintahan Jawa Barat.\nGedung Sate yang pada masa Hindia Belanda itu disebut Gouvernements Bedrijven (GB), peletakan batu pertama dilakukan oleh Johanna Catherina Coops, puteri sulung Wali Kota Bandung, Bertus Coops dan Petronella Roelofsen, mewakili Gubernur Jenderal di Batavia, J.P. Graaf van Limburg Stirum pada tanggal 27 Juli 1920, merupakan hasil perencanaan sebuah tim yang terdiri dari Ir.J.Gerber, arsitek muda kenamaan lulusan Fakultas Teknik Delft Nederland, Ir. Eh. De Roo dan Ir. G. Hendriks serta pihak Gemeente van Bandoeng, diketuai Kol. Pur. VL. Slors dengan melibatkan 2000 pekerja, 150 orang di antaranya pemahat, atau ahli bongpay pengukir batu nisan dan pengukir kayu berkebangsaan Cina yang berasal dari Konghu atau Kanton, dibantu tukang batu, kuli aduk dan peladen yang berasal dari penduduk Kampung Sekeloa, Kampung Coblong Dago, Kampung Gandok dan Kampung Cibarengkok, yang sebelumnya mereka menggarap Gedong Sirap (Kampus ITB) dan Gedong Papak (Balai Kota Bandung).\n\nSelama kurun waktu 4 tahun pada bulan September 1924 berhasil diselesaikan pembangunan induk bangunan utama Gouverments Bedrijven, termasuk kantor pusat PTT (Pos, Telepon dan Telegraf) dan Perpustakaan.\nArsitektur Gedung Sate merupakan hasil karya arsitek Ir. J.Gerber dan kelompoknya yang tidak terlepas dari masukan maestro arsitek Belanda Dr.Hendrik Petrus Berlage, yang bernuansakan wajah arsitektur tradisional Nusantara.\nBanyak kalangan arsitek dan ahli bangunan menyatakan Gedung Sate adalah bangunan monumental yang anggun mempesona dengan gaya arsitektur unik mengarah kepada bentuk gaya arsitektur Indo-Eropa, (Indo Europeeschen architectuur stijl), sehingga tidak mustahil bila keanggunan Candi Borobudur ikut mewarnai Gedung Sate.\nBeberapa pendapat tentang megahnya Gedung Sate di antaranya Cor Pashier dan Jan Wittenberg dua arsitek Belanda, yang mengatakan "langgam arsitektur Gedung Sate adalah gaya hasil eksperimen sang arsitek yang mengarah pada bentuk gaya arsitektur Indo-Eropa".\nD. Ruhl dalam bukunya Bandoeng en haar Hoogvlakte 1952, "Gedung Sate adalah bangunan terindah di Indonesia".\nIr. H.P.Berlage, sewaktu kunjungan ke Gedung Sate April 1923, menyatakan, "Gedung Sate adalah suatu karya arsitektur besar, yang berhasil memadukan langgam timur dan barat secara harmonis". Seperti halnya gaya arsitektur Italia pada masa renaiscance terutama pada bangunan sayap barat. Sedangkan menara bertingkat di tengah bangunan mirip atap meru atau pagoda. Masih banyak lagi pendapat arsitek Indonesia yang menyatakan kemegahan Gedung Sate misalnya Slamet Wirasonjaya, dan Ir. Harnyoto Kunto.\nKuat dan utuhnya Gedung Sate hingga kini, tidak terlepas dari bahan dan teknis konstruksi yang dipakai. Dinding Gedung Sate terbuat dari kepingan batu ukuran besar (1 × 1 × 2 m) yang diambil dari kawasan perbukitan batu di Bandung timur sekitar Arcamanik dan Gunung Manglayang. Konstruksi bangunan Gedung Sate menggunakan cara konvensional yang profesional dengan memperhatikan standar teknik.\nGedung Sate berdiri di atas lahan seluas 27.990,859 m², luas bangunan 10.877,734 m² terdiri dari Basement 3.039,264 m², Lantai I 4.062,553 m², teras lantai I 212,976 m², Lantai II 3.023,796 m², teras lantai II 212.976 m², menara 121 m² dan teras menara 205,169 m².\nGerber sendiri memadukan beberapa aliran arsitektur ke dalam rancangannya. Untuk jendela, Gerber mengambil tema Moor Spanyol, sedangkan untuk bangunannya dalah Rennaisance Italia. Khusus untuk menara, Gerber memasukkan aliran Asia, yaitu gaya atap pura Bali atau pagoda di Thailand. Di puncaknya terdapat "tusuk sate" dengan 6 buah ornamen sate (versi lain menyebutkan jambu air atau melati), yang melambangkan 6 juta gulden - jumlah biaya yang digunakan untuk membangun Gedung Sate. Ornamen yang terbuat dari batu, terletak di atas pintu utama Gedung Sate, sering dikaitkan dengan candi Borobudur karena bentuknya yang serupa.\nFasade (tampak depan) Gedung Sate ternyata sangat diperhitungkan. Dengan mengikuti sumbu poros utara-selatan (yang juga diterapkan di Gedung Pakuan, yang menghadap Gunung Malabar di selatan), Gedung Sate justru sengaja dibangun menghadap Gunung Tangkuban Perahu di sebelah utara.\nDalam perjalanannya semula diperuntukkan bagi Departemen Lalulintas dan Pekerjaan Umum, bahkan menjadi pusat pemerintahan Hindia Belanda setelah Batavia dianggap sudah tidak memenuhi syarat sebagai pusat pemerintahan karena perkembangannya, sehingga digunakan oleh Jawatan Pekerjaan Umum. Tanggal 3 Desember 1945 terjadi peristiwa yang memakan korban tujuh orang pemuda yang mempertahankan Gedung Sate dari serangan pasukan Gurkha. Untuk mengenang ke tujuh pemuda itu, dibuatkan tugu dari batu yang diletakkan di belakang halaman Gedung Sate. Atas perintah Menteri Pekerjaan Umum pada tanggal 3 Desember 1970 Tugu tersebut dipindahkan ke halaman depan Gedung Sate.\nGedung Sate sejak tahun 1980 dikenal dengan sebutan Kantor Gubernur karena sebagai pusat kegiatan Pemerintah Provinsi Jawa Barat, yang sebelumnya Pemerintahaan Provinsi Jawa Barat menempati Gedung Kerta Mukti di Jalan Braga Bandung.\nRuang kerja Gubernur terdapat di lantai II bersama dengan ruang kerja Wakil Gubernur, Sekretaris Daerah, Para Assisten dan Biro. Saat ini Gubernur di bantu oleh tiga Wakil Gubernur yang menangani Bidang Pemerintahan, Bidang Ekonomi dan Pembangunan, serta Bidang Kesejahteraan Rakyat, seorang Sekretaris Daerah dan Empat Asisten yaitu Asisten Ketataprajaan, Asisten Administrasi Pembangunan, Asisten Kesejahteraan Sosial dan Asisten Administrasi.\nNamun tidak seluruh Asisten menempati Gedung Sate. Asisten Kesejahteraan Sosial dan Asisten Administrasi bersama staf menempati Gedung Baru.\nDi bagian timur dan barat terdapat dua ruang besar yang akan mengingatkan pada ruang dansa (ball room) yang sering terdapat pada bangunan masyarakat Eropa. Ruangan ini lebih sering dikenal dengan sebutan aula barat dan aula timur, sering digunakan kegiatan resmi. Di sekeliling kedua aula ini terdapat ruangan-ruangan yang di tempati beberapa Biro dengan Stafnya.\nPaling atas terdapat lantai yang disebut Menara Gedung Sate, lantai ini tidak dapat dilihat dari bawah, untuk menuju ke lantai teratas menggunakan Lift atau dengan menaiki tangga kayu.\nKesempurnaan megahnya Gedung Sate dilengkapi dengan Gedung Baru yang mengambil sedikit gaya arsitektur Gedung Sate namun dengan gaya konstektual hasil karya arsitek Ir.Sudibyo yang dibangun tahun 1977 diperuntukkan bagi para Pimpinan dan Anggota Dewan Perwakilan Rakyat Daerah Provinsi Jawa Barat dalam melaksanakan tugas dan fungsinya sebagai Lembaga Legislatif Daerah.\nGedung Sate telah menjadi salah satu tujuan objek wisata di kota Bandung. Khusus wisatawan manca negara banyak dari mereka yang sengaja berkunjung karena memiliki keterkaitan emosi maupun history pada Gedung ini. Keterkaitan emosi dan history ini mungkin akan terasa lebih lengkap bila menaiki anak tangga satu per satu yang tersedia menuju menara Gedung Sate. Ada 6 tangga yang harus dilalui dengan masing-masing 10 anak tangga yang harus dinaiki.\nKeindahan Gedung Sate dilengkapi dengan taman disekelilingnya yang terpelihara dengan baik, tidak heran bila taman ini diminati oleh masyarakat kota Bandung dan para wisatawan baik domestik maupun manca negara. Keindahan taman ini sering dijadikan lokasi kegiatan yang bernuansakan kekeluargaan, lokasi shooting video klip musik baik artis lokal maupun artis nasional, lokasi foto keluarga atau foto diri bahkan foto pasangan pengantin.\nKhusus pada hari minggu lingkungan halaman Gedung Sate dijadikan pilihan tempat sebagian besar masyarakat untuk bersantai, sekadar duduk-duduk menikmati udara segar kota Bandung atau berolahraga ringan.\nMembandingkan Gedung Sate dengan bangunan-bangunan pusat pemerintahan (capitol building) di banyak ibu kota negara sepertinya tidak berlebihan. Persamaannya semua dibangun di tengah kompleks hijau dengan menara sentral yang megah. Terlebih dari segi letak gedung sate serta lanskapnya yang relatif mirip dengan Gedung Putih di Washington, DC, Amerika Serikat. Dapat dikatakan Gedung Sate adalah "Gedung Putih"nya kota Bandung.</t>
  </si>
  <si>
    <t>{'lat': -6.9024812, 'lng': 107.61881}</t>
  </si>
  <si>
    <t>Trans Studio Bandung</t>
  </si>
  <si>
    <t>Trans Studio Bandung adalah kawasan wisata terpadu di Kota Bandung, Indonesia. Trans Studio dibangun pada areal seluas 4,2 hektare dengan investasi mencapai Rp 2 triliun sehingga menjadikan sebagai kawasan hiburan terluas dan terlengkap di Bandung. Wahana yang terdapat menawarkan petualangan dan sensasi baru yang tidak kalah menantang seperti pendahulunya yaitu Trans Studio Resort Makassar yang dibuka pada tahun 2009. Trans Studio Bandung dibuka untuk umum pada tanggal 18 Juni 2011. Trans Studio Bandung adalah taman bermain yang paling komplet di kota Bandung</t>
  </si>
  <si>
    <t>{'lat': -6.9250943, 'lng': 107.6364944}</t>
  </si>
  <si>
    <t>Taman Hutan Raya Ir. H. Djuanda</t>
  </si>
  <si>
    <t>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Pulosari.\nTahura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Bandung.\nBerdasarkan hasil rekonstruksi tata batas Tahura Djuanda tahun 2003, luasnya adalah 526,98 ha.</t>
  </si>
  <si>
    <t>{'lat': -6.8565791, 'lng': 107.6323734}</t>
  </si>
  <si>
    <t>Farm House Susu Lembang</t>
  </si>
  <si>
    <t>Sebagai salah satu tempat wisata lembang baru, Farm house Lembang mulai beroperasi sekitar tahun 2015. Tempat wisata di Bandung biasanya terbantu naik oleh medsos, terutama facebook dan instagram. Tampaknya tempat ini memaksimalkan banget hal ini. Dengan desain atmosfer eropa, banyak spot unik yang pastinya bakal menarik untuk swafoto/selfie, dan di posting di media sosial. memang, Farmhouse Lembang sejauh ini menawarkan ‘wisata foto’ sebagai daya tarik utamanya. Mirip-mirip dengan Dago Dream Park, hanya berbeda konsep tempatnya saja.</t>
  </si>
  <si>
    <t>{'lat': -6.832968999999999, 'lng': 107.6056183}</t>
  </si>
  <si>
    <t>Kebun Binatang Bandung</t>
  </si>
  <si>
    <t>Kebun Binatang Bandung merupakan salah satu objek wisata alam flora dan fauna di Kota Bandung, Jawa Barat, Indonesia. Kebun Binatang Bandung terletak berdampingan dengan kampus Institut Teknologi Bandung dan Sungai Cikapundung.</t>
  </si>
  <si>
    <t>{'lat': -6.8897177, 'lng': 107.6077282}</t>
  </si>
  <si>
    <t>Kawah Putih</t>
  </si>
  <si>
    <t>Kawah Putih adalah sebuah tempat wisata di Jawa Barat yang terletak di Desa Alam Endah, Kecamatan Rancabali, Kabupaten Bandung Jawa Barat yang terletak di kaki Gunung Patuha. Kawah putih merupakan sebuah danau yang terbentuk dari letusan Gunung Patuha. Tanah yang bercampur belerang di sekitar kawah ini berwarna putih, lalu warna air yang berada di kawah ini berwarna putih kehijauan, yang unik dari kawah ini adalah airnya kadang berubah warna. Danau Kawah Putih sendiri berada pada ketinggian 2194 m tapi luas total Danau Kawah Putih 25 ha yang dipakai wisata 5 ha dan lokasi kawah sendiri 3 ha.</t>
  </si>
  <si>
    <t>{'lat': -7.166203899999999, 'lng': 107.4021256}</t>
  </si>
  <si>
    <t>Tebing Karaton</t>
  </si>
  <si>
    <t>Tebing Keraton atau Tebing Karaton merupakan sebuah tebing yang berada di dalam kawasan Taman Hutan Raya Ir. H. Djuanda. Tebing ini terletak di Kampung Ciharegem Puncak, Desa Ciburial, Bandung, Jawa Barat, Indonesia. Dari Tebing Keraton dapat menikmati pemandangan spektakuler. Bukan lampu kota, melainkan hutan!</t>
  </si>
  <si>
    <t>{'lat': -6.8340683, 'lng': 107.6636151}</t>
  </si>
  <si>
    <t>Dusun Bambu</t>
  </si>
  <si>
    <t xml:space="preserve">Dusun Bambu merupakan taman rekreasi berbasis ecotourism di Jawa Barat dengan konsep ‘Private Sanctuary Lifestyle’ (Konsep Wisata Sehat). Melalui konsep ini, Dusun Bambu siap menghadirkan sarana rekreasi yang aman dan nyaman dengan senantiasa menerapkan standar protokol kesehatan yang ketat. Memadukan keindahan alam dan budaya tradisional, fasilitas di Dusun Bambu didesain untuk pengalaman wisata alam yang paling berkesan, mulai dari berjalan-jalan santai, bersepeda, menikmati kuliner lezat di tengah pesona alam, hingga mengunjungi replika pedesaan tradisional. Terdapat pula kapasitas kunjungan harian ke Dusun Bambu untuk memastikan bahwa anjuran social distancing tetap dijalankan. Dengan begitu, Dusun Bambu siap menjamin keselamatan kunjungan wisata Anda menyajikan pengalaman kunjungan yang tak tergantikan dan penjelajahan rasa yang memuaskan hati.
</t>
  </si>
  <si>
    <t>{'lat': -6.7897147, 'lng': 107.5791627}</t>
  </si>
  <si>
    <t>Museum Geologi Bandung</t>
  </si>
  <si>
    <t>Museum Geologi didirikan pada tanggal 16 Mei 1929 Museum ini telah direnovasi dengan dana bantuan dari JICA (Japan International Cooperation Agency). Setelah mengalami renovasi, Museum Geologi dibuka kembali dan diresmikan oleh Wakil Presiden RI, Megawati Soekarnoputri pada tanggal 23 Agustus 2000. Sebagai salah satu monumen bersejarah, museum berada di bawah perlindungan pemerintah dan merupakan peninggalan nasional. Dalam Museum ini, tersimpan dan dikelola materi-materi geologi yang berlimpah, seperti fosil, batuan, mineral. Kesemuanya itu dikumpulkan selama kerja lapangan di Indonesia sejak 1850.</t>
  </si>
  <si>
    <t>{'lat': -6.900716200000001, 'lng': 107.6214553}</t>
  </si>
  <si>
    <t>Museum Konferensi Asia Afrika</t>
  </si>
  <si>
    <t>Museum Konferensi Asia Afrika merupakan salah satu museum yang berada di kota Bandung yang terletak di Jalan Asia Afrika No. 65. Museum ini merupakan memorabilia Konferensi Asia Afrika. Museum ini memiliki hubungan yang sangat erat dengan Gedung Merdeka. Secara keseluruhan Gedung Merdeka memiliki dua bangunan utama, yang pertama disebut Gedung Merdeka sebagai tempat sidang utama, sedangkan yang berada di samping Gedung Merdeka adalah Museum Konferensi Asia Afrika sebagai tempat memorabilia Konferensi Asia Afrika. Latar belakang dibangunnya museum ini adalah adanya keinginan dari para pemimpin bangsa-bangsa di Asia dan Afrika untuk mengetahui tentang Gedung Merdeka dan sekitarnya tempat Konferensi Asia Afrika berlangsung. Hal ini membuat Menteri Luar Negeri Republik Indonesia, Prof. Dr. Mochtar Kusumaatmadja, S.H., LL.M memiliki ide untuk membangun sebuah museum. Ide tersebut disampaikannya pada forum rapat Panitia Peringatan 25 tahun Konferensi Asia Afrika (1980) yang dihadiri oleh Direktur Jenderal Kebudayaan Prof. Dr. Haryati Soebadio sebagai wakil dari Departemen Pendidikan dan Kebudayaan. Kemudian museum ini diresmikan pada tanggal 24 April 1980 bertepatan dengan peringatan 25 tahun Konferensi Asia Afrika.</t>
  </si>
  <si>
    <t>{'lat': -6.921109200000001, 'lng': 107.609597}</t>
  </si>
  <si>
    <t>Masjid Raya Bandung</t>
  </si>
  <si>
    <t>Masjid Raya Bandung Provinsi Jawa Barat, yang dulu dikenal dengan nama Masjid Agung Bandung adalah masjid yang berada di Kota Bandung, Jawa Barat, Indonesia. Status masjid ini adalah sebagai masjid provinsi bagi Jawa Barat. Masjid ini pertama dibangun tahun 1810, dan sejak didirikannya, Masjid Agung telah mengalami delapan kali perombakan pada abad ke-19, kemudian lima kali pada abad 20 sampai akhirnya direnovasi lagi pada tahun 2001 sampai peresmian Masjid Raya Bandung 4 Juni 2003 yang diresmikan oleh Gubernur Jabar saat itu, H.R. Nuriana. Masjid baru ini, yang bercorak Arab, menggantikan Masjid Agung yang lama, yang bercorak khas Sunda.\nMasjid Raya Bandung, seperti yang kita lihat sekarang, terdapat dua menara kembar di sisi kiri dan kanan masjid setinggi 81 meter yang selalu dibuka untuk umum setiap hari Sabtu dan Minggu. Atap masjid diganti dari atap joglo menjadi satu kubah besar pada atap tengah dan yang lebih kecil pada atap kiri-kanan masjid serta dinding masjid terbuat dari batu alam kualitas tinggi. Kini luas tanah keseluruhan masjid adalah 23.448 m² dengan luas bangunan 8.575 m² dan dapat menampung sekitar 13.000 jamaah.</t>
  </si>
  <si>
    <t>{'lat': -6.9216897, 'lng': 107.6061399}</t>
  </si>
  <si>
    <t>Dago Dreampark</t>
  </si>
  <si>
    <t>Dago Dreampark merupakan wisata kekinian di Kota Bandung dengan luas 13 hektar yang mengusung konsep Jawa - Sunda &amp; Bali dengan dilengkapi berbagai fasilitas &amp; wahana yang menarik.</t>
  </si>
  <si>
    <t>{'lat': -6.8486423, 'lng': 107.625939}</t>
  </si>
  <si>
    <t>Orchid Forest Cikole</t>
  </si>
  <si>
    <t>Orchid Forest Cikole Lembang sudah berdiri sejak Agustus tahun 2017. Tempat ini merupakan taman anggrek terluas di Indonesia. Berada di tengah kawasan hutan lindung dan terbentang seluas 12 hektar. Setidaknya terdapat 157 jenis bunga anggrek beraneka macam dikembangkan di sini. Orchid Forest Cikole Bandung memfokuskan diri untuk memperkenalkan dan membudidayakan berbagai tanaman anggrek. Menggunakan metode lokal maupun internasional. Spesies Anggreknya tidak hanya berasal dari Indonesia yang memang merupakan negara kedua terbanyak memiliki varian anggrek. Tanaman anggrek di Orchid Forest juga berasal dari negara lain, seperti Venezuela, Argentina, Filipina, Peru, dan Amerika serikat.</t>
  </si>
  <si>
    <t>{'lat': -6.780493, 'lng': 107.637475}</t>
  </si>
  <si>
    <t>Kawasan Punclut</t>
  </si>
  <si>
    <t>Punclut yang merupakan singkatan dari Puncak Ciumbuleuit adalah salah satu kawasan yang terletak di sebelah utara Kota Bandung. Kawasan ini terletak 7 kilometer dari pusat kota Bandung. Pada akhir pekan, kawasan Punclut dipenuhi oleh wisatawan yang datang untuk berwisata dan menikmati pemandangan Kota Bandung. Banyak warga maupun wisatawan yang menggunakan kawasan ini untuk melakukan jalan atau olahraga pagi setiap hari Minggu.</t>
  </si>
  <si>
    <t>{'lat': -6.8419756, 'lng': 107.622824}</t>
  </si>
  <si>
    <t>Alun-Alun Kota Bandung</t>
  </si>
  <si>
    <t>Alun-alun Bandung adalah pusat kota Bandung yang dicirikan oleh sebidang tanah yang luas. Di sekelilingnya ada bangunan-bangunan fungsional. Tempatnya ada di dekat Grote Postweg.</t>
  </si>
  <si>
    <t>{'lat': -6.9218571, 'lng': 107.6070141}</t>
  </si>
  <si>
    <t>Museum Sri Baduga</t>
  </si>
  <si>
    <t xml:space="preserve">Museum Sri Baduga merupakan sebuah museum yang terletak di kota Bandung, Jawa Barat, Indonesia.\nMuseum ini dikelola oleh pemerintah provinsi Jawa Barat, yang mulai didirikan pada tahun 1974 dengan memanfaatkan bangunan lama bekas Kawedanan Tegallega, yang kemudian diresmikan pada tanggal 5 Juni 1980 oleh Menteri Pendidikan dan Kebudayaan waktu itu, Daoed Joesoef.\nPenamaan museum ini diambil dari gelar salah seorang raja Pajajaran, Sri Baduga Maharaja sebagaimana tertulis pada Prasasti Batutulis. Dan kemudian ditetapkan melalui Kepmendikbud nomor 02223/0/1990 tanggal 4 April 1990.
</t>
  </si>
  <si>
    <t>{'lat': -6.9375748, 'lng': 107.603775}</t>
  </si>
  <si>
    <t>Rabbit Town</t>
  </si>
  <si>
    <t>Rabbit Town Bandung merupakan salah satu wisata unik di Bandung yang didirikan pada 11 Januari 2018. Tempat wisata yang menjadikan hewan kelinci sebagai ikon utama. Pada seluruh dekorasi dibuat dengan tampilan selucu mungkin dan juga menampilkan berbagai jenis kelinci lucu. Pengunjung yang tertarik dengan hewan ini bisa membawa pulang kelinci dengan membelinya terlebih dahulu. Tempat wisata ini dimiliki oleh CEO Chairman Kaum Group yaitu Pak Henry Husada. Pak Henry sendiri dengan sengaja menjadikan salah satu rumahnya yang memiliki luas dua hektar dengan 30 kamar, dibangun sebuah objek wisata unik. Selain adanya spesies kelinci, tempat ini juga menyuguhkan spot foto bagus. Tak hanya itu, di dalam wisata ini juga terdapat beberapa wahana untuk anak-anak sehingga bagi pengunjung yang membawa serta anaknya akan merasa betah berlama-lama.</t>
  </si>
  <si>
    <t>{'lat': -6.8669518, 'lng': 107.6100859}</t>
  </si>
  <si>
    <t>Stone Garden Citatah</t>
  </si>
  <si>
    <t xml:space="preserve">Stone  Garden, adalah sebutan nama untuk hamparan tanah yang diisi oleh  formasi batuan tak beraturan yang indah dan membentuk taman alam.Bandung  memiliki banyak wisata alam yang sangat luar biasa. Ternyata Bandung  memiliki wisata alam gua, yaitu Gua Pawon dan wisata Stone Garden. Gua  Pawon merupakan gua yang terbentuk pada zaman purba.Gua ini digunakan  oleh manusia purba sebagai tempat berlindung. Dan uniknya di atas Gua  Pawon terdapat hamparan bebatuan yang sangat indah dengan pemandangan  luar biasa dikenal dengan nama Stone Garden -Taman Batu. Tidak kalah  indah dengan wisata alam Tangkuban Perahu, Kawah Putih Ciwidey, dan Situ  Patengan merupakan kawasan wisata alam yang sering dikunjungi oleh  banyak wisatawan lokal maupun mancanegara. 
</t>
  </si>
  <si>
    <t>{'lat': -6.8281528, 'lng': 107.4350179}</t>
  </si>
  <si>
    <t>The Great Asia Africa</t>
  </si>
  <si>
    <t>Kota Bandung tampaknya tidak pernah kehabisan ide kreatif dalam mengembangkan destinasi wisata. Berbagai tujuan berlibur tersedia di sini, mulai dari wisata kuliner, sejarah, hingga edukasi. Kemasannya pun dengan cara yang unik dan menarik, seperti yang ada di The Great Asia Africa. Kawasan wisata teranyar di Lembang ini menawarkan pengalaman menjelajahi beberapa negara di dua benua, selaras dengan namanya.</t>
  </si>
  <si>
    <t>{'lat': -6.833122999999999, 'lng': 107.6041595}</t>
  </si>
  <si>
    <t>Bukit Moko</t>
  </si>
  <si>
    <t>Bandung sebagai destinasi wisata tak pernah ada habisnya. Didukung dengan lanskap yang cantik, kawasan Bandung mampu menarik perhatian wisatawan. Baik dari segi alam, budaya, kuliner, dan seni kreatif secara bersamaan. Dari sekian banyak tempat wisata yang tersedia, Bukit Moko Bandung menjadi salah satu yang cukup populer namanya dalam beberapa tahun belakangan. Berada di ketinggian sekitar 1500 mdpl, Bukit Moko memiliki cuaca yang sejuk. Bagi pengunjung yang tidak biasa di cuaca ini, ada baiknya membawa jaket tebal apalagi jika datang saat musim penghujan.</t>
  </si>
  <si>
    <t>{'lat': -6.8422202, 'lng': 107.6767988}</t>
  </si>
  <si>
    <t>Gunung Papandayan</t>
  </si>
  <si>
    <t>Gunung Papandayan adalah gunung api strato yang terletak di Kabupaten Garut, Jawa Barat tepatnya di Kecamatan Cisurupan. Gunung dengan ketinggian 2665 meter di atas permukaan laut itu terletak sekitar 70 km sebelah tenggara Kota Bandung.\nPada Gunung Papandayan, terdapat beberapa kawah yang terkenal. Di antaranya Kawah Mas, Kawah Baru, Kawah Nangklak, dan Kawah Manuk. Kawah-kawah tersebut mengeluarkan uap dari sisi dalamnya.\nTopografi di dalam kawasan curam, berbukit dan bergunung serta terdapat tebing yang terjal. Menurut kalisifikasi Schmidt dan Ferguson termasuk type iklim B, dengan curah hujan rata-rata 3.000 mm/thn, kelembaban udara 70 – 80 % dan temperatur 10 °C.</t>
  </si>
  <si>
    <t>{'lat': -7.319325300000001, 'lng': 107.7310494}</t>
  </si>
  <si>
    <t>Amazing Art World</t>
  </si>
  <si>
    <t>Amazing Art World Bandung, sebuah objek wisata yang terletak di Bandung, yang menegaskan bahwa destinasi wisata itu bukan hanya sekedar tentang pantai, air terjun, atau wisata alam lainnya saja. Hasil karya lukisanpun ternyata mampu menjadi sebuah destinasi wisata yang sangat menyenangkan. Apalagi lukisan 3D, selain keren, tetapi mampu membuat manipulasi bagi mata para pengunjung. Luasnya Amazing Art World Bandung menjadikannya sebagai salah-satu museum lukisan 3D terbesar, bukan hanya di tingkat nasional, tetapi di dunia.</t>
  </si>
  <si>
    <t>{'lat': -6.8516591, 'lng': 107.5955534}</t>
  </si>
  <si>
    <t>Gua Belanda</t>
  </si>
  <si>
    <t>Gua Belanda Bandung merupakan sebuah gua yang berada dalam kawasan yang sekarang ditetapkan sebagai Taman Hutan Raya Ir. H. Djuanda adalah bentangan pegunungan dari Barat sampai ke Timur yang merupakan “tangki air raksasa alamiah” untuk cadangan di musim kemarau. Di daerah Aliran Sungai Cikapundung yang ada di Taman Hutan Raya Ir. H. Djuanda pada masa pendudukan Belanda dibangun Pembangkit Listrik Tenaga Air (PLTA) Bengkok yang merupakan PLTA pertama di Indonesia pada tahun 1918, dimana terowongan tersebut melewati Perbukitan batu pasir tufaan.</t>
  </si>
  <si>
    <t>{'lat': -6.8544594, 'lng': 107.6377907}</t>
  </si>
  <si>
    <t>Taman Balai Kota Bandung</t>
  </si>
  <si>
    <t xml:space="preserve">Taman Balai Kota Bandung merupakan sebuah taman kota yang terletak di Kota Bandung. Taman ini berada di sebelah selatan Balai Kota Bandung. Saat ini, Taman Balai Kota Bandung terdiri dari dua taman yang menyatu, antara lain Taman Dewi Sartika dan Taman Badak. Kedua taman tersebut diresmikan oleh Walikota Bandung saat itu, Ridwan Kamil, pada tanggal 19 Desember 2017.
</t>
  </si>
  <si>
    <t>{'lat': -6.912966000000001, 'lng': 107.6096031}</t>
  </si>
  <si>
    <t>Panghegar Waterboom Bandung</t>
  </si>
  <si>
    <t>Panghegar Waterboom Bandung merupakan salah satu destinasi wisata yang wajib dikunjungi bagi wisatawan yang hendak mengajak buah hatinya bermain air. Terletak di Buah Batu, lokasi ini kerap kali diincar saat akhir pekan. Tak hanya menyuguhkan kolam renang, tempat ini juga menyediakan berbagai wahana menarik yang sayang jika dilewatkan. Terdiri dari seluncuran air yang dibagi untuk 2 kategori yaitu seluncuran orang dewasa dan seluncuran anak-anak. Destinasi rekreasi keluarga menawarkan beragam kegiatan seru, baik untuk anak-anak maupun dewasa. Terdapat beberapa jenis kolam yang bisa dicoba: kolam ombak, kolam mini, kolam arus, dan lain sebagainya. Ada pun yang paling baru di Panghegar Waterboom Bandung yaitu kolam air panas yang disajikan bagi wisatawan yang hendak berendam.</t>
  </si>
  <si>
    <t>{'lat': -6.961403199999999, 'lng': 107.6227321}</t>
  </si>
  <si>
    <t>Gunung Manglayang</t>
  </si>
  <si>
    <t>Gunung Manglayang adalah sebuah gunung bertipe Stratovolcano yang terletak di antara Kota Bandung dan Kabupaten Sumedang, Jawa Barat, Indonesia dan memiliki ketinggian sekitar 1818 mdpl. Pemandangannya cukup indah, tetapi karena relatif tidak terlalu tinggi, sehingga kurang dikenal oleh pendaki-pendaki gunung pada umumnya.Dalam deretan gunung-gunung Burangrang – Tangkuban Perahu – Bukit Tunggul – Gunung Manglayang, Gunung Manglayang menjadi gunung yang terindah dari rangkaian keempat gunung tersebut. Mungkin itulah sebabnya di kalangan para penggiat alam bebas, gunung ini sempat terlupakan terkecuali para penggiat alam bebas dari Bandung dan sekitarnya. Walaupun begitu, Gunung Manglayang tetap menawarkan pesona alamnya tersendiri.</t>
  </si>
  <si>
    <t>{'lat': -6.876111099999999, 'lng': 107.7436111}</t>
  </si>
  <si>
    <t>Lembang Park &amp; Zoo</t>
  </si>
  <si>
    <t>Di Lembang Park &amp; Zoo ada 370 ekor satwa, lengkap dari berbagai jenis herbivora, karnivora, dan omnivora. Luas total tempat ini mencapai 20 hektar, namun baru 10 hektar yang dikembangkan. Sisanya akan dikembangkan sebagai wisata berkonsep safari. Di area safari tersebut, pengunjung bisa berkeliling menggunakan kendaraan untuk melihat satwa yang bebas dilepas di area tersebut.</t>
  </si>
  <si>
    <t>{'lat': -6.8059154, 'lng': 107.5919726}</t>
  </si>
  <si>
    <t>Taman Lalu Lintas Ade Irma Suryani Nasution</t>
  </si>
  <si>
    <t>Taman Lalu-lintas Ade Irma Suryani adalah sebuah taman rekreasi yang ada di jantung kota Bandung, Jawa Barat, Indonesia. Selain sebagai taman dan tempat bermain, di sini juga dijadikan pusat latihan membaca rambu-rambu lalu lintas. Taman Lalu Lintas memiliki pengertian bahwa sebuah taman lalu lintas atau traffic taman anak-anak adalah sebuah taman di mana anak-anak dapat mempelajari aturan jalan . Sebuah taman lalu lintas juga disebut sebuah desa taman transportasi atau lalu lintas taman atau keselamatan tergantung pada lokal .Taman lalu lintas sering dibuat sebagai daya tarik dalam taman yang lebih besar . Dalam kasus lain, mereka sekali pakai taman dan sering dalam skala kecil . Mereka dapat ditemukan di daerah perkotaan maupun pedesaan .</t>
  </si>
  <si>
    <t>{'lat': -6.911211, 'lng': 107.6133389}</t>
  </si>
  <si>
    <t>Lawangwangi Creative Space</t>
  </si>
  <si>
    <t>Lawangwangi merupakan sebuah galeri seni dengan konsep retro modern. Mememadukan keindahan alam dan cita rasa kuliner. Hmm, bikin penasaran ya Teman Traveler. Lawangwangi Creative Space sebelumnya hanya sekedar menyediakan Lab Math dan Art Space bagi para pecinta dan penikmat seni. Pengunjung bisa menemukan sebuah ruangan khusus untuk memamerkan kreasi dari beragam seniman. Karya yang ditampilkan berbeda-beda tiap bulan. Namun galeri seni yang mulanya diprediksi dapat menarik banyak pengunjung, rupanya justru kurang diminati. Akhirnya dengan memadukan keindahan alam sekitar bangunan, dibangunlah sebuah kafe modern dengan nuansa seni.</t>
  </si>
  <si>
    <t>{'lat': -6.847898000000001, 'lng': 107.6276146}</t>
  </si>
  <si>
    <t>Curug Dago</t>
  </si>
  <si>
    <t>Curug Dago Kota Bandung Jawa Barat berada di ketinggian 800 meter di atas permukaan air laut dengan tinggi air terjun mencapai 12 meter. Air terjun ini terbentuk sebagai akibat aliran Sungai Cikapundung yang mengalir sepanjang area Maribaya hingga Kota Bandung. Curug Dago pakar Bandung punya nilai historis yang tinggi dengan jejak sejarah hingga Kerajaan Thailand. Alasannya adalah dengan adanya prasasti Kerajaan Thailand dari abad ke-18 yang bertuliskan nama Raja Chulalongkom III atau Rama V dari Kerajaan Thailand.</t>
  </si>
  <si>
    <t>{'lat': -6.865522499999999, 'lng': 107.6181878}</t>
  </si>
  <si>
    <t>Kampung Korea Bandung</t>
  </si>
  <si>
    <t xml:space="preserve">Kampung Korea adalah sebuah kawasan di kota Bandung yang dibangun semirip mungkin dengan karakter kota Seoul di Korea Selatan. Tujuan pengembangan kawasan ini adalah sebagai bagian dari kegiatan sister city antara Bandung dengan Seol. Pembangunan dimulai pada tahun 2017 atas inisiatif Ridwan Kamil selaku wali kota Bandung saat itu.\nKeberadaan kampung korea ditujukan untuk meningkatkan pariwisata kota Bandung.
</t>
  </si>
  <si>
    <t>{'lat': -6.9154546, 'lng': 107.640769}</t>
  </si>
  <si>
    <t>Kampung Batu Malakasari</t>
  </si>
  <si>
    <t xml:space="preserve">Kampung Batu Malakasari adalah sebuah tempat wisata yang didirikan di bekas penambangan batu. Di lokasi tersebut masih terlihat jelas pahatan-pahatan bekas penambangan Batu. Kini, di bekas penambangan batu itu terisi oleh air yang membentuk menjadi sebuah danau. Tempat wisata ini berkonsep wahana wisata pendidikan, petualangan dan kuliner. Biasanya sering dijadikan destinasi field trip sekolah-sekolah di sekitar Bandung. Berbagai wahana dan fasilitasnya sangat lengkap untuk menunjang program field trip sekolah-sekolah.
</t>
  </si>
  <si>
    <t>{'lat': -7.0093633, 'lng': 107.6069444}</t>
  </si>
  <si>
    <t>Jendela Alam</t>
  </si>
  <si>
    <t>Tidak hanya menikmati alam sekitar yang masih sejuk dan hijau, anak anda juga bisa mengikuti berbagai kegiatan edukasi yang bermanfaat. Berbagai kegiatan edukasi disediakan dan dirancang sedemikian rupa sehingga menarik buat keluarga. Kegiatan edukasi yang tersedia cocok untuk anak mulai dari usia TK sampai dengan SMA.</t>
  </si>
  <si>
    <t>{'lat': -6.819604, 'lng': 107.5964519}</t>
  </si>
  <si>
    <t>Curug Tilu Leuwi Opat</t>
  </si>
  <si>
    <t>Curug Tilu Leuwi Opat merupakan salah satu wisata curug di Lembang. Tempatnya sendiri cukup luas. Disini ada area outbond, camping, dan tentunya wisata air terjun dan sungai. Area depan berupa lembah dengan sungai jernih. Biasanya outbond, camping, dan permainan dilakukan di area ini. Lokasi curug tilu leuwi opat sebenarnya bertetangga langsung dengan Dusun Bambu lho. Pernah ke dusun bambu? jika naik ke skywalk lutung kasarung, atau mengunjungi area camping, anda bisa melihat lembah yang berbatasan langsung dengan dusun bambu. Nah, lembah itu termasuk ke dalam area wisata curug tilu leuwi opat. Di lembah ini mengalir sungai dengan air jernih yang bersumber dari Situ Lembang.</t>
  </si>
  <si>
    <t>{'lat': -6.790569199999999, 'lng': 107.5826388}</t>
  </si>
  <si>
    <t>Kiara Artha Park</t>
  </si>
  <si>
    <t xml:space="preserve">Kiara Artha Park merupakan sebuah kawasan terpadu yang memadukan konsep hunian, bisnis, komersial, dan wisata yang ikonik di Kota Bandung dengan luas + 2.9 hektar. Kiara Artha Park sendiri merupakan salah satu dari sekian banyak  ruang publik bertemakan Taman Kota yang ada di Bandung yang terletak di tengah Kota Bandung . Taman ini melengkapi taman-taman tematik lainnya yang sudah ada di Kota Bandung. Taman  kota ini  kini menjadi salah satu tujuan wisata warga Bandung khususnya dan  bagi masyarakat umum. Meskipun Taman ini baru dibuka yaitu pada tanggal 17 Agustus 2019, warga Bandung  dan masyarakat sangat antusias datang dan menikmati berbagai aktivitas dan wahana yang ada.
</t>
  </si>
  <si>
    <t>{'lat': -6.9159459, 'lng': 107.6421462}</t>
  </si>
  <si>
    <t>NuArt Sculpture Park</t>
  </si>
  <si>
    <t>NuArt Sculpture Park ini merupakan sebuah gallery miliki seorang seniman ternama di Bandung yang bernama Nyoman Nuarta. Terlahir di Tabanan Bali, Nyoman Nuarta akhirnya menetap di Bandung. Dan ada fakta menarik dari seniman berkelas internasional tersebut, dimana ia dahulu rupanya lulusan dari Fakultas Seni Rupa dari perguruan tinggi ternama di Bandung yakni ITB pada tahun 1979 silam. Kehlian Nyoman Nuarta sebagai seorang maestro pemahat dan juga pematung hebat memang sudah dikenal secara internasional, maka dari itu ia pun membuat NuArt Sculpture Park ini untuk memamerkan semua karya seni yang ia miliki selama ini.</t>
  </si>
  <si>
    <t>{'lat': -6.8778589, 'lng': 107.5720263}</t>
  </si>
  <si>
    <t>Upside Down World Bandung</t>
  </si>
  <si>
    <t xml:space="preserve">Upside Down World Bandung pertama kali dibuka pada 10 Oktober 2016 dengan konsep yang sangat unik. Semua furnitur yang berada di Upside Down World ini dipasang terbalik seolah pengunjung berada di langit-langit ruangan. Dengan konsep rumah terbaik tempat wisata ini memiliki keunikan tersendiri. Pengunjung yang datang ke sini kebanyakan para kawula muda yang ingin berfoto dengan latar yang tak biasa. Di dalam bangunan ini terdapat sepuluh ruangan dengan tema yang berbeda-beda layaknya di dalam sebuah rumah. Ada ruang tamu, kamar tidur anak, ruang keluarga, ruang santai, dapur, kamar mandi, dan lain sebagainya. Pengunjung bisa mengambil gambar pada semua ruangan dan hasil foto dapat dicetak di layanan cetak foto. Jika pengunjung merasa tak biasa dan bingung harus bergaya foto seperti apa, maka akan ada petugas yang dapat mengarahkan gayanya. Atau dengan melihat hasil foto para pengunjung sebelumnya yang dipasang di ruangan itu.
</t>
  </si>
  <si>
    <t>{'lat': -6.896300000000001, 'lng': 107.617}</t>
  </si>
  <si>
    <t>Pesona Nirwana Waterpark &amp; Cottages</t>
  </si>
  <si>
    <t>Pesona Nirwana Waterpark merupakan sebuah objek wisata wahana air seluas 4000 meter persegi yang berlokasi di Kampung Legok Jeungjing, Desa Panyirapan, Kecamatan Soreang, Kabupaten Bandung.\nBerjarak sekitar 1 Km dari Kantor Pemda Kabupaten Bandung. Lokasi wisata ini dibuka untuk umum setiap hari dan bisa menjadi alternatif pilihan lokasi wisata Kabupaten Bandung selain kawasan wisata Ciwidey\n\nLokasi Pesona Nirwana Waterpark merupakan bekas kawasan tambang galian C dengan tebing curam di hampir sebagian lokasinya dan merupakan bagian dari rencana resort ramah lingkungan dengan total target pembangunan seluas 4 hektar.\nPemilik dari Pesona Nirwana Waterpark adalah I Nyoman Nuarta, seorang pematung asal Bali yang juga terkenal sebagai tokoh pelestarian lingkungan</t>
  </si>
  <si>
    <t>{'lat': -7.040915399999998, 'lng': 107.5269156}</t>
  </si>
  <si>
    <t>Berlibur santai di akhir pekan cocok dilakukan dengan menghabiskan waktu di taman. Salah satu taman yang dapat menjadi tujuan wisata adalah Taman Lansia Bandung. Lansia merupakan singkatan dari Lanjut Usia. Meski begitu, taman ini tidak dikhususkan untuk para lansia, namun untuk semua kalangan. Nama lansia kemungkinan diberikan karena usia taman ini yang sudah sangat tua. Bahkan, usianya sudah ratusan tahun, karena sudah ada sejak tahun 1885.</t>
  </si>
  <si>
    <t>{'lat': -6.9021326, 'lng': 107.6209387}</t>
  </si>
  <si>
    <t>Kampoeng Tulip</t>
  </si>
  <si>
    <t>Kampoeng Tulip ialah salah satu objek wisata di Bandung yang lokasinya dipenuhi dengan bunga-bunga tulip yang sangat indah. Tulip sendiri adalah bunga cantik yang identik dengan Negara Kincir Angin yaitu Belanda. Jika Anda ingin menyaksikan bunga tulip, Anda tidak perlu jauh-jauh ke Belanda. Melainkan, cukup pergi ke kota Bandung saja, Anda sudah bisa menemuinya. Lokasi wisata ini memiliki banyak pengunjung, mulai dari wisatawan dalam kota maupun luar kota.</t>
  </si>
  <si>
    <t>{'lat': -6.963162, 'lng': 107.66195}</t>
  </si>
  <si>
    <t>Selasar Sunaryo Art Space</t>
  </si>
  <si>
    <t>Selasar Sunaryo Art Space (SSAS) adalah sebuah ruang dan organisasi nirlaba yang bertujuan mendukung pengembangan praktik dan pengkajian seni dan kebudayaan visual di Indonesia. Dididirikan pada tahun 1998 oleh Sunaryo, SSAS aktif menyelenggarakan kegiatan-kegiatan yang berorientasi pada edukasi publik. Dengan arahan &amp; dukungan dari Yayasan Selasar Sunaryo, fokus utama SSAS adalah pada penyelenggaraan program-program seni rupa kontemporer, melalui pameran, diskusi, residensi &amp; lokakarya. Sebagai pusat kebudayaan, SSAS menyelenggarakan kegiatan-kegiatan yang berhubungan dengan disiplin-disiplin seni lain seperti desain, kriya, seni pertunjukan, sastra, arsitektur, dan lain sebagainya. Selain memajang koleksi permanen, SSAS juga menyelenggarakan pameran-pameran tunggal atau bersama yang menampilkan karya-karya para seniman muda dan senior, dari Indonesia maupun mancanegara.</t>
  </si>
  <si>
    <t>{'lat': -6.8585406, 'lng': 107.6365486}</t>
  </si>
  <si>
    <t>Teras Cikapundung BBWS</t>
  </si>
  <si>
    <t>Teras Cikapundung Bandung sebelumnya merupakan daerah yang kumuh dan tak terurus yang berhasil diubah menjadi tempat wisata. Cikapundung adalah sungai yang membelah Kota Bandung yang dimulai dari daerah Bandung Utara dan bermuara di Sungai Citarum, Bandung Selatan. Sebelumnya, taman ini merupakan tempat berkumpulnya orang-orang kreatif seperti para seniman yang ada di Bandung. Terdapat beberapa sanggar seni dan ramainya warung makan di tempat ini, sampai pada akhirnya terlantar dan dibiarkan kotor. Kini Teras Cikapundung Bandung telah berubah menjadi tempat wisata terbuka untuk umum dengan konsep ekologi dan urban. Berbagai fasilitas menarik tersedia di Teras Cikapundung dan bisa digunakan pada saat rekreasi ke obyek wisata yang satu ini. Dilengkapi dengan kolam ikan dan lampu-lampu, membuat taman ini sangat cantik dikunjungi pada malam hari. Terlebih suasananya yang ramai membuat para pengunjung lupa bahwa dulunya tempat ini pernah dijuluki sebagai “tempat jin buang anak”.</t>
  </si>
  <si>
    <t>{'lat': -6.8844199, 'lng': 107.6068344}</t>
  </si>
  <si>
    <t>Museum Barli</t>
  </si>
  <si>
    <t>Museum Barli adalah sebuah museum yang terletak di Kota Bandung. Museum ini didedikasikan untuk mengenang dan memamerkan hasil karya pelukis Barli Sasmitawinata. Museum ini didirikan pada tahun 1990 dan diresmikan pada Oktober 1992 oleh Soesilo Soedarman, Menteri Pariwisata, Pos, dan Telekomunikasi pada waktu itu. Awalnya museum ini tidak dibuka untuk umum. Namun, saat ini museum dapat dikunjungi oleh siapa saja. Museum ini juga menjadi tempat dari berbagai kegiatan seni seperti pameran karya seni rupa, penjualan karya, diskusi dan sarasehan, pelatihan studio keramik dan lukis.</t>
  </si>
  <si>
    <t>{'lat': -6.878238699999999, 'lng': 107.5875349}</t>
  </si>
  <si>
    <t>Wisata Batu Kuda</t>
  </si>
  <si>
    <t>Kawasan Batu Kuda berupa perbukitan dengan hutan pinus yang indah. Berada di ketinggian antara 1150 sampai dengan 1300 mdpl, segarnya pegunungan Bandung bisa anda dapatkan disini. Batu Kuda berada di bawah pengawasan Perhutani langsung. Dulu tempat ini terkesan apa adanya. Tapi sekarang sudah jauh lebih tertata. Biasanya, tempat ini jadi tujuan wisata keluarga warga sekitarnya saja. Tapi sekarang, sudah lebih dikenal dan lebih banyak dikunjungi wisatawan juga.</t>
  </si>
  <si>
    <t>{'lat': -6.893610600000001, 'lng': 107.7447399}</t>
  </si>
  <si>
    <t>Monumen Bandung Lautan Api</t>
  </si>
  <si>
    <t xml:space="preserve">Monumen Bandung Lautan Api, merupakan monumen yang menjadi markah tanah Bandung. Monumen ini setinggi 45 meter, memiliki sisi sebanyak 9 bidang.\nMonumen ini dibangun untuk memperingati peristiwa Bandung Lautan Api, dimana terjadi pembumihangusan Bandung Selatan yang dipimpin oleh Muhammad Toha.\nMonumen ini berada di tengah-tengah kota yaitu terletak di kawasan Lapangan Tegallega. Monumen ini menjadi salah satu monumen terkenal di Bandung.\nMonumen ini menjadi pusat perhatian setiap tanggal 23 Maret mengenang peristiwa Bandung Lautan Api.
</t>
  </si>
  <si>
    <t>{'lat': -6.9338497, 'lng': 107.604925}</t>
  </si>
  <si>
    <t>Museum Gedung Sate</t>
  </si>
  <si>
    <t xml:space="preserve">Salah satu museum yang menjadi ikon kota ini adalah Museum Gedung Sate. Museum yang berada di gedung yang sama dengan kantor dinas Gubernur Jawa Barat ini dibangun pada masa kolonial oleh arsitek Belanda, Johan Gerber. Diresmikan pada 8 Desember 2017 dan mengusung 'Smart Museum', Museum Gedung Sate ini menjadi museum interaktif pertama di Indonesia. Konsep tersebut memberikan panduan informasi mengenai bangunan bersejarah menggunakan teknologi digital.
</t>
  </si>
  <si>
    <t>{'lat': -6.902637899999999, 'lng': 107.619169}</t>
  </si>
  <si>
    <t>Monumen Perjuangan Rakyat Jawa Barat</t>
  </si>
  <si>
    <t>Monumen Perjuangan Rakyat Jawa Barat (Monju) adalah Museum Sejarah Perjuangan Rakyat Jawa Barat, di Tatar Pasundan atau Parahyangan. Monumen diresmikan oleh Gubernur Jawa Barat, Raden Nana Nuriana pada tanggal 23 Agustus 1995.</t>
  </si>
  <si>
    <t>{'lat': -6.8934327, 'lng': 107.6185513}</t>
  </si>
  <si>
    <t>Museum Pos Indonesia</t>
  </si>
  <si>
    <t xml:space="preserve">Museum Pos Indonesia telah ada sejak masa Hindia Belanda dengan nama Pos Telegraph dan Telepon (PTT). Pada tahun 1931 telah dibuka Museum PTT yang terletak di bagian sayap kanan bawah Gedung Kantor Pusat PTT, Jalan Cilaki, nomor 55, Bandung, (sekarang nomor 73). Atau tepatnya di sayap timur gedung pusat pemerintahan Provinsi Jawa Barat yang lebih terkenal dengan Gedung Sate. Pada 27 September 1983, Menteri Pariwisata, Pos dan Telekomunikasi meresmikan PTT menjadi Museum Pos Indonesia. Koleksi museum ini terdiri atas prangko-prangko dari Indonesia dan berbagai negara yang sangat bersejarah, dengan jumlah mencapai 131.000.000 keping perangko dan 200 koleksi peralatannya, yakni berupa timbangan paket, alat cetak perangko, surat-surat berharga, armada pengantar surat, dan lain sebagainya. Selain menyimpan peninggalan pos tersebut dalam ruang pamer, Museum ini juga memiliki ruang social center yang dapat diperuntukan bagi aneka kegiatan.
</t>
  </si>
  <si>
    <t>{'lat': -6.902012999999998, 'lng': 107.6197787}</t>
  </si>
  <si>
    <t>Ciwangun Indah Camp Official</t>
  </si>
  <si>
    <t>Ciwangun Indah Camp atau CIC adalah sebuah tempat rekreasi berkonsep petualangan alam dan outbound. Tempat ini terletak di kecamatan Parongpong Kabupaten Bandung Barat, bersebelahan dengan dusun bambu. Dengan latar alam hutan di bawah kaki gunung Burangrang, CIC layak dijadikan destinasi wisata. Dengan tempat yang masih terjaga keindahan alamnya, beberapa aktivitas bisa dilakukan di CIC. Aktivitas yang cocok untuk dilakukan di CIC adalah kegiatan yang berbasis petualangan alam. Berikut beberapa kegiatan yang cocok untuk dilakukan di Ciwangun Indah Camp.</t>
  </si>
  <si>
    <t>{'lat': -6.786939, 'lng': 107.5837331}</t>
  </si>
  <si>
    <t>Wot Batu</t>
  </si>
  <si>
    <t>Wot Batu adalah sebuah konfigurasi energi yang hadir dari perjalanan spiritualitas dan transendental Sunaryo. Dalam ruang terbuka seluas ±2000 m2 dengan rangkaian 135 +1, batu-batu ditanam dan ditata secara konseptual dan harmoni. Sunaryo menarik garis dari pegunungan di sekitar Bandung, dan dari garis itu dibawanya batu-batu vulkanik sebagai medium mahakarya yang tak lekang oleh waktu. Setiap pahatan, tatahan, dan pecahan bukanlah hasil dari usaha untuk mengubah batu, namun untuk menorehkan catatan untuk sebuah peradaban – warisan dari abad ke-21 untuk masa yang akan datang.\nSunaryo menciptakan Wot Batu sebagai ‘jembatan spiritual’: penyeimbang antara jiwa manusia dengan wujud ragawi kehidupan, sebagai penghubung di antara empat elemen alam. Dalam Wot Batu, tanah, api, air dan angin berbicara satu sama lain dalam harmoni. Wot Batu menyampaikan gagasan tentang ruang dan waktu – sebuah penyadaran tentang eksistensi manusia dalam dimensi alam yang tak berbatas.</t>
  </si>
  <si>
    <t>{'lat': -6.8597013, 'lng': 107.6360983}</t>
  </si>
  <si>
    <t>Curug Batu Templek</t>
  </si>
  <si>
    <t>Curug Batu Templek Bandung adalah sebuah wisata alam air terjun yang terletak di Kota Bandung Timur. Dari sekian banyak wisata alam air terjun di Bandung, Curug Batu Templek tak kalah menarik karena pemandangan di sekitarnya dipenuhi dengan terbing yang berbatu cadas. Sejarah Curug Batu Templek sangat sederhana, hanya karena di tempat ini dahulunya terdapat penambangan batu yang terdapat sebuah aliran air terjun dan diketahui aliran tersebut berasal dari sungai yang ada di atas tebing sehingga dinamakan Curug Batu Templek.</t>
  </si>
  <si>
    <t>{'lat': -6.874363300000001, 'lng': 107.6844023}</t>
  </si>
  <si>
    <t>Gereja Katedral Santo Petrus Bandung</t>
  </si>
  <si>
    <t>Gereja Katedral Bandung, atau Katedral Santo Petrus, adalah sebuah gereja yang terletak di Jalan Merdeka, Babakanciamis, Sumurbandung, Bandung, Indonesia. Bangunan ini dirancang oleh Charles Prosper Wolff Schoemaker dan bergaya arsitektur neo-Gothic akhir. Dilihat dari atas, bentuknya menyerupai salib yang simetris. Katedral Santo Petrus mempunyai luas tanah sebesar 2.385 m² dan luas bangunan sebesar 785 m². Gerejanya sendiri diberi nama St. Franciscus Regis pada tanggal 16 Juni 1895. Setelah Bandung memperoleh status gemeente (setingkat kotamadya) pada 1906, diputuskan untuk membangun bangunan gereja baru. Pembangunan bangunan yang baru dilaksanakan sepanjang tahun 1921. Katedral ini lalu diberkati pada 19 Februari 1922 oleh Mgr. Edmundus Luypen, S.J.</t>
  </si>
  <si>
    <t>{'lat': -6.9148394, 'lng': 107.6105511}</t>
  </si>
  <si>
    <t>Museum Mandala Wangsit Siliwangi</t>
  </si>
  <si>
    <t>Museum Wangsit Mandala Siliwangi adalah museum militer yang berada di Kota Bandung, Jawa Barat. Siliwangi merupakan nama komando daerah militer TNI-AD di Jawa Barat dan Banten yang namanya diambil dari raja dari Kerajaan Sunda yang beribu kota di Pakuan Pajajaran yang kekuasaanya konon tak terbatas, juga arif dan bijaksana serta wibawa dalam menjalankan roda pemerintahan. Sedangkan arti Mandala Wangsit merupakan sebuah tempat untuk menyimpan amanat, petuah atau nasihat dari pejuang masa lalu kepada generasi penerus melalu benda-benda yang ditinggalkannya. Museum ini diresmikan oleh panglima divisi Siliwangi Kolonel Ibrahim Adjie pada tanggal 23 Mei 1966. Museum ini berlokasi di Jalan Lembong, kecamatan Sumurbandung. Jalan ini diambil dari nama Letkol Lembong, salah satu prajurit Siliwangi yang menjadi korban dalam Peristiwa Kudeta Angkatan Perang Ratu Adil. Sebelumnya jalan itu bernama Oude Hospitaalweg.</t>
  </si>
  <si>
    <t>{'lat': -6.9173405, 'lng': 107.6112627}</t>
  </si>
  <si>
    <t>Caringin Tilu</t>
  </si>
  <si>
    <t>Bandung tidak pernah kehilangan pesonanya, wisata alamnya selalu membius wisatawan untuk berkunjung. Caringin Tilu salah satunya, wisata dengan pemandangan alam yang indah. Pemandangan Kota Bandung yang terhampar 180 derajat. Tempat favorit wisatawan di kawasan wisata ini adalah Bukit Moko. Dimana di sana tersedia banyak kafe dan tempat makan yang siap menemani libur santai wisatawan. Siang hari, pemandangan alam indah disuguhkan, dan malam hari saatnya digantikan pemandangan lampu kota.</t>
  </si>
  <si>
    <t>{'lat': -6.858046399999999, 'lng': 107.6647084}</t>
  </si>
  <si>
    <t>Panama Park 825</t>
  </si>
  <si>
    <t>Panama Park Bandung menjadi salah satu tempat bermain di Bandung, Jawa Barat. Wahana rekreasi yang disebut-sebut terbesar di Bandung ini dibuka sejak Mei 2019 lalu. Ada beberapa permainan yang ditawarkan di arena ini, misalnya playground hingga snow park yang berisi salju. Pengguna pun bisa merasakan sensasi salju sebenarnya.</t>
  </si>
  <si>
    <t>{'lat': -6.9119768, 'lng': 107.569674}</t>
  </si>
  <si>
    <t>Sudut Pandang Bandung</t>
  </si>
  <si>
    <t>Sudut Pandang Cafe Bandung merupakan sebuah destinasi wisata baru di kawasan Pluncut. Sudut Pandang Cafe Bandung ini sendiri tepatnya berada di kawasan Sarae Hills di Jalan Pagermaneuh, RT 05/RW 07, Pagerwangi, Lembang, Kabupaten Bandung Barat, Jawa Barat. Sebagai informasi, Sarae Hills merupakan kawasan wisata di Punclut yang memadukan wisata alam, wisata kuliner, wisata selfie dan kegiatan outbound. Di kawasan ini, kamu bisa berlibur bersama teman atau keluarga sambil menikmati pemandangan alam serta Bandung city view. Sebelumnya Sarae Hills telah bekerja sama dengan beberapa tempat wisata yakni Tafso Barn, Lereng Anteng, De BlankON, Dago Bakery, Cakrawala Sparkling Nature, dan D’Dieuland. Nah, mulai tanggal 5 September kemarin, Sarae Hills dihiasi dengan sebuah cafe yang tak lain adalah Sudut Pandang Cafe Bandung.</t>
  </si>
  <si>
    <t>{'lat': -6.842363799999999, 'lng': 107.6232403}</t>
  </si>
  <si>
    <t>Bumi Perkemahan Batu Kuda</t>
  </si>
  <si>
    <t>Bumi Perkemahan Batu Kuda ini terletak di Desa Cibiru Wetan, Kecamatan Cileunyi, Kabupaten Bandung, tepatnya berada di kaki gunung Manglayang. Area Batu Kuda sendiri cukup terkenal di kalangan masyarakat sekitar. Selain karena merupakan titik pertama bagi para pendaki yang hendak melanjutkan perjalanan ke puncak gunung Manglayang, konon pada zaman dahulu, seorang prabu dari sebuah kerajaan di Jawa Barat yang bernama Prabu Layang Kusuma sedang menunggangi kuda nya yang bisa terbang di sekitar gunung Manglayang. Dan secara tiba – tiba kuda yang ditunggangi sang Prabu terjerembab ke dalam kubangan. Sekuat apapun usaha kuda tersebut untuk keluar dari kubangan tersebut tidak membuahkan hasil. Hingga lambat laun kuda milik sang Prabu yang terjerembab tersebut berubah menjadi batu. Maka batu tersebut disebut lah dengan istilah Batu Kuda. Selain itu, sang Prabu sendiri memilih untuk bertapa di dekat Batu Kuda, dan kini tempat sang Prabu bertapa dikenal dengan nama Batu Kursi. Area perkemahan Batu Kuda yang terbilang cukup luas, membuat anda tidak perlu khawatir kehabisan titik berkemah. Tak hanya itu, anda bisa melihat pohon – pohon pinus yang menjulang sejauh mata memandang. Selain digunakan untuk tempat berkemah para pendaki, anda pun bisa mengajak keluarga anda saat liburan. Karena area ini terbuka untuk anda sekeluarga yang sekedar ingin berjalan – jalan menikmati hutan pinus, ataupun menghabiskan malam dengan tidur di hotel bertabur bintang.</t>
  </si>
  <si>
    <t>{'lat': -6.893217299999999, 'lng': 107.7448856}</t>
  </si>
  <si>
    <t>Bukit Bintang</t>
  </si>
  <si>
    <t>Bukit Bintang (Melayu [bu.ket̚ bi.ntaŋ]; disebut dengan nama Bintang Walk atau Starhill, yang terakhir menjadi terjemahan dari nama Melayu) adalah nama dari distrik perbelanjaan dan hiburan di Kuala Lumpur, Malaysia. Daerah ini meliputi Jalan Bukit Bintang dan daerah disekitarnya. Daerah ini telah lama menjadi pusat ritel paling menonjol di Kuala Lumpur yang merupakan rumah bagi banyak pusat perbelanjaan terkenal, kafe al fresco, bar megah, pasar malam, serta jajanan-jenis restoran. Daerah ini populer di kalangan wisatawan dan penduduk lokal, terutama di kalangan pemuda. Sebuah bagian dari Bintang Walk identik disebut sebagai "Arab Street".</t>
  </si>
  <si>
    <t>{'lat': -6.8417795, 'lng': 107.6768585}</t>
  </si>
  <si>
    <t>Taman Vanda</t>
  </si>
  <si>
    <t>Taman Vanda Bandung adalah taman yang terletak di Kota Bandung, Jawa Barat. Taman ini memiliki latar belakang pemandangan air mancur pada malam hari. Pada malam hari dipasang air mancur di 20 titik dengan sorot lampu warna-warni yang memesona.\nUntuk melengkapi masyarakat Bandung yang ingin bersantai, di Taman Vanda disediakan bangku-bangku taman. Pepohonan rimbun yang ditanam di sekitar taman membuatnya menjadi lebih segar dan asri. Bersantai di sini pada siang hari juga sangat asyik dengan angin semilir dan sinar matahari tertutupi rimbunnya pohon-pohon.</t>
  </si>
  <si>
    <t>{'lat': -6.9140478, 'lng': 107.6101684}</t>
  </si>
  <si>
    <t>Taman Budaya Jawa Barat</t>
  </si>
  <si>
    <t>Taman Budaya Jawa Barat (TBJB) didirikan pada tahun 1991 di Kawasan Dago Tea House. TBJB memiliki fasilitas gedung teater tertutup, teater terbuka, ruang pameran, sekertariat, sanggar olah seni, wisma seni, dan cafetaria. Semua fasilitas tersebut diperuntunkan untuk kelancaran beraktifitas dan berkarya para warga Bandung, khususnya para seniman. TBJB menghelat berbagai macam agenda yang menarik seperti pementasan karya seni, lomba seni, eksperimentasi karya seni, seminar, workshop, sarasehan seni dan budaya, penerbitan buku, dsb.</t>
  </si>
  <si>
    <t>{'lat': -6.870099, 'lng': 107.6164386}</t>
  </si>
  <si>
    <t>Curug Bugbrug</t>
  </si>
  <si>
    <t>Curug Bugbrug Sesuai dengan namanya kata Bugbrug dalam bahasa sunda adalah berarti bertumpuk atau tumpah tindih. Jadi apabila Anda ditanya kenapa air terjun di bandung ini dinamai Curug Bugbrug Maka jawabannya ialah karena air yang jatuh dari atas ke bawah itu seperti terlihat bertumpuk-tumpuk. Dan jatuhnya tersebut terdengar suara di dasar curug seperti ” brug…brug…brug ” begitu saking kerasnya. Curug yang berada di ketinggian 1.050 meter di atas permukaan air laut, memiliki ketinggian dari 50 meter tingginya dan lebar curug sekitar 2 meter. Tempat ini menjadi pusat buruan wisatawan yang berlibur ke bandung.</t>
  </si>
  <si>
    <t>{'lat': -6.790388999999999, 'lng': 107.5777632}</t>
  </si>
  <si>
    <t>Babakan Siliwangi City Forest Path Bandung</t>
  </si>
  <si>
    <t>Forest walk Babakan Siliwangi adalah fasilitas publik berupa hutan kota. Hutan ini merupakan hutan kota yang masih aktif di kota Bandung hingga kini. Letaknya strategis berada di kawasan taman sari dekat dengan kampus ITB dan kebun binatang. Kawasan ini bernuansa sejuk karena didominasi oleh pepohonan yang rindang. Jembatan kayu dan besi yang saling terhubung mengelilingi kawasan ini menjadi jalan untuk menyusuri hutan. Pengunjung bisa berjalan di atas jembatan kayu sambil menikmati segarnya udara di kawasan hutan kota ini.</t>
  </si>
  <si>
    <t>{'lat': -6.8853746, 'lng': 107.6111899}</t>
  </si>
  <si>
    <t>Curug Cipanas</t>
  </si>
  <si>
    <t xml:space="preserve">Siapa bilang berendam air panas harus merogoh kocek dalam? Kabupaten Bandung Barat punya solusi bagi pelancong yang ingin merasakan manfaat air panas pegunungan asli tanpa harus membayar mahal. Adalah Curug Cipanas Nagrak, objek wisata alam yang menawarkan pemandian air panas alami. Pemandian air panas ini bahkan tidak hanya sekadar kolam, melainkan berupa air terjun alami di tengah kawasan perkebunan. Mata airnya mengalir deras menjadi sebuah air terjun kecil di tengah lahan perbukitan hijau. Pengunjung akan merasakan sensasi berendam di kolam air panas yang nyaman di tengah alam terbuka.
</t>
  </si>
  <si>
    <t>{'lat': -6.7991958, 'lng': 107.5922088}</t>
  </si>
  <si>
    <t>Taman Jomblo</t>
  </si>
  <si>
    <t>Taman Jomblo dapat mengacu kepada:\n\nTaman Pasupati, sebuah taman yang didirikan oleh Ridwan Kamil di Bandung\nPedestrian Jomblo, sebuah tempat rekreasi yang didirikan di Jambi\nTaman Jomblo (Mataram), sebuah taman yang didirikan di Mataram, Nusa Tenggara Barat</t>
  </si>
  <si>
    <t>{'lat': -6.8980549, 'lng': 107.6094673}</t>
  </si>
  <si>
    <t>Peta Park</t>
  </si>
  <si>
    <t>Bandung seperti tidak henti menawarkan tempat wisata menarik untuk dikunjungi. Terutama untuk para anak muda. Beberapa waktu lalu Peta Park Bandung dibuka. Tempat wisata yang menawarkan konsep taman-taman yang bersih dan indah. Sangat cocok sebagai tempat bersantai dan menghindari hiruk-pikuk kota. Taman rekreasi yang ada di pusat kota Bandung ini memiliki konsep taman piknik. Karena hal tersebut, saat berada di sini, pengunjung tidak hanya bisa berfoto. Akan tetapi juga bisa melakukan kegiatan yang lainnya misalnya berpiknik.</t>
  </si>
  <si>
    <t>{'lat': -6.9317951, 'lng': 107.5883026}</t>
  </si>
  <si>
    <t>Masjid Daarut Tauhiid Bandung</t>
  </si>
  <si>
    <t>pada bulan Juli 1993 berdirilah sebuah masjid berlantai tiga, tepatnya di Jalan Gegerkalong Girang nomor 38 Bandung. Masjid ini sering dijuluki sebagai masjid seribu tangan karena dibangun secara gotong royong oleh ribuan masyarakat dan jamaah Daarut Tauhid. Pada saat itu, di bagian bawah bangunan Masjid Daarut Tauhid dialokasikan sejumlah kamar tidur yang berfungsi sebagai asrama santri putri atau akhwat yang berkapasitas 70 orang. Adapun lantai dua dan tiga difungsikan untuk shalat sedangkan lantai satu dijadikan area untuk toko (minimarket), ruang khusus akhwat, ruang wudhu, dan kamar mandi. Pada tahun 2015 dilakukan pembangunan perluasan dan renovasi Masjid Daarut Tauhid Bandung secara besar-besaran. Peletakan batu pertama pembangunan masjid dilakukan pada Kamis, 29 Januari 2015. Dua tahun kemudian tepatnya tanggal 20 November 2017 Masjid Daarut Tauhiid rampung pembangunannya dan diresmikan oleh KH. Abdullah Gymnastiar selaku Pembina Pesantren Daarut Tauhiid. Masjid hasil renovasi terbaru dibangun 4 lantai plus basement satu lantai. Pintu masjid terpisah antara ikhwan dan akhwat. Front Office (FO) DKM juga ada pada masing-masing area. Tempat wudhu dan kamar mandi dekat dengan pintu masuk. Salah satu hal yang membedakan Masjid Daarut Tauhid dengan masih lain adalah sangat bersahabat dengan jamaah difabel, yaitu dengan memfasilitasi lift khusus untuk mereka agar memudahkan mereka menaiki ruangan masjid hingga ke lantai 4. Selain itu juga dilengkapi kamar mandi khusus difabel yang terpisah antara ikhwan dan akhwat.</t>
  </si>
  <si>
    <t>{'lat': -6.863526999999999, 'lng': 107.5899194}</t>
  </si>
  <si>
    <t>Masjid Agung Trans Studio Bandung</t>
  </si>
  <si>
    <t>Masjid Agung Trans Studio Bandung (TSB) berdiri megah. Rumah ibadah seluas 4.000 meter persegi bergaya Timur Tengah ini menjadi oase di tengah-tengah pusat perbelanjaan dan tempat rekreasi. konsep masjid modern yang mengadopsi ala Timur Tengah ini berdasarkan arahan Chairul Tanjung (CT), selaku pemiki CT Corp. Dia langsung menerawang guna mewujudkan desain Masjid Agung TSB yang kental dengan sentuhan Masjid Nabawi.</t>
  </si>
  <si>
    <t>{'lat': -6.925963500000001, 'lng': 107.6354278}</t>
  </si>
  <si>
    <t>Gereja Tiberias Indonesia Bandung</t>
  </si>
  <si>
    <t>Gereja Tiberias Indonesia (GTI), atau Tiberias Ministry adalah salah satu sinode gereja Kristen Protestan di Indonesia. Salah satu ciri khas dari pelayanan GTI adalah pelayanan Kesembuhan Ilahi melalui Perjamuan Kudus dan Minyak Urapan. Gereja Tiberias Indonesia merupakan gereja pewahyuan yang diperintahkan oleh Tuhan Yesus kepada Pdt. DR. Yesaya Pariadji. Tugas Gereja Tiberias adalah untuk membuktikan bahwa Yesus Kristus adalah Tuhan Allah yang Maha Kuasa dibuktikan melalui mujizat-mujizatNya; bahwa Firman Allah bukan terdiri atas kata-kata, tetapi kuasa; bahwa Firman Allah lebih dari seluruh ilmu pengetahuan manusia; bahwa manusia harus hidup dalam pertobatan, harus hidup dalam kekudusan agar layak berdiri di hadapanNya dan pesta di Kerajaan Sorga.</t>
  </si>
  <si>
    <t>{'lat': -6.9347698, 'lng': 107.6253513}</t>
  </si>
  <si>
    <t>Tektona Waterpark</t>
  </si>
  <si>
    <t>Tektona Waterpark sebuah wahana yang memberikan sensasi bermain air bersama keluarga dan sahabat anda, memberikan keceriaan bagi anak-anak maupun pengunjung dewasa dengan fasilitas modern diantaranya Kolam Ombak dan Kolam Arus, Kolam Anak dan Balita, Semi Olympic serta Mini Slider untuk anak-anak dan Mega Slider untuk dewasa dengan ketinggian hampir dari 30 meter, yang akan memicu adrenaline para pengunjung. Selain itu wahana Tektona Waterpark juga menyediakan pojok kuliner, gazebo serta jasa pompa dan foto aksi yang dapat diperoleh di sudut wahana Tektona Waterpark, dan juga selalu tersedia ruang ganti serta ruang bilas di dalam kawasan Tektona Waterpark.</t>
  </si>
  <si>
    <t>{'lat': -7.009602199999999, 'lng': 107.6062161}</t>
  </si>
  <si>
    <t>Curug Cilengkrang</t>
  </si>
  <si>
    <t>Curug Cilengkrang bisa menjadi pilihan tujuan objek wisata alam di Bandung. Menawarkan area hutan sejuk serta area air terjun yang menyegarkan. Meski tidak besar, kawasan air terjun cukup bisa untuk menenangkan dan kembali menyegarkan wisatawan. Seolah bertolak belakang dari hingar bingar kota Bandung. Curug Cilengkrang menawarkan wisata alam yang tenang dan begitu hijau. Air terjun yang mempesona, serta hutan dengan pepohonan yang begitu asri. Dimana, tempat ini juga menjadi habitat hidup berbagai satwa liar yang masih terjaga.</t>
  </si>
  <si>
    <t>{'lat': -6.8908877, 'lng': 107.7307085}</t>
  </si>
  <si>
    <t>Jembatan Pasupati</t>
  </si>
  <si>
    <t xml:space="preserve">Jembatan Pasupati atau Jalan Layang Pasupati adalah sebuah jembatan yang menghubungkan bagian utara dan timur Kota Bandung melewati lembah Cikapundung. Panjangnya 2,8 km dan lebarnya 30-60 m. Sebagian jalan itu dibangun di atas Jalan Pasteur, adalah jalan lama dengan pohon palm raja disebelah kanan dan kirinya yang menjadi ciri kota Bandung. Jalan Layang Pasupati juga menjadi salah satu ikon Kota Bandung. Oleh karena itu, pada malam hari bagian tengah Jembatan Pasupati diterangi lampu sorot warna-warni. Jalan layang ini membuat arus lalu lintas dari wilayah sekitar Jabodetabek ke Bandung menjadi lebih mudah. Di bawah Jembatan Pasupati terdapat taman yang bernama Taman Pasupati.
</t>
  </si>
  <si>
    <t>{'lat': -6.900098700000001, 'lng': 107.6046708}</t>
  </si>
  <si>
    <t>Pasar Baru</t>
  </si>
  <si>
    <t>Pasar Baru adalah kawasan perdagangan yang berpusat di Jalan Pasar Baru, Kelurahan Pasar Baru, Kecamatan Sawah Besar, Jakarta Pusat. Pusat perbelanjaan ini didirikan pada tahun 1820, dan merupakan pusat perbelanjaan tertua di Jakarta.Ujung selatan Jalan Pasar Baru berbatasan dengan Jalan Antara dan Jalan Pasar Baru Selatan, serta Jalan Pos yang berdekatan dengan Gedung Kesenian Jakarta. Ujung utara Jalan Pasar Baru berbatasan dengan Jalan Kyai Haji Samanhudi, dekat Metro Pasar Baru dan Jalan Gereja Ayam. Di sisi kiri dan kanan Jalan Pasar Baru terdapat toko pakaian, toko tekstil dan tailor, toko alat olahraga dan sepatu, toko kacamata, dan toko perhiasan emas.\nDi Pasar Baru banyak bermukim orang India-Indonesia. Orang India-Indonesia berdagang menjual kain, alat olahraga, dan sepatu di Pasar Baru. Pada tahun 2002 ada sekitar 2.000 keluarga India yang terdaftar sebagai penduduk Jakarta, dan sebagian besar di antara mereka tinggal di pusat kota, khususnya di kawasan Pasar Baru dan Pintu Air. Di kawasan Pasar Baru juga terdapat tempat ibadah masyarakat India-Indonesia.\n\n</t>
  </si>
  <si>
    <t>{'lat': -6.9177044, 'lng': 107.6036014}</t>
  </si>
  <si>
    <t>Taman Sejarah Bandung</t>
  </si>
  <si>
    <t>Taman Sejarah Bandung adalah taman yang terletak di belakang Balai Kota Bandung, kompleks Pemerintahan Kota Bandung. Taman ini berfungsi untuk mengenalkan sejarah di Kota Bandung. Taman ini dilengkapi informasi mengenai pemimpin kota Bandung dari masa ke masa. Pembangunan taman ini menghabiskan anggaran sekitar 3,5 miliar rupiah.</t>
  </si>
  <si>
    <t>{'lat': -6.9103086, 'lng': 107.6098619}</t>
  </si>
  <si>
    <t>Roemah Seni Sarasvati</t>
  </si>
  <si>
    <t>Roemah Seni Sarasvati adalah sebuah galeri yang berlokasi di Jl. Jendral Sudirman 137, Bandung. RSS merupakan project utama Sarasvati Arts Management yang dibangun dengan tujuan untuk memperkenalkan berbagai keragaman seni budaya. RSS juga merupakan tempat bertukar gagasan dan kepedulian untuk menciptakan identitas unik bagi Kota Bandung serta merawat kreativitas dan pengetahuan. Salah satu program kerja yang sedang dirancang adalah Grote Postweg Art Project.</t>
  </si>
  <si>
    <t>{'lat': -6.9204173, 'lng': 107.5996425}</t>
  </si>
  <si>
    <t>Puspa Iptek Sundial</t>
  </si>
  <si>
    <t>Puspa Iptek Sundial adalah wahana pendidikan yang terletak di kawasan Kota Baru Parahyangan, Padalarang, Bandung, Jawa Barat. Puspa Iptek Sundial diresmikan pada tanggal 11 Mei 2002, bertepatan dengan momen Hari Pendidikan Nasional. Keberadaan Puspa Iptek Sundial merupakan upaya penting bagi perwujudan Kota Baru Parahyangan sebagai Kota Mandiri yang berwawasan pendidikan. Mulai tahun 2013 area alat peraga di Puspa Iptek Sundial juga diperluas serta fasilitasnya diperlengkap, seiring dengan semakin tingginya minat dan kepedulian masyarakat terhadap dunia sains dan teknologi.</t>
  </si>
  <si>
    <t>{'lat': -6.852207999999999, 'lng': 107.493882}</t>
  </si>
  <si>
    <t>Masjid Salman ITB</t>
  </si>
  <si>
    <t>Masjid Salman ITB adalah masjid kampus yang terletak di Jalan Ganesha 7, Lebak Siliwangi, Coblong, Kota Bandung atau tepat di depan area Kampus ITB Ganesha. Dengan luas lahan 7800 m2 dan luas bangunan masjid 1225 m2, Masjid Salman dilengkapi dengan berbagai fasilitas penunjang seperti kantin, air minum gratis, mini market, dan ruang serbaguna. Masjid yang dibuka pada tahun 1972 ini merupakan masjid kampus pertama di Indonesia.</t>
  </si>
  <si>
    <t>{'lat': -6.893664299999999, 'lng': 107.611271}</t>
  </si>
  <si>
    <t>Curug Aseupan</t>
  </si>
  <si>
    <t>Curug Aseupan berada di kawasan Curug Tilu Leuwi Opat. Curug ini merupakan bintang utama dari beberapa curug di sini. Jika diceritakan, kecantikannya bisa lah buat mengisi galeri dan feed instagram. Curug ini sendiri berada di Dusun Ciwangan, Kelurahan Cihanjuang rahayu, kecamatan Parangpong, Kabupaten Bandung Barat. Sekitar 9 KM dari Lembang yang jarangnya cukup berdekatan dengan Curug Cimahi. Bukan hanya menyajikan pemandangan air terjun, di sekitar curug juga terdapat area camping ground yang cukup luas.</t>
  </si>
  <si>
    <t>{'lat': -6.7875652, 'lng': 107.5822844}</t>
  </si>
  <si>
    <t>Museum Pendidikan Nasional</t>
  </si>
  <si>
    <t xml:space="preserve">Museum Pendidikan Nasional Universitas Pendidikan Indonesia diresmikan oleh Gubernur Jawa Barat, H. Ahmad Heryawan, Lc. Pembangunan Museum Pendidikan Nasional ini merupakan salah satu bentuk tanggung jawab UPI sebagai perguruan tinggi yang memiliki kepedulian terhadap kelestarian warisan sejarah budaya bangsa khususnya dibidang pendidikan. Museum pada umumnya memamerkan benda koleksi yang berasal dari masa lalu, namun hal tersebut berbeda dengan Museum Pendidikan Nasional Universitas Pendidikan Indonesia. Museum ini menyajikan bagaimana pendidikan dimasa yang akan datang, karena saat ini pendidikan menjadi bersifat forecasting atau ramalan. Keberadaan Museum Pendidikan Nasional diharapkan mampu menjadi wahana pusat penelitian, serta sumber belajar dan pembelajaran, yang dapat meningkatkan kompetensi pendidik maupun wawasan pembelajar dalam mengupayakan peningkatan mutu pendidikan, sekaligus menjadi tujuan wisata budaya di Jawa Barat dan Nasional. Karena pada dasarnya manusia tidak mempelajari masa lalu, melainkan masa depan.
</t>
  </si>
  <si>
    <t>{'lat': -6.859747400000001, 'lng': 107.5941693}</t>
  </si>
  <si>
    <t>Water Park Bandung Indah</t>
  </si>
  <si>
    <t xml:space="preserve">Bandung Indah Waterpark merupakan salah satu kolam renang yang ada di Bandung. Menyediakan berbagai wahana permainan air yang cocok bagi keluarga. Terdapat kolam renang untuk dewasa dan anak-anak. Pengunjung dapat melakukan olahraga renang dan rekreasi.
</t>
  </si>
  <si>
    <t>{'lat': -6.980580700000001, 'lng': 107.5856567}</t>
  </si>
  <si>
    <t>Curug Anom</t>
  </si>
  <si>
    <t>Curug Anom adalah sebuah air terjun yang memiliki dinding batu atau tebing berbentuk flat, sehingga sekilas terlihat seperti tembok, padahal ini nyata tebing batu yang memiliki permukaan rata dengan ketinggian kurang lebih 30 meter. Lokasi Curug Anom berada dalam kawasan obyek wisata Natural Hill Lembang, tepatnya di Jln. Kolonel Masturi, Kec. Cisarua, Kab. Bandung Barat, Jawa Barat. Meskipun debit air di Curug Anom Lembang ini tidak terlalu besar, namun karena ukuran tebing yang sangat tinggi, maka cipratan air yang jatuh dari atas akan terasa seperti hujan lokal. Aliran air yang jatuh mengikuti permukaan dinding tebing yang rata dan kemudian membentur dasar air terjun terlihat seprti seuntai kain sutra yang menghiasi dinding batu.</t>
  </si>
  <si>
    <t>{'lat': -6.811600899999998, 'lng': 107.5695213}</t>
  </si>
  <si>
    <t>Taman Badak</t>
  </si>
  <si>
    <t>Taman Badak ini baru saja diresmikan pada tanggan 19 Desember 2017 oleh Bapak Ridwan Kamil sebagai Wali Kota Bandung. Terdapat Patung Badak yang berusia puluhan tahun di taman ini yang menjadi ikonnya. Patung Badak tersebut direvitalisasi, sehingga kini tampilannya baru dan menjadi spot foto favorit bagi para pengunjung. Selain Patung Badak, juga terdapat Patung Dewi Sartika yang berada di samping Taman Badak yang juga turut direvitalisasi, tetapi Patung Dewi Sartika ini bentuk awalnya kecil dan kini telah diperbesar.</t>
  </si>
  <si>
    <t>{'lat': -6.9132752, 'lng': 107.6094908}</t>
  </si>
  <si>
    <t>Taman Film</t>
  </si>
  <si>
    <t>Taman Film adalah salah satu taman tematik dan ruang terbuka publik di Kota Bandung yang terletak di bawah Jembatan Pasupati, Bandung, Jawa Barat. Taman ini diresmikan oleh Wali kota Bandung, Ridwan Kamil, pada tanggal 14 September 2014. Taman ini memiliki konsep bioskop terbuka yang modern agar warga dapat beraktivitas di taman dan mendapat sarana menonton film secara gratis. Taman Film dikelola Komunitas Film Bandung dan Dinas Pertamanan Kota Bandung.</t>
  </si>
  <si>
    <t>{'lat': -6.8986869, 'lng': 107.6077451}</t>
  </si>
  <si>
    <t>Museum Nike Ardilla</t>
  </si>
  <si>
    <t>Museum Nike Ardilla diresmikan atau dibuka untuk umum tepat di hari dimana almarhumah Nike Ardilla jika masih hidup berusia 21 tahun. Diresmikan langsung sendiri oleh pihak keluarga yaitu ayahnya sendiri (Almarhum) R.Eddy Kusnaedi dengan pemotongan kue ulang tahun, dan disaksikan langsung di depan komunitas Nike Ardilla Fans Club. Museum ini menempati sebuah bangunan Rumah yang akan menjadi saksi bisu serta menyimpan segala kenangan Nike Ardilla selama hidupnya, dan populer juga dengan sebutan Rumah Nike Ardilla (RNA). Sahabat traveler’s, Konsep dasar bangunan Rumah Nike Ardilla (RNA) ini adalah merupakan paduan desain yang menyerupai Planet Hollywood, Hard Rock Cafe dan Museum pada umumnya yang biasa kita lihat. Museum Nike Ardilla ini menempati bangunan 2 lantai seluas 500 meter persegi, dimana lantai pertama digunakan sebagai tempat tinggal keluarga almarhumah Nike Ardila. Sementara di lantai 2 Museum, selain digunakan sebagai ruang pamer barang koleksi Nike Ardilla, Aksesoris serta benda-benda pribadi miliknya, anda juga bisa menyaksikan seperti apa sih ruang pribadi berupa kamar Nike Ardilla dengan segala isinya.</t>
  </si>
  <si>
    <t>{'lat': -6.9406015, 'lng': 107.6725445}</t>
  </si>
  <si>
    <t>Batununggal Indah Club</t>
  </si>
  <si>
    <t xml:space="preserve">Kolam renang Batununggal merupakan salah satu kolam renang yang digemari warga Bandung saat liburan. Kolam renang berada di kawasan komplek perumahan Batununggal Insah Estate. Buat kamu yang paham dengan perumahan tersebut pasti mudah sekali untuk menuju ke lokasi. Kolam renang ini sebenarnya bernama Kolam Renang Batununggal Indah Club atau kolam renang BIC. Kolam renang ini merupakan salah satu fasilitas exclusive bagi para penghuni perumahan. Meskipun merupakan fasilitas perumahan, tetapi pihak pengelola sudah membuka untuk umum. Jadi buat kamu yang berada di Bandung dan sekitarnya tanpa harus tinggal di perumahan tersebut sudah bisa menikmati liburan di sana sob.
</t>
  </si>
  <si>
    <t>{'lat': -6.963229999999999, 'lng': 107.626416}</t>
  </si>
  <si>
    <t>Mountain View Golf Club</t>
  </si>
  <si>
    <t>Selamat Datang di Mountain View Golf Club Dago Pakar Bandung. Golf Course dengan 72 par, 18 hole telah dirancang oleh Juara dunia 5 kali asal Inggris Peter Thompson dan tentu saja achitect terkenal Ross Peret, terletak di dalam kompleks perumahan bergengsi hanya 30 menit dari bandara internasional Bandung atau 20 menit dari pusat kota. Pegolf dan pengunjung yang duduk di barisan depan akan disajikan pemandangan dari Club House dan lapangan golf di pegunungan dekat dengan kota Bandung. Dilengkapi fasilitas kelas dunia, lengkap dengan kamar Vip, Ruang Pijat, Loker mewah untuk pria dan wanita, Champions Bar, Restoran dan Toko Golf yang berdekatan dengan pintu masuk lobi.</t>
  </si>
  <si>
    <t>{'lat': -6.8629384, 'lng': 107.6482191}</t>
  </si>
  <si>
    <t>Gunung Lalakon</t>
  </si>
  <si>
    <t>Gunung Lalakon merupakan sebuah gunung yang terdapat di Kampung Jelegong, Desa Badaraksa, Kecamatan Kutawaringin, Kabupaten Bandung, Jawa Barat dan memiliki ketinggian 870 meter. Gunung Lalakon terkenal dikarenakan bentuknya yang menyerupai kerucut sempurna atau piramida.\nGunung Lalakon dikenal juga dengan nama Gunung Sabelas karena di puncak gunung ini terdapat dua buah tower PLN yang bila dilihat dari kejauhan membentuk angka 11, tower milik PLN ini terhubung dengan PLTA Saguling. Sehingga, untuk keamanan tower beserta fungsinya inilah yang menjadikan perijinan ke gunung ini sedikit ketat, tidak mengagetkan ketika akan mendekati puncak banyak bambu yang dirintangkan ke jalur dengan tujuan menutup jalur pendakian .\nSelain keberadaan tower milik PLN, di gunung ini juga terdapat beberapa situs batuan, seperti Batu Lawang, Batu Pabiasan, Batu Warung, Batu Pupuk, Batu Renges, Batu Gajah, dan sebuah Batu Panjang yang terletak di atas puncak. Menurut salah seorang tokoh masyarakat Kampung Badaraksa, Abah Acu, "secara filosofis, Gunung Lalakon adalah perlambang sebuah lakon dari kehidupan manusia. Batu-batu tadi merepresentasikan berbagai profesi (lakon) yang dipilih oleh manusia."\nPemandangan dari gunung ini cukup bagus, seluruh sudut Kabupaten Bandung bisa terlihat dari puncaknya, termasuk pemandangan Waduk Saguling di sebelah barat. Beberapa sisi gunung ini sudah rusak oleh aktivitas galian liar (galian C), seperti di area Cipatik di sisi utara dan area Situwangi di sisi barat.</t>
  </si>
  <si>
    <t>{'lat': -6.958055600000001, 'lng': 107.5205556}</t>
  </si>
  <si>
    <t>Sendang Geulis Kahuripan</t>
  </si>
  <si>
    <t>Wilayah ini lebih tepatnya berada di RPH Cikalong Wetan, BKPH Padalarang Perum Perhutani BKPH Bandung Utara. Dilihat dari kawasannya, mengingatkan saya kepada salah satu objek wisata yang berada di jawa tengah. Lebih tepatnya berada di klaten, Umbul Ponggok namanya. Bagi Sobat Native yang sudah pernah ke Umbul Ponggok, objek wisata sendang ini hampir sama persis. Hanya saja, di kawasan ini digunakan secara serba guna. Maksud dari serba guna adalah. Sumber mata air yang keluar dari objek wisata ini digunakan juga oleh sebagian masyarakat sekitar sebagai tempat mencuci. Tunggu dulu, jangan merasa jijik dahulu. Sumber mata air yang menghasilkan sendang ini hampir setiap menit mengalir air-air bersih.</t>
  </si>
  <si>
    <t>{'lat': -6.7495268, 'lng': 107.478658}</t>
  </si>
  <si>
    <t>Sanghyang Heuleut</t>
  </si>
  <si>
    <t xml:space="preserve">Danau yang satu ini memiliki air jernih bernuansa kehijauan yang berpadu indah dengan tebing batu berukuran besar di sekelilingnya. Di sela-sela bebatuan, kamu bisa menemukan pepohonan dan rerumputan hijau yang menyegarkan mata. Bebatuannya yang tinggi itu bahkan kerap digunakan sebagai tempat para traveler untuk meloncat indah menuju danau purba tersebut. Danau Sanghyang Heuleut memiliki kedalaman sekitar tiga meter. Jadi, sebelum kamu masuk ke dalam danau, pastikan kamu bisa berenang agar tidak tenggelam, atau setidaknya telah memiliki perlengkapan seperti jaket pelampung. 
</t>
  </si>
  <si>
    <t>{'lat': -6.876513099999999, 'lng': 107.3422183}</t>
  </si>
  <si>
    <t>Lereng Anteng Panoramic Coffee Place</t>
  </si>
  <si>
    <t>Lereng Anteng Panoramic Coffee adalah sebuah tempat tongkrongan asyik berupa cafe and resto dengan perpaduan antara kafe dan spot wisata alam. Tempat makan satu ini dibuka sejak tanggal 1 Juni 2016 lalu dengan menempati luas areal sekitar 500 m² dan hadir mengusung konsep cozy. Nama kafe ini diambil dari kata Lereng yang artinya tempat di pinggiran dataran tinggi dan Anteng (bahasa Sunda) memiliki arti tempat dengan suasana nyaman. Selain menyajikan aneka menu makanan dan minuman, Lereng Anteng Panoramic Coffe juga menyuguhkan view yang begitu luar biasa indahnya</t>
  </si>
  <si>
    <t>{'lat': -6.842535, 'lng': 107.622698}</t>
  </si>
  <si>
    <t>Masjid Pusdai</t>
  </si>
  <si>
    <t>Masjid PUSDAI (pusat dakwah islam) dibangun dalam arsitektur asli di Indonesia, dengan bentuk bentuk yang khas atap Limas. Aplikasikan pada semua atap bangunannya dengan dipadu berbagia gaya arsitektur masjid masjid di seluruh penjuru dunia Islam. Uniknya daripada yang lain, ternyata ada pada bagian kubah (atap masjid) yang terbuat dari sebuah kayu. Sebagian ornamen pada masjid ini, terbuat dari kayu dan terkesan alami dan begitu kuat. Batu marmer juga ikut mendominasi bangunan masjid dengan beberapa hiasan bermotif etnis dalam pola kaligrafinya yang terdapat di bangunan masjid PUSDAI.</t>
  </si>
  <si>
    <t>{'lat': -6.9000672, 'lng': 107.62587}</t>
  </si>
  <si>
    <t>Masjid Al-Imtizaj</t>
  </si>
  <si>
    <t>Masjid Al Imtizaj adalah salah satu masjid yang bernuansa oriental dan arsitektur bercorak negeri tirai bambu yang berada di Kota Bandung. Letak masjid ini lebih tepatnya berada di Jalan Banceuy nomor 8, Kota Bandung, Jawa Barat.</t>
  </si>
  <si>
    <t>{'lat': -6.919424999999999, 'lng': 107.6078639}</t>
  </si>
  <si>
    <t>Situ Cileunca</t>
  </si>
  <si>
    <t>Situ Cileunca yang berlokasi di Warnasari, Pangalengan, Bandung, Jawa Barat adalah sebuah danau buatan dengan luas mencapai 1.400 hektar dengan latar belakang perbukitan dan pegunungan yang indah. Selain difungsikan sebagai objek wisata, Situ Cileunca juga berfungsi sebagai pembangkit listrik tenaga air (PLTA). Air yang berasal dari danau tersebut dialirkan melalui Sungai Palayangan. Sungai ini pula yang sering dijadikan sebagai arena ber-arung jeram. Kedalaman danau mencapai 17 meter, dan sebelum tahun 1918, ini merupakan hutan belantara yang kemudian diubah menjadi situ, yang berfungsi melayani kebutuhan air masyarakat.</t>
  </si>
  <si>
    <t>{'lat': -7.192328099999997, 'lng': 107.5510012}</t>
  </si>
  <si>
    <t>Sunrise Point Cukul</t>
  </si>
  <si>
    <t>Sunrise Point Cukul merupakan salah satu tempat wisata populer bagi wisatawan untuk melihat matahari terbit di kawasan Bandung Selatan. Mereka bisa melihat sunrise dari ketinggian 1.600 meter di atas permukaan laut. Sunrise Point Cukul merupakan salah satu tempat wisata populer bagi wisatawan untuk melihat matahari terbit di kawasan Bandung Selatan. Mereka bisa melihat sunrise dari ketinggian 1.600 meter di atas permukaan laut.</t>
  </si>
  <si>
    <t>{'lat': -7.233689000000002, 'lng': 107.5342933}</t>
  </si>
  <si>
    <t>Sungai Palayangan</t>
  </si>
  <si>
    <t>Sungai Palayangan terletak di Kawasan Objek Wisata Situ Cileunca Pangalengan Kab. Bandung, sekitar 45 Km atau kurang lebih 2 jam perjalanan dari pusat Kota Bandung. Adalah lokasi Arung Jeram yang paling Populer di Kawasan Bandung Selatan karena memiliki beberapa kelebihan dibandingkan dengan sungai-sungai yang lain.\nBerikut adalah kelebihan-kelebihan Arung Jeram di Sungai Palayangan :</t>
  </si>
  <si>
    <t>{'lat': -7.1965023, 'lng': 107.5454594}</t>
  </si>
  <si>
    <t>Perkebunan Teh Malabar</t>
  </si>
  <si>
    <t>Salah satu perkebunan teh yang cukup terkenal di Jawa Barat adalah perkebunan teh Malabar yang dibangun pada masa penjajahan kolonial Belanda tahun 1896. Perkebunan ini masuk dalam wilayah kecamatan Pangalengan Kabupaten Bandung, kira-kira 45 km dari pusat Kota Bandung. Jika anda berkunjung ke daerah ini, maka mata akan akan dimanjakan dengan aktivitas penduduk setempat yang mayoritas penduduknya menjadi pemetik teh dan memelihara sapi perah. Jadi jangan heran apabila anda memasuki daerah ini, anda akan melihat penduduk yang sedang memetik di kebun teh dan memelihara sapi. Namun, untuk mencapai perkebunan Malabar yang ada di Pangalengan ini, anda harus menempuh perjalanan yang panjang dan berkelok-kelok membuat anda harus berhati-hati.</t>
  </si>
  <si>
    <t>{'lat': -7.2274463, 'lng': 107.6050805}</t>
  </si>
  <si>
    <t>Pemandian Air Panas Ciater</t>
  </si>
  <si>
    <t>Di Subang, terdapat kawasan pemandian Air Panas Ciater yang sering menjadi incaran wisatawan. Kawasan wisata yang buka 24 jam ini memiliki suhu air sekitar 43-46 derajat celcius. Sangat cocok untuk menyegarkan badan wisatawan. Terdapat berbagai kolam pemandian air panas di sini. Baik untuk dewasa maupun anak-anak. Untuk suhu air pada kolam anak terbatas hanya mencapai 39 derajat Celcius sedangkan kolam dewasa bisa mencapai 46 derajat Celcius.</t>
  </si>
  <si>
    <t>{'lat': -6.738085299999999, 'lng': 107.6566092}</t>
  </si>
  <si>
    <t>Observatorium Bosscha</t>
  </si>
  <si>
    <t>Observatorium Bosscha merupakan salah satu tempat peneropongan bintang tertua di Indonesia. Observatorium Bosscha (dahulu bernama Bosscha Sterrenwacht) dibangun oleh Nederlandsch-Indische Sterrenkundige Vereeniging (NISV) atau Perhimpunan Bintang Hindia Belanda. Observatorium Bosscha berlokasi di Lembang, Jawa Barat, sekitar 15 km di bagian utara Kota Bandung dengan koordinat geografis 107° 36' Bujur Timur dan 6° 49' Lintang Selatan. Tempat ini berdiri di atas tanah seluas 6 hektare, dan berada pada ketinggian 1310 meter di atas permukaan laut atau pada ketinggian 630 m dari dataran tinggi Bandung. Kode observatorium Persatuan Astronomi Internasional untuk observatorium Bosscha adalah 299. Tahun 2004, Observatorium Bosscha dinyatakan sebagai Benda Cagar Budaya oleh Pemerintah. Karena itu keberadaan Observatorium Bosscha dilindungi oleh UU Nomor 2/1992 tentang Benda Cagar Budaya. Selanjutnya, tahun 2008, Pemerintah menetapkan Observatorium Bosscha sebagai salah satu Objek Vital nasional yang harus diamankan.</t>
  </si>
  <si>
    <t>{'lat': -6.8246311, 'lng': 107.6171106}</t>
  </si>
  <si>
    <t>Taman Bunga Cihideung</t>
  </si>
  <si>
    <t>Taman Bunga Cihideung mempunyai pesona alam yang sederhana namun mampu menghasilkan landscape yang menyita perhatian. Pesona dari kebun / taman bunga ini padahal hanya sebatas tumbuhan sejenis bunga. Lalu ada pula beberapa daya tarik lain sehingga membuat destinasi wisata alam ini masuk ke dalam list wisata Bandung. Salah satunya yaitu area spot foto yang sangat kekinian dan instagramable yang menjadi incaran utama wisatawan remaja. Khususnya bagi para influencer yang sedang mencari latar sempurna untuk sebuah konten.</t>
  </si>
  <si>
    <t>{'lat': -6.8038883, 'lng': 107.5866313}</t>
  </si>
  <si>
    <t>The Lodge Maribaya</t>
  </si>
  <si>
    <t>The Lodge Maribaya adalah salah satu tempat wisata di Lembang yang menawarkan berbagai hal pada pengunjung. Disini kita bisa melakukan berbagai akitivitas seperti camping, trekking mengelilingi area hutan pinus yang indah, acara gathering dan team building, atau bahkan hanya sekedar refreshing menikmati kuliner. Terdapat juga berbagai wahana yang pastinya instagrammable banget. Di kelilingi oleh pegunungan dengan hutan pinus yang khas, udara dan suasana disini memang segar banget. Ingin mengadakan private gathering, atau bahkan acara pernikahan disini? bisa banget. Dengan backdrop pegunungan hijau yang indah, tentunya bakal membuat acara anda lebih berkesan.</t>
  </si>
  <si>
    <t>{'lat': -6.829411199999999, 'lng': 107.6874666}</t>
  </si>
  <si>
    <t>Taman Hutan Raya Ir. H. Juanda</t>
  </si>
  <si>
    <t>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 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t>
  </si>
  <si>
    <t>{'lat': -6.8585841, 'lng': 107.6306089}</t>
  </si>
  <si>
    <t>Taman Begonia</t>
  </si>
  <si>
    <t>Taman Begonia Bandung terletak pada ketinggian 1200 meter di atas laut. Selain balinea, ada beraneka jenis bunga lainnya seperti salvia, impatiens, geranium, dan celosia. Saking indahnya banyak orang yang menyebut setara dengan taman Himawari no Sato di Jepang. Bunga Balinea itu sendiri merupakan jenis bunga Begonia yang berasal dari Bali. Tanaman yang cocok ditanam di berbagai cuaca ini akan tumbuh di sepanjang musim. Bunga Balinea adalah tanaman yang sering ditanam di perkebunan dan pekarangan hotel serta taman kota Keistimewaan Taman Bunga Begonia bukan hanya dari keberadaan bunga dan tanaman yang ada, melainkan juga dari tatanan taman yang menarik. Warna-warni taman bunga juga dilengkapi dengan berbagai bentukan yang cocok untuk berfoto-foto. Bahkan memang banyak pengunjung yang datang ke sini hanya untuk mengabadikan keindahan tamannya. Selain itu, karena berada di dataran tinggi, para pengunjung pasti akan nyaman beraktivitas di sana dengan suhu yang sejuk dan menyegarkan.</t>
  </si>
  <si>
    <t>{'lat': -6.8260163, 'lng': 107.6383564}</t>
  </si>
  <si>
    <t>Tafso Barn</t>
  </si>
  <si>
    <t>Nama Punclut mungkin sudah cukup akrab di telinga wisatawan. Kawasan dataran tinggi di Bandung yang belakangan populer sebagai destinasi wisata. Selain menawarkan pemandangan yang indah, kawasan ini juga memiliki banyak tempat wisata untuk rekreasi. Salah satunya adalah kawasan wisata sekaligus restoran Tafso dan Boda Barn atau sering dikenal juga dengan Tafso Barn. Tempat rekreasi ini memadukan tempat makan dengan nuansa taman dan gudang yang unik. Pemandangan perbukitan yang dipotong garis horison menjadi incaran utama pengunjung. Sangat tepat nongkrong dan bersantai ketika berlibur di Bandung.</t>
  </si>
  <si>
    <t>{'lat': -6.8426446, 'lng': 107.6228408}</t>
  </si>
  <si>
    <t>Curug Luhur Waterfall</t>
  </si>
  <si>
    <t xml:space="preserve">Sekitaran Bandung banyak sekali curug dari yang kekinian, terlupakan, kurang terdengar sampai baru dengar. Salah satunya adalah curug Luhur Cibodas di daerah Maribaya Lembang di sekitar area ini ada 3 curug, penduduk lokal menyebutnya curug Cibodas pernah disebut juga curug Keraton .. tapi sekarang lebih dikenal curug Luhur, selain yang ini ada juga curug Lalay yang tidak terlalu tinggi dan satu lagi curug yang paling tinggi diarea sini yaitu curug Luhur .. posisinya lebih kedalam lagi sekitar 3 km dari pos masuk, masih jarang orang yang kesana
</t>
  </si>
  <si>
    <t>{'lat': -6.8131767, 'lng': 107.7136367}</t>
  </si>
  <si>
    <t>Curug Malela</t>
  </si>
  <si>
    <t xml:space="preserve">Curug Malela adalah salah satu destinasi alam yang berupa air terjun. Curug ini memilliki keindahan yang luar biasa. Jadi tak heran banyak para pengunjung yang datang untuk mengunjungi curug ini. Para pengunjung yang datang tidak hanya dari dalam kota saja, namun juga dari luar kota seperti DKI jakarta, Jawa Tengah, Jawa Barat dan masih banyak lagi. Curug ini memiliki ketinggian yang cukup tinggi yaitu sekitar 60 sampai 70 meter. Namun curug ini memiliki lebar yang cukup sempit yaitu sekitar 50 meter saja. Curug yang menjulang tinggi ini memiliki air yang sangat deras dan dingin. Jadi jika kamu berdiri di dekat air terjun ini siap siap pakaianmu akan basah terkena cipratan air. Air terjun Malela tidak hanya terdiri dari satu pancuran air saja, namun terdiri dari beberapa pancuran air yang berdekatan. Karena curug ini memiliki pancuran air yang berjejeran seperti air terjun niagara yang ada di Amerika, banyak para pengunjung yang menyebutnya sebagai “Niagara nya Cianjur”.
</t>
  </si>
  <si>
    <t>{'lat': -7.0182386, 'lng': 107.2072145}</t>
  </si>
  <si>
    <t>Curug Cimahi</t>
  </si>
  <si>
    <t>Curug Cimahi adalah air terjun yang terletak di Jalan Kolonel Masturi, Desa Kertawangi, Kecamatan Cisarua, Kabupaten Bandung Barat, Jawa Barat. Dengan ketinggian sekitar 87 meter, menjadikan air terjun ini sebagai salah satu curug tertinggi di wilayah Bandung dan sekitarnya. Nama Cimahi berasal dari nama sungai yang mengalir di atasnya yaitu Sungai Cimahi yang berhulu di Situ (danau) Lembang dan mengalir ke Kota Cimahi. Destinasi wisata ini berjarak kurang lebih 10 kilometer dari Kota Cimahi ke arah Lembang atau 20 kilometer dari Kota Bandung.</t>
  </si>
  <si>
    <t>{'lat': -6.797738300000002, 'lng': 107.5783691}</t>
  </si>
  <si>
    <t>Situ Patenggang</t>
  </si>
  <si>
    <t>Situ Patenggang atau Situ Patengan adalah suatu danau yang terletak di kawasan objek wisata alam Bandung Selatan, Jawa Barat, Indonesia, tepatnya di Ciwidey. Terletak di ketinggian 1600 meter di atas permukaan laut, danau ini memiliki pemandangan yang sangat eksotik. Situ patenggang juga memiliki pemandangan alam yang asri, karena disekitarnya terdapat hamparan kebun teh.\nLuas Situ Patenggang sekitar 45.000 hektar. Serta total luas cagar alamnya mencapai 123.077,15 hektar. Situ patenggang selalu menjadi pilihan wisatawan terutama bagi mereka yang baru pulang dari tempat wisata Kawah Putih. Jaraknya dari wisata kawah putih hanya sekitar 7 KM dan membutuhkan waktu sekitar 10 menit saja.</t>
  </si>
  <si>
    <t>{'lat': -7.1669649, 'lng': 107.3575344}</t>
  </si>
  <si>
    <t>Kawah Rengganis Cibuni</t>
  </si>
  <si>
    <t>Kawasan Bandung Selatan khususnya Ciwidey memang sudah dikenal sebagai destinasi wisata alam dengan panorama yang indah dan udara yang sejuk, oleh karena itu masyarakat perkotaan memilih berwisata ke Ciwidey untuk “melarikan” diri dari kesibukan mereka di Kota. Wisata Ciwidey yang satu ini tidak kalah eksotis dari Kawah Putih, Rancaupas atau Situ Patenggang. Berdasarkan catatan Sejarah Kawah Rengganis, kawah ini sudah terbentuk akibat proses alam jutaan tahun lalu. Dimana berdasarkan penelitian, Kawah Rengganis ini terbentuk dari dahsyatnya letusan Gunung Sunda Purba, khususnya Gunung Patuha, yang juga menciptakan kawah lainnya, Kawah Putih. Bukti kedahsyatan letusannya bisa kita lihat sendiri, dimana hingga saat ini di Kawah Rengganis masih tercium begitu kuat aroma bau belerang dari areal kawahnya.</t>
  </si>
  <si>
    <t>{'lat': -7.172412599999999, 'lng': 107.3766656}</t>
  </si>
  <si>
    <t>Pemandian Air Panas Cimanggu</t>
  </si>
  <si>
    <t>Air Panas Cimanggu menjadi salah satu objek wisata di Bandung yang menawarkan berbagai macam daya tarik yang dijamin mengagumkan. Tempat wisata yang satu ini juga dikenal dengan nama Cimanggu Natural Hot Spring. Menikmati pemandian air panas dan juga hijaunya pemandangan di pemandian ini pastinya bisa membuat pikiran Anda lebih rileks. Pikiran rileks pastinya akan membuat Anda lebih bersemangat saat kembali bekerja.</t>
  </si>
  <si>
    <t>{'lat': -7.147152899999998, 'lng': 107.3901424}</t>
  </si>
  <si>
    <t>Glamping Lakeside Rancabali</t>
  </si>
  <si>
    <t>Glamping Lakeside Rancabali menawarkan tempat berkemah mewah yang cocok untuk Anda jadikan destinasi liburan di akhir pekan. Seperti namanya, glamping atau glamour camping terdiri dari tenda yang berisikan tempat tidur nyaman, kamar mandi di dalam ruangan, pemanas, dan berbagai amenitas layaknya hotel berbintang. Berlokasi di Jalan Raya Ciwidey Rancabali KM 1, Glamping Lakeside berada di sekitar Situ Patenggang dan perkebunan teh yang subur. Tidak heran jika pemandangan dari glamping ini begitu apik dan Instagramable untuk berfoto.</t>
  </si>
  <si>
    <t>{'lat': -7.167590799999999, 'lng': 107.3532419}</t>
  </si>
  <si>
    <t>Bukit Jamur</t>
  </si>
  <si>
    <t>Bukit Jamur Ciwidey adalah satu dari sekian banyak pesona wisata alam yang berada di Kecamatan Ciwidey, Kabupaten Bandung, Provinsi Jawa barat. Bukit Jamur Ciwidey memang memiliki khas wisata Ciwidey, yaitu objek wisata di tengah hamparan kebun teh, dengan udara yang sangat sejuk.Suasana saat kabut turun di area perkebunan membuat suasana menjadi romatis. Bukit Jamur Ciwidey suasananya cocok juga bagi jomblowan – jomblowati, banyak spot dengan latar alam yang indah, yang dimungkinkan mampu melupakan sang mantan.</t>
  </si>
  <si>
    <t>{'lat': -7.195110199999998, 'lng': 107.4312811}</t>
  </si>
  <si>
    <t>Kebun Tanaman Obat Sari Alam</t>
  </si>
  <si>
    <t>Kebun Tanaman Obat Sari Alam lebih terkenal dengan sebutan wisata pengobatan herbal, karena disana terdapat banyak sekali tanaman yang dijadikan sebagai pengobatan alternative. Kebun Tanaman Obat Sari Alam lebih dikenal oleh orang Bandung dengan sebutan KTO Sari Alam. Lokasi: Jl. Raya Ciwidey bandung km 26 no 8 rt 1 rw 2 kampung Andir, Cukanggenteng, Kec. Pasirjambu, kab Bandung, Jawa Barat 40972</t>
  </si>
  <si>
    <t>{'lat': -6.601320999999999, 'lng': 106.632734}</t>
  </si>
  <si>
    <t>Happyfarm Ciwidey</t>
  </si>
  <si>
    <t xml:space="preserve">Objek wisata alam dan edukasi tengah banyak menjamur akhir-akhir ini. Selain De Ranch dan Farmhouse Lembang, ada juga Happy Farm Ciwidey di Bandung. Objek wisata ini masih terbilang baru, karena baru bulan Juni 2019 ini berdiri. Konsepnya hampir sama, wisata alam dan peternakan dengan unsur edukasi. Sangat cocok menjadi tujuan wisata keluarga, terutama untuk anak-anak. Dan semakin seru karena bermain di area outdoor dengan udara sejuk.
</t>
  </si>
  <si>
    <t>{'lat': -7.1147877, 'lng': 107.4380865}</t>
  </si>
  <si>
    <t>Saung Angklung Mang Udjo</t>
  </si>
  <si>
    <t>Saung Angklung Udjo (SAU) adalah suatu tempat yang merupakan tempat pertunjukan, pusat kerajinan tangan dari bambu, dan workshop instrumen musik dari bambu. Selain itu, SAU mempunyai tujuan sebagai laboratorium kependidikan dan pusat belajar untuk memelihara kebudayaan Sunda dan khususnya angklung. Didirikan pada tahun 1966 oleh Udjo Ngalagena dan istrinya Uum Sumiati, dengan maksud untuk melestarikan dan memelihara seni dan kebudayaan tradisional Sunda. Berlokasi di Jalan Padasuka 118, Bandung Timur Jawa Barat Indonesia. Dengan suasana tempat yang segar udaranya dan dikelilingi oleh pohon-pohon bambu, dari kerajinan bambu dan interior bambu sampai alat musik bambu. Disamping pertunjukan rutin setiap sore, Saung Angklung Udjo telah berkali-kali mengadakan pertunjukan khusus yang dilakukan pada pagi atau siang hari. Pertunjukkan tersebut tidak terbatas diadakan di lokasi Saung Angklung Udjo saja, tetapi berbagai undangan tampil di berbagai tempat baik di dalam maupun di luar negeri, pada bulan Agustus tahun 2000 di Sasana Budaya Ganesha ITB, Bandung, Saung Angklung Udjo mengadakan konser kolaborasi dengan penyanyi cilik yang dijuluki Shirley Temple-nya Indonesia, yaitu Sherina. Saung Angklung Udjo tidak terbatas pada hanya menjual seni pertunjukan saja, berbagai produk alat musik bambu tradisional (angklung, arumba, calung dan lainnya) dibuat dan dijual kepada para pembeli.</t>
  </si>
  <si>
    <t>{'lat': -6.897136199999999, 'lng': 107.6558466}</t>
  </si>
  <si>
    <t>Taman Kupu-Kupu Cihanjuang</t>
  </si>
  <si>
    <t>Taman Kupu-Kupu Cihanjuang Bandung ini,sepertinya telah menambah daftar objek wisata di Bandung yang unik dan menarik seperti halnya theme park Jendela Alam Bandung sekaligus bernilai edukasi yang sangat tinggi buat anak-anak dan sebagai sarana pembelajaran kepada anak kita bahwa pelestarian hewan langka dan cantik ini bisa diajarkan sejak usia dini.Dan faktanya, meskipun relatif masih anyar, namun salah satu tempat wisata keluarga di bandung ini nyatanya berhasil banyak menarik atensi atau perhatian wisatawan lokal kota Bandung maupun wisatawan luar daerah yang sedang liburan di Bandung. Lokasi Tempat wisatanya yang memang masih sangat rindang dan sejuk, ditunjang lagi dengan design interior taman kupu-kupu yang ditata sangat begitu detil dan menarik. Apabila melancong ke kawasan wisata yang satu ini, diharapkan anak-anak anda bisa memperoleh informasi tentang bagaimana proses metamorfosis seekor kupu-kupu mulai dari bibit larva hingga tumbuh besar secara sempura.</t>
  </si>
  <si>
    <t>{'lat': -6.8590047, 'lng': 107.568779}</t>
  </si>
  <si>
    <t>Taman Miniatur Kereta Api</t>
  </si>
  <si>
    <t>Salah satu wisata yang ramai di Bandung adalah Taman Miniatur Kereta Api yang berada di taman wisata Floating Market Lembang. Dengan menghadirkan pernak-pernik kereta api secara lengkap dan sangat detail membuat taman miniatur kereta api ini seolah-olah benar hidup. Tak heran jika objek wisata ini mengundang ribuan orang untuk menikmati sekaligus belajar banyak tentang perkeretaan api baik di Indonesia maupun dunia. Taman miniatur ini menyediakan toko suvenir yang menjual beragam jenis miniatur kendaraan mulai dari mobil, pesawat dan kereta api tentunya. Selain itu, bagi pengunjung yang ingin menikmati sajian aneka ragam kuliner bisa langsung ke Floating Market Lembang. Bagi pengunjung yang berasal dari luar kota dapat menginap di hotel-hotel yang berdekatan dengan lokasi taman miniatur. Jarak hotel dari taman miniatur sekitar 200 meter sampai 1 kilometer. Hotel-hotel tersebut antara lain Grand Hotel Lembang, Hotel Cemara Asri, Hotel Buah Sinuan dan Hotel Pesona Bamboe. Tarif sewa hotel menginap semalam antara Rp 200.000 hingga Rp 1.000.000.</t>
  </si>
  <si>
    <t>{'lat': -6.817327, 'lng': 107.61794}</t>
  </si>
  <si>
    <t>Gua Pawon</t>
  </si>
  <si>
    <t xml:space="preserve">Gua Pawon adalah sebuah gua alami dan situs purbakala yang terletak di Desa Gunung Masigit, Kecamatan Cipatat, Padalarang, Kabupaten Bandung Barat, atau sekitar 25 km arah barat Kota Bandung. Merupakan sebuah tempat yang penting bagi orang Sunda karena di sanalah tempat berkumpulnya sesepuh Sunda yang sekarang menduduki bagian barat pulau Jawa. Di sana pernah ditemukan kerangka manusia purba yang konon adalah nenek moyang orang Sunda (masih diteliti di balai Arkeolog Bandung).
</t>
  </si>
  <si>
    <t>{'lat': -6.8231833, 'lng': 107.4371655}</t>
  </si>
  <si>
    <t>Bukit Gantole Cililin</t>
  </si>
  <si>
    <t>Bukit Gantole Cililin atau yang dikenal juga dengan sebutan Venue Gantole merupakan sebuah kawasan wisata yang awalnya di buka untuk tujuan terselenggaranya Porda Jabar 2010 dan Pekan Olahraga Nasional 2016 Cabang olahraga Paralayang. Kawasan wisata ini menjadi buah bibir setelah menjadi tuan rumah penyelenggaraan PON 2016. Olahraga paralayang sendiri merupakan jenis olahraga yang di lakukan di atas lereng bukit atau gunung dengan hanya memanfaatkan angin sebagai sumber utama. Oleh karenanya lokasi Bukit Gantole Cililin yang berada di ketinggian 1063 Mdpl dengan hempasan angin yang kencang sangat pas untuk olahraga ini.</t>
  </si>
  <si>
    <t>{'lat': -6.9588812, 'lng': 107.4713147}</t>
  </si>
  <si>
    <t>Bandros City Tour</t>
  </si>
  <si>
    <t>Bandros atau Bus Wisata Bandung adalah bus wisata yang beroperasi di Bandung, Jawa Barat, Indonesia.Digunakan oleh wisatawan di Kota Bandung. Bus tersebut diresmikan oleh Wali Kota Bandung Ridwan Kamil pada malam tahun baru 2014, dan pada 18 Februari 2018 diumumkan bus wisata akan melayani kota Bandung. Seorang pemimpin tur lokal akan menemani turis di dalam bus. Bandros dikelola oleh dua pihak: Dinas Perhubungan Bandung (yang terkait dengan Anggaran Pendapatan dan Belanja Daerah) dan Mang Dudung yang merupakan bagian dari Tanggung Jawab Sosial Perusahaan. Bus memiliki kapasitas 22 orang. Ada enam bus yang dioperasikan oleh divisi Corporate Social Responsibility, dan 12 bus dioperasikan oleh Anggaran Pendapatan dan Belanja Daerah yang dikelola oleh BLUD UPT Dinas Perhubungan Kota Bandung.</t>
  </si>
  <si>
    <t>{'lat': -6.922081599999999, 'lng': 107.6073182}</t>
  </si>
  <si>
    <t>Kyotoku Floating Market</t>
  </si>
  <si>
    <t>Kyotoku Floating Market Bandung, sebuah wisata kekinian yang mengusung tema hal-hal yang berbau Jepang. Di tempat ini anda akan melihat bangunan-bangunan khas Jepang serta pemandangan bak di negeri sakura. Jepang merupakan salah satu negara selain Korea Selatan yang menjadi tujuan favorit turis dari Indonesia. Karena sudah menjadi negara maju, berkunjung ke Jepang membutuhkan biaya akomodasi yang tidak sedikit, tiket pesawat, serta proses pengurusan visa yang ribet. Tak perlu jauh-jauh pergi ke luar negeri, anda dapat menikmati berwisata dengan nuansa Jepang di Bandung. Pengelola wisata mendesain tempat ini mirip-mirip dengan Kyoto, salah satu wilayah di Jepang yang kental dengan budaya. Melihat bunga sakura yang menjadi ikon Jepangpun tak perlu menunggu bulan April, kawasan wisata ini di lengkapi dengan hiasan bunga sakura sehingga suasana Jepang terasa semakin kental. Bagi anda yang tertarik berfoto memakai kimono atau yukata dengan background ala Jepang untung dipajang di instagram. Berikut review singkat kawasan wisata ini.</t>
  </si>
  <si>
    <t>{'lat': -6.819874999999999, 'lng': 107.618707}</t>
  </si>
  <si>
    <t>Rainbow Garden</t>
  </si>
  <si>
    <t>Rainbow Garden Harapan Indah salah satu taman rekreasi yang terutama cocok untuk keluarga. Berkonsep ‘eat and play’, Rainbow Garden Bekasi memadukan arena permainan anak dengan wisata kuliner. Berbagai wahana dan aktivitas tersedia di taman wisata penuh warna seluas 3000 m2 ini.</t>
  </si>
  <si>
    <t>{'lat': -6.8179514, 'lng': 107.618914}</t>
  </si>
  <si>
    <t>Kota Mini</t>
  </si>
  <si>
    <t>Destinasi yang sangat menarik bernuansa eropa lengkap dengan fasilitas publiknya membuat anda seolah-olah sedang berada di eropa. Ada rumah sakit, kantor polisi, box telepon, cafe-café pinggir jalan, dan bangunan-bangunan klasik lainnya. Masih satu kompleks dengan Floating Market, tempat wisata ini menyajikan arsitektur eropa klasik yang begitu kental, dijamin anda akan enggan beranjak.</t>
  </si>
  <si>
    <t>{'lat': -6.818688799999999, 'lng': 107.6169403}</t>
  </si>
  <si>
    <t>Chingu Cafe Little Seoul</t>
  </si>
  <si>
    <t xml:space="preserve">Selain populer karena memiliki pemandangan yang indah dan hawa yang sejuk, Bandung juga menawarkan banyak destinasi wisata kreatif. Taman kota, museum, hingga tempat makan pun tidak luput dari keunikan dan daya tariknya masing-masing. Salah satunya adalah Little Seoul Bandung yang berada di area Chingu Café. Area luar ruangan di kafe ini disulap menyerupai suasana Jalan Dongdaemun di Seoul, Korea Selatan. Tanpa perlu jauh-jauh terbang ke Negeri Ginseng, pengunjung bisa merasakan suasana Seoul di sini.
</t>
  </si>
  <si>
    <t>{'lat': -6.901224099999999, 'lng': 107.6099853}</t>
  </si>
  <si>
    <t>Candi Gedong Songo</t>
  </si>
  <si>
    <t>Candi Gedong Songo (bahasa Jawa: ꦕꦤ꧀ꦝꦶ​ꦒꦼꦝꦺꦴꦁ​ꦱꦔ, translit. Candhi Gedhong Sanga) adalah nama sebuah kompleks bangunan candi peninggalan budaya Hindu yang terletak di desa Candi, Kecamatan Bandungan, Kabupaten Semarang, Jawa Tengah, Indonesia tepatnya di lereng Gunung Ungaran. Di kompleks candi ini terdapat sembilan buah candi.\nCandi ini diketemukan oleh Raffles pada tahun 1804 dan merupakan peninggalan budaya Hindu dari zaman Wangsa Syailendra abad ke-9 (tahun 927 masehi).Candi ini memiliki persamaan dengan kompleks Candi Dieng di Wonosobo. Candi ini terletak pada ketinggian sekitar 1.200 m di atas permukaan laut sehingga suhu udara di sini cukup dingin (berkisar antara 19-27 °C)\nLokasi sembilan candi yang tersebar di lereng Gunung Ungaran ini memiliki pemandangan alam yang indah. Selain itu, objek wisata ini juga dilengkapi dengan pemandian air panas dari mata air yang mengandung belerang, area perkemahan, dan wisata berkuda.</t>
  </si>
  <si>
    <t>Semarang</t>
  </si>
  <si>
    <t>{'lat': -7.209886700000002, 'lng': 110.3421119}</t>
  </si>
  <si>
    <t>Grand Maerakaca</t>
  </si>
  <si>
    <t>Masyarakat Jawa Tengah mungkin sudah tidak asing dengan nama “Puri Maerokoco”. Taman wisata ini merupakan “Taman Mini” versi Jawa Tengah yang menyajikan replika dan miniatur bangunan khas dari berbagai daerah di Jawa Tengah. Saat ini, Puri Maerakaca sudah berganti nama menjadi Grand Maerakaca. Dengan wahana yang lebih bervariasi, taman rekreasi ini menjadi salah satu destinasi wisata di Semarang yang cocok untuk rekreasi keluarga.</t>
  </si>
  <si>
    <t>{'lat': -6.9605225, 'lng': 110.3863941}</t>
  </si>
  <si>
    <t>Kampung Pelangi</t>
  </si>
  <si>
    <t>Kampung pelangi atau dalam bahasa Inggris disebut Rainbow Village merupakan sebutan untuk daerah atau kampung yang rumah-rumah penduduknya dicat dengan warna-warni. Sebenarnya Kampung Pelangi pada awalnya merupakan daerah kumuh yang dikemudian secara kreatif diubah menjadi daerah yang menarik untuk dijadikan sebagai destinasi wisata, terutama bagi masyarakat yang senang atau sedang mencari spot yang menarik untuk mengabadikan momen.\nBanyak daerah-daerah di Indonesia, terutama di jawa memliki tempat yang disebut Kampung pelangi, antara lain di Malang, Semarang, Jakarta, Bandung, dan kota-kota lainnya. Contoh kampung seperti ini yaitu, kampung warna-warni di Jodipan dan Tridi, Kota Malang, Jawa Timur.</t>
  </si>
  <si>
    <t>{'lat': -6.988881200000001, 'lng': 110.4083781}</t>
  </si>
  <si>
    <t>Lawang Sewu</t>
  </si>
  <si>
    <t>Lawang Sewu ("Seribu Pintu") (bahasa Jawa: ꦭꦮꦁ​ꦱꦺꦮꦸ, translit. Lawang Sèwu) adalah landmark di Semarang, Jawa Tengah, Indonesia, yang dibangun sebagai kantor pusat Perusahaan Kereta Api Hindia Belanda. Bangunan era kolonial terkenal sebagai rumah berhantu dan lokasi syuting, meskipun pemerintah kota Semarang telah berusaha mengubah citra itu.</t>
  </si>
  <si>
    <t>{'lat': -6.9839099, 'lng': 110.4104342}</t>
  </si>
  <si>
    <t>Sam Poo Kong Temple</t>
  </si>
  <si>
    <t>Sam Poo Kong (Hanzi: ; Pinyin: Sānbǎo Dòng), juga dikenal sebagai Kuil Gedung Batu, adalah kuil Tionghoa tertua di Semarang, Jawa Tengah, Indonesia. Awalnya didirikan oleh penjelajah Muslim Tionghoa Zheng He (juga dikenal sebagai Sanbao), sekarang dibagi oleh orang Indonesia dari berbagai denominasi agama, termasuk Muslim dan Budha, dan etnis, termasuk Tionghoa dan Jawa.</t>
  </si>
  <si>
    <t>{'lat': -6.996236599999999, 'lng': 110.398122}</t>
  </si>
  <si>
    <t>Desa Wisata Lembah Kalipancur</t>
  </si>
  <si>
    <t>Wisata alam tengah menjadi sorotan bagi dunia pariwisata. Wisata alam tidak hanya pegunungan, danau, hutan, air terjun, atau pantai. Tapi juga merambah ke konsep pedesaan, seperti Desa Wisata Lembah Kalipancur. Tempat wisata ini menawarkan rekreasi berkonsep pedesaan yang ada di Kota Semarang. Meskipun berkonsep pedesaan, lokasinya tidak jauh dari pusat kota. Dan objek wisata yang sudah lama berdiri ini, masih tetap diminati oleh wisatawan.</t>
  </si>
  <si>
    <t>{'lat': -7.0205245, 'lng': 110.3754605}</t>
  </si>
  <si>
    <t>Hutan Wisata Tinjomoyo Semarang</t>
  </si>
  <si>
    <t>Awalnya taman wisata hutan Tinjomoyo Semarang (smg) ini merupakan sebuah kebun binatang dengan ragam binatang hutan di dalamnya. Namun terjadi banjir besar, hingga memutuskan jembatan besar yang menjadi akses utama menuju hutan wisata. Hutan Tinjomoyo sendiri memiliki kontur wilayah dengan perpaduan bukit, sungai dan hutan. Tumbuhan yang paling banyak terdapat di sini adalah vegetasi pohon jati serta pinus. Oleh karena itu, tak heran jika kawasan ini cocok sekali dijadikan hutan wisata yang masih alami.Dengan luas lahan 57,5 hektare area tersebut lebih sering dimanfaatkan sebagai tempat berkemah</t>
  </si>
  <si>
    <t>{'lat': -7.0296837, 'lng': 110.3999611}</t>
  </si>
  <si>
    <t>Taman Kasmaran</t>
  </si>
  <si>
    <t>Taman Kasmaran terletak di sebelah kiri Pasar Bunga. Gedung food court dan Taman Kasmaran dibangun dua lantai. Lantai bawah utuk spot dijadikan wisata kuliner, sementara lantai atas menjadi taman. Tidak sekadar taman biasa, Taman Kasmaran itu dilengkapi dengan pemandangan yang amat menarik dengan background Kampung Pelangi. Taman Kasmaran cukup luas, dilengkapi perabotan kursi dan meja ala kafe. Lokasi baru ini diyakini akan menjadi spot alternatif selfie terbaru di Kota Semarang.</t>
  </si>
  <si>
    <t>{'lat': -6.9909404, 'lng': 110.4065932}</t>
  </si>
  <si>
    <t>Pantai Baruna</t>
  </si>
  <si>
    <t>kunjungi Pantai Baruna yang berada di Kota Semarang, Jawa Tengah! Pantai yang satu ini akan memberikan pengalaman wisata yang berbeda. Pasalnya, di sini tidak ada hamparan pasir. Memang Pantai Baruna merupakan objek wisata ‘tidak resmi’ milik Kota Semarang. Pantai ini berada di belakang kawasan pabrik semen. Sehingga tidak ada kepadatan wisatawan atau tempat berselancar di sini. Yang ada hanyalah hamparan padang rumput dan ilalang di hadapan Laut Jawa yang tenang.</t>
  </si>
  <si>
    <t>{'lat': -6.945105199999999, 'lng': 110.3982398}</t>
  </si>
  <si>
    <t>Pantai Marina</t>
  </si>
  <si>
    <t xml:space="preserve">Pantai Marina (bahasa Jawa: ꦥꦱꦶꦱꦶꦂ​ꦩꦫꦶꦤ, translit. Pasisir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 Hasil reklamasi dari hutan bakau ini, sekarang berupa perumahan, pertokoan, dan perkantoran, di sebelah selatan pantai.
</t>
  </si>
  <si>
    <t>{'lat': -6.948877, 'lng': 110.3893285}</t>
  </si>
  <si>
    <t>Kampoeng Djadhoel Semarang</t>
  </si>
  <si>
    <t>Kampoeng Djadhoel terletak di Kampung Batik Semarang tepatnya di Kampung Batik Tengah RT 04/ RW 02 Kelurahan Rejomulyo, Kecamatan Semarang Timur. Penamaan Kampoeng Djadhoel ini tercetus sejak 18 Desember 2016 oleh Ignatius Luwiyanto (50) warga Kampung Batik Tengah. Sejarah Indonesia menjadi latar belakang penamaan KampoengDjadhoel.</t>
  </si>
  <si>
    <t>{'lat': -6.968773100000001, 'lng': 110.4319505}</t>
  </si>
  <si>
    <t>Indonesia Kaya Park</t>
  </si>
  <si>
    <t>Lokasi Taman Indonesia Kaya yang berada di pusat kota Semarang, membuat taman seluas 5.000 meter persegi ini bisa difungsikan sebagai wadah berkesenian komunitas seniman Jawa Tengah. Di sini ada Panggung Budaya yang dibangun dengan dua sisi yang semuanya bisa digunakan. Lalu ada Taman Pandawa Lima yang dibuat oleh Komroden Haro, Pelataran Penikmat Seni, Amphitheater, Area Hijau, Gerbang Mural karya lima seniman muda Semarang, dan tak ketinggalan ada Air Mancur Menari. Air Mancur Menari ini dibangun oleh Pemerintah Kota Semarang yang dapat bergerak mengikuti alunan musik klasik dan lagu-lagu perjuangan Indonesia. Air Mancur Menari tersebut dijadwalkan akan menyala setiap hari pada pukul 19.00 - 20.00 dan sampai pukul 21.00 di akhir pekan.</t>
  </si>
  <si>
    <t>{'lat': -6.992350699999998, 'lng': 110.4201162}</t>
  </si>
  <si>
    <t>Taman Pandanaran</t>
  </si>
  <si>
    <t>Dalam sejarah yang tercatat, dulunya tempat ini merupakan kawasan SPBU yang tak begitu laku. Bekas SPBU tersebut dirombak total menjadi sebuah taman. Konon, luas tanah 600 meter persegi tersebut direnovasi menjadi taman dengan dana sekitar Rp1,8 M. Taman Pandanaran ini beralamatkan di Jalan Pandanaran, Mugassari, Semarang Selatan. Tepatnya, berada di pertigaan antara Jalan Pandanaran dan Jalan MH.Thamrin. Sayangnya, untuk mendapatkan parkir di sini cukup susah. Beberapa pengunjung bahkan harus memarkirkan kendaraannya di depan warung makan di sekitaran taman.</t>
  </si>
  <si>
    <t>{'lat': -6.987793600000001, 'lng': 110.4172262}</t>
  </si>
  <si>
    <t>Pura Giri Natha</t>
  </si>
  <si>
    <t>Awal berdirinya Pura Agung Giri Natha tidak terlepas dari hadirnya pemeluk umat Hindu dari berbagai daerah yang mulai berdatangan dan menetap di Semarang. Sebelum menetap, umat Hindu yang ada di Semarang awalnya datang untuk bekerja dan mencari ilmu. Sekitar tahun 1967/1968 para pemeluk agama Hindu yang ada di Semarang mengusulkan kepada pemerintah Semarang, untuk dibangunnya tempat peribadatan. Karena sebelumnya umat Hindu ketika melaksanakan sembahyang lokasinya dari rumah ke rumah. Setuju dengan usulan tersebut, akhirnya pemerintah Semarang memberikan pilihan beragam lokasi yang sekira tepat dan pas untuk dibangun sebuah tempat suci yakni pura.</t>
  </si>
  <si>
    <t>{'lat': -6.998475900000001, 'lng': 110.4106468}</t>
  </si>
  <si>
    <t>Wisata Mangrove Tapak</t>
  </si>
  <si>
    <t>Wisata hutan mangrove Semarang hampir tak pernah sepi dikunjungi wisatawan. Tak jarang pengunjung yang datang ke wisata cantik ini baik berswafoto maupun sekedar jalan-jalan menapaik selasar kayu. Obyek ini pun juga instagramable dan pas dibagikan di sosmed, bahkan banyak diburu oleh mereka yang berkecimpung di bidang fotografi.</t>
  </si>
  <si>
    <t>{'lat': -6.968561800000001, 'lng': 110.3459696}</t>
  </si>
  <si>
    <t>Pantai Cipta</t>
  </si>
  <si>
    <t xml:space="preserve">Pantai Cipta juga dikenal sebagai Pantai Petikemas, karena jarak dan letaknya dekat dengan Pantai Petikemas. Tempat wisata di semarang Pantai Cipta hanya memiliki sedikit hamparan pasir dan didominasi bebatuan. Pantai Cipta menjadi satu destinasi wisata favorit bagi warga Semarang karena mempunyai keunikan dari pemandangan hingga lingkungan sekitarnya. Berfoto selfie menjadi kegiatan utama di pantai tersebut karena banyak spot menarik yang bisa diabadikan. Pada akhir pekan atau hari libur panjang, para wisatawan sering memenuhi Pantai Cipta untuk sekedar melihat pemandangan pantai. Namun pantai Cipta ini memiliki ombak yang tenang, sehingga aman digunakan untuk berenang. Dipantai Cipta sendiri terdapat banyak ilalang yang menambah indah pemandangan dan menjadi surga para pemburu selfie. Keberadaan ilalang inilah yang menjadi daya tarik para pengunjung untuk datang ke pantai Cipta hanya sekedar untuk berselfie.
</t>
  </si>
  <si>
    <t>{'lat': -6.9486402, 'lng': 110.4102923}</t>
  </si>
  <si>
    <t>Old City 3D Trick Art Museum</t>
  </si>
  <si>
    <t>Destinasi wisata kekinian satu ini memang tengah naik daun di banyak kota termasuk Semarang. Salah satunya Old City 3D Trick Art Museum, museum dengan tema Seni 3 Dimensi yang menyuguhkan sensasi berbeda dari museum biasa. Karena di dalamnya dipamerkan aneka karya seni 3 dimensi yang atraktif untuk berfoto. Destinasi wisata ini masih terus ramai kunjungan lantaran terus berinovasi. Setiap 3 bulan sekali, pihak pengelola akan mengganti tema atau instalasi karya seninya sehingga pengunjung bisa datang berkali-kali tanpa bosan.</t>
  </si>
  <si>
    <t>{'lat': -6.968406400000001, 'lng': 110.4261995}</t>
  </si>
  <si>
    <t>GPIB Immanuel Semarang (Gereja Blenduk)</t>
  </si>
  <si>
    <t xml:space="preserve">GPIB Immanuel Semarang (populer dengan nama Gereja Blenduk, kadang-kadang dieja Gereja Blendug, dan sering kali dilafazkan sebagai mBlendhug) (bahasa Jawa: ꦒꦿꦺꦗ​ꦧ꧀ꦭꦼꦤ꧀ꦝꦸꦏ꧀, translit. Gréja Blendhuk) adalah Gereja Kristen tertua di Jawa Tengah yang dibangun oleh masyarakat Belanda yang tinggal di kota itu pada 1753, dengan bentuk oktagonal (persegi delapan). Gereja ini sesungguhnya bernama Gereja GPIB Immanuel, di Jl. Letjend. Suprapto 32. Kubahnya besar, dilapisi perunggu, dan di dalamnya terdapat sebuah orgel Barok. Arsitektur di dalamnya dibuat berdasarkan salib Yunani. Gereja ini direnovasi pada 1894 oleh W. Westmaas dan H.P.A. de Wilde, yang menambahkan kedua menara di depan gedung gereja ini. Nama Blenduk adalah julukan dari masyarakat setempat yang berarti kubah. Gereja ini hingga sekarang masih dipergunakan setiap hari Minggu. Di sekitar gereja ini juga terdapat sejumlah bangunan lain dari masa kolonial Belanda.
</t>
  </si>
  <si>
    <t>{'lat': -6.968348799999999, 'lng': 110.4274767}</t>
  </si>
  <si>
    <t>Taman Srigunting</t>
  </si>
  <si>
    <t xml:space="preserve">Merupakan salah satu landmark di Kawasan Kota Lama Semarang, Taman Srigunting pada masa kolonial belanda berwujud parade plein untuk panggung parade, kini menjadi sebuah ruang terbuka berupa taman yang menjadi salah satu tempat untuk berkumpul atau berkegiatan komunitas. Taman Srigunting berada di Jalan Letjen Suprapto 32 Kawasan Kota Lama, di sisi selatan terdapat Gedung Marba, di barat daya terdapat Gedung Jiwasraya, di sisi barat terdapat Gereja Blenduk serta di sisi timur terdapat Gedung Kerta Niaga. Taman ini beberapa kali mengalami renovasi, seperti pada tahun 2001 dan tahun 2004. Pada tahun 2001, Taman Srigunting dikembalikan pada fungsi raung terbuka untuk rekreatif, setelah sebelumnya merupakan taman pasif. Pada tahun 2004 renovasi taman ini dengan membuat jalan masuk pada masing-masing sisi, hingga terdapat empat jalan masuk. Dan di tengah tengah dibuat tiang lampu penerangan yang bercabang empat untuk menerangi empat sisi jalan masuk tersebut.
</t>
  </si>
  <si>
    <t>{'lat': -6.9681728, 'lng': 110.4278262}</t>
  </si>
  <si>
    <t>Semarang Contemporary Art Gallery</t>
  </si>
  <si>
    <t>Salah satu wisata yang berbau seni di Semarang bisa kamu temukan di kawasan Kota Lama yakni Semarang Contemporary Art Gallery atau lebih mudahnya disebut sebagai Galsem yang berarti Galeri Semarang. Semarang Gallery ini adalah salah satu museum seni yang cukup terkenal dan sampai saat ini masih sangat populer di kalangan wisatawan terutama para pecinta seni. Karya-karya seni yang dipamerkan disini merupakan hasil tangan dingin para seniman handal dari seluruh penjuru Nusantara.</t>
  </si>
  <si>
    <t>{'lat': -6.967499999999999, 'lng': 110.4282}</t>
  </si>
  <si>
    <t>Umbul Sidomukti</t>
  </si>
  <si>
    <t>Kawasan wisata umbul Sidomukti merupakan salah satu Wisata Alam Pegunungan di Semarang, berada di Desa Sidomukti Kecamatan Bandungan Kabupaten Semarang. Kawasan wisata ini dengan didukung fasiltas &amp; Servis: Outbond Training, Adrenalin Games, Taman Renang Alam, Camping Ground, Pondok Wisata, Pondok Lesehan, serta Meeting Room.</t>
  </si>
  <si>
    <t>{'lat': -7.1945903, 'lng': 110.3733583}</t>
  </si>
  <si>
    <t>Saloka Theme Park</t>
  </si>
  <si>
    <t>SALOKA hadir sebagai taman rekreasi terbesar di Tengah Jawa yang masuk dalam daftar destinasi wisata Pesona Indonesia, serta mengusung konsep kearifan lokal berdasarkan legenda rakyat Baru Klinthing.</t>
  </si>
  <si>
    <t>{'lat': -7.280726200000001, 'lng': 110.4595539}</t>
  </si>
  <si>
    <t>Wisata Alam Wana Wisata Penggaron</t>
  </si>
  <si>
    <t>Berada sekitar 2 KM dari Kota Ungaran atau sekitar 18 KM dari Kota Semarang, Kawasan Wana Wisata Penggaron secara administratif berada di Desa Susukan, Kecamatan Ungaran, Kabupaten semarang. Area ini merupakan salah satu hutan binaan Kesatuan Bisnis Mandiri Wisata, Benih dan Usaha Lain (KBM WBU I) Perum Perhutani Unit I Jateng. Wana Wisata Penggaron atau Wisata Alam Wana Wisata Penggaron merupakan sebuah tempat wisata hutan yang bisa anda gunakan untuk berlibur bersama keluarga anda, salah satunya untuk camping. Tempat ini banyak di jadikan sebagai tempat untuk camping atau berlibur oleh masyarakat Semarang. Wana Wisata Penggaron sebuah hutan yang eksotis, sayangnya surga di kota semarang ini jarang tersentuh mata. Bagi pengunjung yang bertanya kepada penjaga loket, dengan jawaban yang sederhana dan apa adanya “hutan biasa yang sering dipake kemah, tidak ada yang istimewa”, tentunya akan merasa kecewa.</t>
  </si>
  <si>
    <t>{'lat': -7.115796899999999, 'lng': 110.4217966}</t>
  </si>
  <si>
    <t>Masjid Kapal Semarang</t>
  </si>
  <si>
    <t>Masjid Safinatun Najah atau pengunjung biasa menyebutnya dengan Masjid Kapal Semarang kini menjadi wisata religi yang ramai dikunjungi saat bulan Ramadan. Masjid yang berlokasi di berlokasi di Jalan Kyai Padak, Podorejo, Kec. Ngaliyan, Kota Semarang mulai ramai didatangi pengunjung saat menjelang buka puasa. Umumnya tujuan utama mereka yang datang kesini untuk beribadah, selain itu juga ada yang berburu foto serta berkuliner di sekitar kawasan masjid.</t>
  </si>
  <si>
    <t>{'lat': -7.018778199999999, 'lng': 110.2937134}</t>
  </si>
  <si>
    <t>Taman Bunga Celosia</t>
  </si>
  <si>
    <t>Wisata Semarang menawarkan berbagai tempat wisata menarik. Salah satunya yaitu berkunjung ke Taman Bunga Celosia Bandungan. Lokasinya berada di kaki Gunung Ungaran, Semarang. Menawarkan pemandangan sekitar yang alami dengan panorama pegunungan Ungaran merupakan daya tarik utama taman rekreasi ini. Begitu sampai di sini area parkir yang luas langsung menyambut dan tak ketinggalan gapura selamat datang. Sepanjang perjalanan menuju ke loket tiket, terdapat pagar berbentuk pensil raksasa warna warni. Sebagai tambahan di sekitar pagar terdapat bunga warna-warni yang menghiasi perjalanan menuju loket masuk.</t>
  </si>
  <si>
    <t>{'lat': -7.225504099999998, 'lng': 110.3463166}</t>
  </si>
  <si>
    <t>Air Terjun Kali Pancur</t>
  </si>
  <si>
    <t>Kali Pancur Getasan merupakan kawasan wisata alam Air Terjun Kali Pancur ini berada di Desa Nogosaren, Kecamatan Getasan, Kabupaten Semarang, sekitar 14 km sebelah barat Kota Salatiga. Untuk menuju ke lokasi objek wisata ini tidak ada sarana transportasi umum, jadi harus membawa kendaraan sendiri.</t>
  </si>
  <si>
    <t>{'lat': -7.358096300000001, 'lng': 110.4210681}</t>
  </si>
  <si>
    <t>Wisata Kampung Krisan Clapar</t>
  </si>
  <si>
    <t>Wisata Kampung Krisan Gemah Ripah di Dusun Clapar Desa Duren Kecamatan Bandungan Kabupaten Semarang bisa jadi altenatif liburan. Di tempat ini terhampar kebun bunga warna warni yang memesona. Itu adalah kompleks wisata perkebunan bunga krisan beragam varietas. Setidaknya ada 20 varietas yang dikembangkan oleh Kelompok Tani Gemah Ripah sejak dua tahun terakhir ini. Dan objek tersebut mulai dibuka untuk umum sebagai jujukan wisatawan pada 6 November 2016. Di atas lahan terasering seluas sekitar 12 hektar itu, Anda bakal diajak berkeliling di kebun bunga krisan yang khusus untuk kunjungan wisatawan di luasan lahan 6,5 hektar. Setidaknya ada 3 kebun yang disiapkan pihak pengelola untuk pengunjung.</t>
  </si>
  <si>
    <t>{'lat': -7.214158199999999, 'lng': 110.3769541}</t>
  </si>
  <si>
    <t>Danau Rawa Pening</t>
  </si>
  <si>
    <t xml:space="preserve">Rawa Pening (pening adalah salah satu varian bahasa Jawa dari kata "wening" yang artinya hening, tenang, damai) (bahasa Jawa: ꦫꦮ​ꦥꦼꦤꦶꦁ, translit. Rawa Pening) adalah danau alam di Kabupaten Semarang, Jawa Tengah. Dengan luas 2.670 hektare ia menempati wilayah Kecamatan Ambarawa, Bawen, Tuntang, dan Banyubiru.Rawa Pening terletak di cekungan terendah lereng Gunung Merbabu, Gunung Telomoyo, dan Gunung Ungaran. Danau ini dangkal dan menjadi hulu bagi Sungai Tuntang.
</t>
  </si>
  <si>
    <t>{'lat': -7.2854929, 'lng': 110.4321671}</t>
  </si>
  <si>
    <t>Pantai Maron</t>
  </si>
  <si>
    <t>Pantai Maron (bahasa Jawa: ꦥꦱꦶꦱꦶꦂ​ꦩꦫꦺꦴꦤ꧀, translit. Pasisir Maron) yang terletak di sebelah barat Semarang, tepatnya di sekitar muara Sungai Silandak ini, bisa ditempuh dari dua tempat, yaitu dari Bandara Ahmad Yani atau dari Perumahan Graha Padma, Krapyak. Kira-kira berjarak 3 km dari jalan raya kita sudah bisa sampai di lokasi. Jika menggunakan kendaraan bisa ditempuh sekitar 10 menit. Namun jika ingin jalan kaki, dari ujung perumahan Graha Padma saja bisa memakan waktu 30 menit.\nNama Maron sendiri konon karena pantai ini masih merupakan milik Penerbangan TNI Angkatan Darat (Penerbad), karena merah maroon merupakan warna khas baret Penerbad, maka pantai ini disebut Pantai Maron. Memang kurang jelas siapa yang mengelola Pantai Maron. Yang jelas setiap masuk pantai Maron kita cukup membayar 2 ribu rupiah, untuk biaya parkir.\nJika berkunjung ke Pantai Maron pada Sabtu Sore, Minggu Pagi, Minggu Sore, atau hari-hari libur, bisa dipastikan banyak wisatawan dari area Semarang maupun luar kota. Bahkan bisa dikatakan tidak kalah dari jumlah pelancong di Parangtritis, Yogyakarta ataupun Kuta, Bali. Hampir setiap sudut pantai dan warung-warung di tepi pantai penuh oleh pengunjung.</t>
  </si>
  <si>
    <t>{'lat': -6.9545687, 'lng': 110.3600951}</t>
  </si>
  <si>
    <t>Water Blaster Bukit Candi Golf</t>
  </si>
  <si>
    <t>Buat kamu yang bingung mau rekreasi kemana di Semarang, langsung saja ke Water Blaster Semarang. Waterpark yang menyediakan banyak permainan dan atraksi seru yang semuanya layak untuk dicoba. Dengan total lebih dari 20 wahana air yang siap memberikan pengalaman seru buat pecinta tantangan wahana air. Bendulan, Blaster Warior, Jungle Tree, Great Wall sedikit dari puluhan wahana lain yang bisa dimainkan. Tentu semua ditunjang dengan fasilitas yang lengkap seperti Gazebo, Family Gazebo, Vip Court, dll semua ada untuk menambah kenyamanan setiap pengunjung yang akan bermain di Waterpark kota lumpia ini.</t>
  </si>
  <si>
    <t>{'lat': -7.0218894, 'lng': 110.4383345}</t>
  </si>
  <si>
    <t>Waduk Jatibarang</t>
  </si>
  <si>
    <t>Waduk Jatibarang merupakan sebuah waduk yang berada di Kota Semarang. Pembangunan waduk ini selesai setelah sekitar empat tahun pembangunan dan memulai proses pengisian air pada tanggal 5 Mei 2014 bertepatan dengan Hari Air Dunia Ke-22 oleh Menteri Pekerjaan Umum Djoko Kirmanto bersama Gubernur Jawa Tengah Ganjar Pranowo dan Kepala Balai Besar Wilayah Sungai Pemali Juwana Imam Santoso.\nWaduk Jatibarang mulai resmi beroperasi pada 11 Mei 2015. Peresmian tersebut dilakukan oleh Direktur Jenderal Sumber Daya Air Kementerian Pekerjaan Umum dan Perumahan Rakyat, Mudjiadi bertepatan dengan peringatan Hari Air Dunia Ke-23 Tingkat Provinsi Jawa Tengah.\nWaduk Jatibarang mempunyai daya tampung 20,4 juta meter kubik . Selain untuk mengatasi masalah banjir, juga menjadi salah satu destinasi wisata Semarang karena di tengah waduk ini terdapat pulau kecil yang di dalamnya terdapat objek wisata lain yaitu Goa Kreo.</t>
  </si>
  <si>
    <t>{'lat': -7.0370499, 'lng': 110.3477586}</t>
  </si>
  <si>
    <t>Tirto Argo Siwarak</t>
  </si>
  <si>
    <t>Kolam Renang Tirto Argo Siwarak, merupakan kolam renang yang berada di Ungaran. Keberadaannya yang dekat dengan Kota Semarang menjadikan tempat wisata ini cukup populer. Bahkan, tidak jarang wisatawan Semarang dan sekitarnya datang berkunjung. Hadir dengan kolam renang dan taman rekreasi sederhana, justru menjadi daya tarik tersendiri. Terbukti, pengunjung yang datang tidak pernah surut. Bahkan, selalu ada pengunjung dan ramai ketika liburan.</t>
  </si>
  <si>
    <t>{'lat': -7.132106000000001, 'lng': 110.394523}</t>
  </si>
  <si>
    <t>Wisata Lereng Kelir</t>
  </si>
  <si>
    <t>Wisata yang ada di kawasan gunung Kelir ini memang mulai populer sejak awal tahun 2021 dan para wisatawan kerap berbondong-bondong menuju kesana untuk meredam rasa penasaran tentang destinasi baru tersebut. Gunung Kelir memiliki ketinggian lebih dari 2000 mdpl dan wisata Lereng kelir berada diatas ketinggian mencapai 1384 mdpl dan 700mdpl Dari ketinggian tersebut membuat hampir seluruh kawasan kota Ambarawa bisa terlihat dan sebagian kecil wilayah Semarang selatan. Wisata gardu pandang Lereng Kelir memang bisa dikatakan lebih tinggi dari tempat wisata gardu pandang lainnya yang ada di Jawa Tengah.</t>
  </si>
  <si>
    <t>{'lat': -7.3126613, 'lng': 110.3746785}</t>
  </si>
  <si>
    <t>Kampoeng Rawa</t>
  </si>
  <si>
    <t>Kampoeng Rawa (disebut juga Kampung Rawa) adalah objek wisata di Ambarawa, Jawa Tengah, yang terletak di sabuk hijau di sekitar Danau Rawa Pening. Dibuka pada Agustus 2012, tempat ini dimiliki dan dioperasikan oleh dua belas kelompok petani dan nelayan yang didanai oleh Artha Prima Credit Union. Kompleks tersebut dimaksudkan untuk mempengaruhi kesejahteraan petani dan melayani lokal disamping mempromosikan ekologi danau di wilayah tersebut. Fasilitasnya meliputi restoran mengapung, pendopo, pusat kerajinan, tempat memancing, dan dok. Pada hari libur, tempat ini dikunjungi oleh ratusan pengunjung. Kompleks ini disengketakan perizinannya karena dibangun di sabuk hijau dan kemungkinan dampak ekologinya.</t>
  </si>
  <si>
    <t>{'lat': -7.267539000000001, 'lng': 110.418076}</t>
  </si>
  <si>
    <t>Monumen Palagan Ambarawa</t>
  </si>
  <si>
    <t xml:space="preserve">Monumen Palagan Ambarawa adalah sebuah monumen yang terdapat di Ambarawa, Kabupaten Semarang.\nMonumen ini merupakan simbol untuk mengenang sejarah pertempuran Palagan Ambarawa pada tanggal 12 Desember - 15 Desember 1945 Ambarawa. Pasukan Sekutu yang terdesak dari Magelang mengadakan pengunduran ke Ambarawa, dan pasukan TKR yang dipimpin Kolonel Soedirman berhasil menghancurkan Sekutu pada tanggal 15 Desember 1945, di mana kini diperingati sebagai Hari Infanteri.Monumen Palagan Ambarawa dibangun pada tahun 1973 dan diresmikan pada 15 Desember 1974 oleh Presiden Soeharto. Gambaran singkat sejarah pertempuran bisa dilihat pada relief yang dibuat pada dinding Monumen Palagan Ambarawa.\nDi monumen ini Anda dapat menemukan peninggalan pemerintahan Jepang dan Belanda. Anda dapat melihat seragam para tentara Jepang dan Belanda, senjata perang, seragam tentara Indonesia, dan barang bersejarah lain. Untuk ukuran yang agak besar, Anda dapat menemukan beberapa tank kuno, kendaraa angkut personil dan meriam yang digunakan dalam pertempuran tersebut. Yang paling menarik adalah Anda dapat menemukan pesawat Mustang Belanda yang berhasil ditembak jatuh ke dalam Rawa Pening
</t>
  </si>
  <si>
    <t>{'lat': -7.259886099999998, 'lng': 110.4025602}</t>
  </si>
  <si>
    <t>Benteng Pendem</t>
  </si>
  <si>
    <t xml:space="preserve">Benteng Pendem Cilacap (bahasa Belanda: Kustbatterij op de Landtong te Cilacap), adalah benteng peninggalan Belanda di pesisir pantai Teluk Penyu kabupaten Cilacap, Jawa Tengah yang dibangun pada tahun 1861. Bangunan ini merupakan bekas markas pertahanan tentara Hindia Belanda yang dibangun di area seluas 6,5 hektare secara bertahap selama 18 tahun, dari tahun 1861 hingga 1879. Benteng pendem sempat tertutup tanah pesisir pantai dan tidak terurus. Benteng ini kemudian ditemukan dan mulai digali pemerintah Cilacap tahun 1986. Saat ini, pemerintah Kabupaten Cilacap menjadikan benteng ini sebagai tempat wisata sejarah
</t>
  </si>
  <si>
    <t>{'lat': -7.2706462, 'lng': 110.4103291}</t>
  </si>
  <si>
    <t>Wisata Eling Bening</t>
  </si>
  <si>
    <t xml:space="preserve">Sebuah fasilitas wisata yang dikelola dengan cara modern, untuk menimbulkan kenikmatan berwisata seperti halnya yang diinginkan oleh anak-anak muda. Namun tetap menyatu dengan lingkungan, dengan keindahan alam. Tanpa melakukan kerusakan terhadap alam. Fasilitas wisata ini adalah wisata Eling Bening di perbukitan Ngrawan. Eling Bening sejatinya sebuah Restoran yang mengusung konsep wisata keluarga. Eling Bening menawarkan pemandangan alam yang sangat indah dengan view utama Rawa Pening. Keindahan itu disempurnakan lagi dengan  adanya background Gunung Merbabu, Andong dan Telomoyo, yang terlihat berdiri dengan gagah.
</t>
  </si>
  <si>
    <t>{'lat': -7.253109599999999, 'lng': 110.4264512}</t>
  </si>
  <si>
    <t>Gua Maria Kerep Ambarawa</t>
  </si>
  <si>
    <t>Gua Maria Kerep (Gua Maria Kerep Ambarawa, disinglkat GMKA), adalah sebuah tempat ziarah yang terletak di Jalan Tentara Pelajar, Kelurahan Panjang, Ambarawa. Tempat ini adalah tempat yang cukup baik untuk berdoa, berziarah, dan menyegarkan diri. Jaraknya sekitar 500 m dari Terminal Ambarawa. Karena jauh dari jalan raya, maka daerah ini cukup tenang. Dari tempat ini dapat terlihat pemandangan Gunung Telomoyo, Gunung Merbabu, dan Danau Rawa Pening. Gua Maria Kerep memiliki fasilitas bagi para peziarah, antara lain Jalan Salib, Tempat Doa Lesehan, Gereja, dan sebuah taman.</t>
  </si>
  <si>
    <t>{'lat': -7.255236400000001, 'lng': 110.3991897}</t>
  </si>
  <si>
    <t>Museum Kereta Ambarawa</t>
  </si>
  <si>
    <t>Museum Kereta Api Ambarawa (bahasa Inggris: Indonesian Railway Museum, Ambarawa) adalah sebuah stasiun kereta api yang sudah dialihfungsikan menjadi sebuah museum serta merupakan museum perkeretaapian pertama di Indonesia. Museum ini memiliki koleksi kereta api yang pernah berjaya pada zamannya. Museum ini secara administratif berada di Desa Panjang, Ambarawa, Semarang. Museum yang terletak pada ketinggian +474,40 meter ini termasuk dalam Daerah Operasi IV Semarang dan dikelola oleh Unit Pusat Pelestarian dan Desain Arsitektur PT Kereta Api Indonesia bekerja sama dengan Pemerintah Provinsi Jawa Tengah.</t>
  </si>
  <si>
    <t>{'lat': -7.264598899999997, 'lng': 110.4046017}</t>
  </si>
  <si>
    <t>Hutan Pinus Kayon</t>
  </si>
  <si>
    <t>Tak dipungkiri Hutan Pinus Kayon Getasan dekat Salatiga ini memang merupakan salah satu tempat wisata yang indah dan memanjakan mata. Pengunjung akan disuguhkan dengan jajaran hutan pinus yang rapi dan asri. Deretan pohon ini pun memang memikat dan tentunya Hutan pinus Kayon atau disebut Hutan pinus Kalipasang bisa menjadi salah satu alternatif wisata keluarga. Selain disana sudah terbilang komplit, jalan-jalan di dalam hutan pun sudah berupa cor. Dengan demikian, tentunya makin memanjakan pengunjung saat explorasi kawasan wisata ini.</t>
  </si>
  <si>
    <t>{'lat': -7.395606000000001, 'lng': 110.4517727}</t>
  </si>
  <si>
    <t>Kota Lama Semarang</t>
  </si>
  <si>
    <t>Kota Lama Semarang (bahasa Jawa: ꦏꦸꦛ​ꦭꦩ​ꦱꦼꦩꦫꦁ, translit. Kutha Lama Semarang) adalah suatu kawasan di Semarang yang menjadi pusat perdagangan pada abad 19-20 . Pada masa itu, untuk mengamankan warga dan wilayahnya, kawasan itu dibangun benteng, yang dinamai benteng Vijhoek. Untuk mempercepat jalur perhubungan antar ketiga pintu gerbang dibenteng itu maka dibuat jalan-jalan perhubungan, dengan jalan utamanya dinamai: Heeren Straat. Saat ini bernama Jl. Let Jen Soeprapto. Salah satu lokasi pintu benteng yang ada sampai saat ini adalah Jembatan Berok, yang disebut De Zuider Por.\nKawasan Kota Lama Semarang disebut juga Outstadt. Luas kawasan ini sekitar 31 hektare. Dilihat dari kondisi geografi, tampak bahwa kawasan ini terpisah dengan daerah sekitarnya, sehingga tampak seperti kota tersendiri dengan julukan "Little Netherland". Kawasan Kota Lama Semarang ini merupakan saksi bisu sejarah Indonesia masa kolonial Belanda lebih dari 2 abad, dan lokasinya berdampingan dengan kawasan ekonomi. Di tempat ini ada sekitar 50 bangunan kuno yang masih berdiri dengan kukuh dan mempunyai sejarah Kolonialisme di Semarang. Secara umum karakter bangunan di wilayah ini mengikuti bangunan-bangunan di benua Eropa sekitar tahun 1700-an. Hal ini bisa dilihat dari detail bangunan yang khas dan ornamen-ornamen yang identik dengan gaya Eropa. Seperti ukuran pintu dan jendela yang luar biasa besar, penggunaan kaca-kaca berwarna, bentuk atap yang unik, sampai adanya ruang bawah tanah.Seperti kota-kota lainnya yang berada di bawah pemerintahan kolonial Belanda, dibangun pula benteng sebagai pusat militer. Benteng ini berbentuk segi lima dan pertama kali dibangun di sisi barat kota lama Semarang saat ini. Benteng ini hanya memiliki satu gerbang di sisi selatannya dan lima menara pengawas. Masing-masing menara diberinama: Zeeland, Amsterdam, Utrecht, Raamsdonk dan Bunschoten. Pemerintah Belanda memindahkan permukiman Tionghoa pada tahun 1731 di dekat permukiman Belanda, untuk memudahkan penga- wasan terhadap segala aktivitas orang Tionghoa. Oleh sebab itu, Benteng tidak hanya sebagai pusat militer, tetapi juga sebagai menara pengawas bagi segala aktivitas kegiatan orang Tionghoa.\nKota Lama menjadi salah satu ikon primadona bagi warga Kota Semarang sampai Mancanegara turut datang ke Kota Lama ini. Rencananya Kota Lama Semarang akan diajukan oleh Situs Warisan Dunia UNESCO.</t>
  </si>
  <si>
    <t>{'lat': -6.9681399, 'lng': 110.4278611}</t>
  </si>
  <si>
    <t>Semarang Chinatown</t>
  </si>
  <si>
    <t>Terbentuknya Pecinan Semarang tak terlepas dari Geger Pecinan di Batavia (Jakarta tempo dulu) pada 1740. Kala itu warga Tionghoa memberontak pada penguasa Belanda. Buntut dari tragedi tersebut, banyak penduduk keturunan Tiongkok melarikan diri ke sepanjang pantai utara Jawa hingga akhirnya sampai di Semarang. Hingga 1743, pemberontakan masih terus berlangsung hingga akhirnya mampu dihentikan total oleh tentara Belanda. Pemerintah kolonial lantas memutuskan untuk mengumpulkan warga Tionghoa dalam satu lokasi. Setelah sempat menempati daerah Simongan dekat Klenteng Sam Poo Kong, mereka kemudian dipindah ke Kali Semarang hingga akhirnya dikenal sebagai kawasan Pecinan sampai sekarang.</t>
  </si>
  <si>
    <t>{'lat': -6.974992299999999, 'lng': 110.424954}</t>
  </si>
  <si>
    <t>La Kana Chapel</t>
  </si>
  <si>
    <t>La Kana Chapel menawarkan konsep baru standing party, manjakan selera Anda dengan menu memasak langsung spesial masakan segar ala menit di piring Anda. Ini adalah Tempat Pernikahan Kerajaan di Tempat Terindah di Gunung. Bagi Anda yang menginginkan Sentuhan Kemewahan dan Glamour untuk Pesta Outdoor dan Indoor. Kapel La Kana dapat menampung hingga 48 orang di kapel dan 500 lebih di halaman. Dan ballroom dapat menampung 1000 orang</t>
  </si>
  <si>
    <t>{'lat': -7.215692300000001, 'lng': 110.3649392}</t>
  </si>
  <si>
    <t>Jembatan Biru Ambarawa</t>
  </si>
  <si>
    <t>Jembatan ini terletak di Tuntang, Kab. Semarang, Jawa tengah. dekat dengan rawa pening dan Sungai Tuntang. Kalau yang biasa mondar mandir salatiga-semarang, pasti tidak asing dengan yang namanya Jembatan Tuntang. Nah.. Sungai Tuntang ini berada tepat di bawah Jembatan tuntang yang bermuara di Rawa Pening. Bagi pengunjung yang senang berfoto, Wisata Jembatan Biru memiliki beberapa spot foto terbaik, salah satunya adalah di tengah jembatan. Jika beruntung, pengunjung juga akan melihat kereta uap yang melintas di depan tempat Wisata Jembatan Biru. Dari atas jembatan pengunjung juga bisa melihat Gunung Ungaran, Gunung Temoloyo dan juga Gunung Merbabu.</t>
  </si>
  <si>
    <t>{'lat': -7.267820100000002, 'lng': 110.4483217}</t>
  </si>
  <si>
    <t>Goa Rong</t>
  </si>
  <si>
    <t>Semarang memiliki wisata di ketinggian bernama Goa Rong. Keberadaan kawasan wisata ini menunjukkan bahwa Semarang tak hanya identik dengan Lawang Sewu atau Kota Lama saja. Meskipun bernama Goa Rong, tempat yang menonjol di sini bukanlah gua nya. Melainkan daerah ketinggian dengan pemandangan yang menakjubkan. Sementara di objek wisata ini, bagian gua-nya hanya lorong yang sempit dan tidak memungkinkan dimasuki oleh manusia. Namun sebaliknya, pemandangan yang tersaji dari atas bukitnya begitu menakjubkan. Wisatawan dapat menghabiskan waktu dengan berfoto, menikmati pemandangan, atau kuliner di cafe. Bahkan, tersedia juga fasilitas outbond.</t>
  </si>
  <si>
    <t>{'lat': -7.2721621, 'lng': 110.4698457}</t>
  </si>
  <si>
    <t>Masjid Agung Ungaran</t>
  </si>
  <si>
    <t>Masjid Agung Al-Mabrur berlokasi di Jln. Ahmad Yani, Desa Sidomulyo, Kecamatan Ungaran Tibur, Kabupaten Semarang, Provinsi Jawa Tengah. Masjid ini juga menjadi Masjid Agung Bagi Kabupaten Semarang, Ibukota Provinsi Jawa Tengah. Masjid Agung Al-Mabrur juga dikenal sebelumnya dengan Masjid Ikatan Persaudaraan Haji Indonesia (IPHI). Pembangunan masjid ini dimulai pada tahun 2010 silam dengan pendirian yang mengambil lahan seluas 3.200 meter persegi, dengan luas bangunannya sekitar 1.550 persegi. Karena memang ditujukan untuk menjadi Masjid Agung Kota Semarang, maka bangunan masjid ini pun didirikan tepat menghadap Alun-Alun Kota Semarang, atau lebih dikenal sebagai “Alun-Alun Asmara” dan berseberangan dengan Rumah Dinas Bupati Semarang.</t>
  </si>
  <si>
    <t>{'lat': -7.135070499999999, 'lng': 110.4088131}</t>
  </si>
  <si>
    <t>Tugu Muda Semarang</t>
  </si>
  <si>
    <t>Tugu Muda ("Monumen Pemuda" Indonesia) adalah sebuah monumen batu di Semarang, Jawa memperingati perjuangan kemerdekaan oleh pemuda Indonesia. Itu didedikasikan oleh Presiden Sukarno pada 20 Mei 1953 untuk memperingati pertempuran lima hari terus menerus antara pemuda Semarang dan batalyon Jepang yang dipimpin oleh Mayor Kido dari 14-19 Oktober 1945. Pasukan Jepang mengusir Belanda dari Indonesia sebagai "kakak laki-laki Asia"; namun, Jepang lebih kejam terhadap pembangkang daripada rekan-rekan Belanda mereka. Tugu batu tersebut terdiri dari sebuah pondasi, badan dan kepala. Satu sisi tugu dibuat dalam relief, dengan kolam hias dan taman yang mengelilinginya.</t>
  </si>
  <si>
    <t>{'lat': -6.9843485, 'lng': 110.4093207}</t>
  </si>
  <si>
    <t>Kampoeng Kopi Banaran</t>
  </si>
  <si>
    <t>Kampoeng Kopi Banaran, sebuah agro wisata perkebunan kopi di Kabupaten Semarang. Tempat wisata ini memiliki luas 462 hektar yang sebagian dijadikan resort dan tempat wisata. Lokasinya berada di Areal Perkebunan Kopi Kebun Getas Afdeling Assinan tepatnya Jl. Raya Semarang – Solo Km. 35. Lokasi Kampoeng Kopi Banaran yang berada di ketinggian 480 – 600m dpl membuat suhu udara disana sejuk antara 23ºC – 27ºC. Jadi cocok banget buat pelesir mencari udara dingin dan segar dengan pemandangan indah. Menghilangkan penat kesibukan Kota besar, di tengah perkebunan yang asri.</t>
  </si>
  <si>
    <t>{'lat': -7.253900499999999, 'lng': 110.4414953}</t>
  </si>
  <si>
    <t>Taman Tabanas</t>
  </si>
  <si>
    <t>Taman Tabanas merupakan sebuah taman yang letaknya berada di Tanjakan Gombel Semarang. Dari Taman Tabanas Semarang ini pengunjung bisa melihat landscape pemandangan kota Semarang menjadikan Taman Tabanas ini menjadi salah satu daya tarik untuk dikunjungi. Di sekitar Taman Tabanas Semarang ini terdapat Cafe, Resto dan Hotel, yang menambah indah dan menjadi satu daya tarik tersendiri Taman Tabanas Semarang. Taman Tabanas juga memiliki nama Gardu Pandang Gombel Semarang meski warga Semarang sendiri lebih mengnal taman ini dengan nama Taman Tabanas.</t>
  </si>
  <si>
    <t>{'lat': -7.038803199999999, 'lng': 110.4215576}</t>
  </si>
  <si>
    <t>Kampung Tematik Jawi</t>
  </si>
  <si>
    <t>Tak dipungkiri lagi kalau Kampung Jawi Gunungpati Semarang memang sudah viral bahkan banyak dikunjungi masyarakat. Padahal wisata kuliner ini berawal dari kampung kecil, namun kini sudah banyak didatangi baik dari penduduk lokal hingga luar kota. Ketenaran pun kini juga kerap menghiasi lama sosmed. Saat mengunjungi Kampung Jawi Gunungpati ini kamu bisa merasakan atmosfer pedesaan tempo dulu. Selain itu, nuansa malam juga damai dan malam plus pencahayaan yang remang-remang, karena memang pakai lampu Sentir (lampu minyak). Jadi asik banget kalau untuk nongkrong lama-lama.</t>
  </si>
  <si>
    <t>{'lat': -7.029097399999999, 'lng': 110.3775382}</t>
  </si>
  <si>
    <t>Kampung Batik Gedong Semarang</t>
  </si>
  <si>
    <t>Kampung Batik Semarang merupakan salah satu kampung di Kota Semarang yang unik dan menarik yang selalu dikaitkan dengan batik Semarang sejak zaman dulu hingga sekarang. Kampung Batik Semarang ini letaknya ada di seputar daerah Bubagan Semarang. Kampung Batik Semarang dalam sejarah dari tahun 1970 sampai 1980 an, pada saat itu mati total tidak ada aktivitas membatik. Baru kemudian pada tahun 2005 mulai ada kegiatan, hal ini berlangsung karena ada anggapan “kok namanya Kampung Batik Semarang”. Akan tetapi, kok tidak ada orang yang membatik, maka mulailah kegiatan seperti pelatihan membatik sering digalakan, hal ini bertujuan untuk memfasilitasi dan merevitalisasi Kampung Batik Semarang. Pada waktu itu terkenal dengan Batik Krajan, Batik Gedong, Batik Tengah, Batik Malang, Batik Kubur Sari dan Batik Kandang Wedus yang terkenal dengan motifnya sendiri-sendiri. Akan tetapi sayang motif itu tidak terekam secara visual, dan ini sebenarnya menjadi harta karun yang belum ditemukan sampai sekarang visual pada motif batik-batik ini.</t>
  </si>
  <si>
    <t>{'lat': -6.968882100000001, 'lng': 110.4318692}</t>
  </si>
  <si>
    <t>Air Terjun Semirang</t>
  </si>
  <si>
    <t>Terletak di lereng Gunung Ungaran bagian utara, terdapat sebuah air terjun yang eksotis dengan kolam renang yang berwarna hijau yang dikelilingi popohonan dan kesejukan udara pegunungan. Nama lokasi tersebut adalah Air Terjun Semirang atau disebut juga Curug Semirang. Dan masyarakat Semarang menyebutnya dengan Curug Semarang. Karena keindahannya lokasi wisata ini sering dikunjungi oleh para wisatawan pada saat hari-hari biasa, apalagi saat liburan tiba. Air terjun Semirang atau Curug Semirang berada di kawasan hutan lindung dengan luas 10 hektar di bawah pengelolaan perum perhutani. Adapun air terjun ini memiliki ketinggian sekitar 45 meter. Jarak lokasi parkiran dengan lokasi air terjun sekitar 500 meter. Dan selama perjalanan, para pengunjung akan disuguhkan pemandangan alam yang masih asri dengan kesegaran udara yang sangat sejuk.</t>
  </si>
  <si>
    <t>{'lat': -7.166297100000002, 'lng': 110.381068}</t>
  </si>
  <si>
    <t>Obyek Wisata Goa Kreo</t>
  </si>
  <si>
    <t>Goa Kreo Semarang yang berada di ibukota Jawa Tengah ini begitu hit di kalangan netizen. Tak heran jika cuaca cerah, antrian menuju ke sana begitu mengular. Meski tak ada angkutan umum menuju ke sana, tak menghalangi rasa penasaran wisatawan. Gua ini terbentuk secara alami yang membedakan gua ini dengan gua lainnya adalah letaknya. lokasinya terletak di tengah waduk jatibarang, sebuah bendungan yang membendung Sungai Kreo.</t>
  </si>
  <si>
    <t>{'lat': -7.0372113, 'lng': 110.3476164}</t>
  </si>
  <si>
    <t>Watu Gunung Ungaran</t>
  </si>
  <si>
    <t>Objek wisata alam memang sangat cocok dikunjungi, terlebih saat akhir pekan. Ditambah lagi, lokasi objek wisata yang tidak terlalu jauh dari pusat kota. Seperti objek wisata Watu Gunung yang ada di Ungaran, Kota Semarang. Berkunjung ke wisata alam dapat membuat pikiran menjadi segar. Terlebih, objek wisata ini menawarkan wisata alam dan air yang menawan. Selain itu, dipadukan juga dengan nuansa adat Jawa yang khas. Dulunya, kawasan Watu Gunung ini bukanlah suatu objek wisata. Hanya tanah yang ditumbuhi pohon pala dan cengkeh yang lebat. Sayangnya, kawasan tersebut gersang dan susah mendapatkan air. Kemudian, di tahun 2004 sang pemilik berinisiatif untuk mendirikan villa pribadi. Dan lama kelamaan, dibuatlah objek wisata yang dibuka untuk umum. Dengan tetap mempertahankan bangunan joglo sebagai ciri khasnya.</t>
  </si>
  <si>
    <t>{'lat': -7.129806599999999, 'lng': 110.388832}</t>
  </si>
  <si>
    <t>Brown Canyon</t>
  </si>
  <si>
    <t>Di Indonesia, Brown Canyon adalah sebuah bekas penambangan tanah di Meteseh, Tembalang, Semarang. Lokasi ini menjadi salah satu lokasi (bukan tempat wisata) yang populer di Semarang dan dianggap mirip dengan Grand Canyon di Amerika Serikat. Kemiripan ini terletak pada bukit-bukit yang berubah menjadi tebing-tebing curam.</t>
  </si>
  <si>
    <t>{'lat': -7.0565164, 'lng': 110.4862531}</t>
  </si>
  <si>
    <t>Durian Gardens and Tourism Education Watu Simbar</t>
  </si>
  <si>
    <t>Perlu diketahui, watu simbar ini merupakan lokasi wisata yang menawarkan edukasi dari berbagai macam pohon durian. Walaupun terkesan biasa saja, hal tersebut lah yang sebenarnya menjadi keunikan tempat ini. Apabila seseorang datang kemari, orang tersebut akan bisa mempelajari banyak hal tentang pohon durian. Selain bisa mempelejari berbagai macam hal tentang pohon durian tersebut, tentu lah para pengunjung pun bisa membeli durian yang berada disana.</t>
  </si>
  <si>
    <t>{'lat': -7.096707899999999, 'lng': 110.3900517}</t>
  </si>
  <si>
    <t>Flower Farm Setiya Aji</t>
  </si>
  <si>
    <t>Di taman bunga Setiya Aji Flower Farm kita bisa melihat warna-warni bunga krisan yang terlihat sangat cantik. Selain itu lokasinya yang berada di dataran tinggi membuat udara di kebun bunga Bandungan ini terasa cukup segar. Taman bunga Setiya Aji Flower Farm Bandungan ini dalam sekejab menarik perhatian wisatawan, terutama kalangan anak muda yang penasaran ingin melihat keindahan bunga-bunga di tempat wisata Semarang tersebut. Kini Setiya Aji Flower Farm menjadi salah satu tempat wisata favorit di Bandungan yang wajib dikunjungi, terutama bagi wisatawan yang sedang mencari objek wisata romantis di Kabupaten Semarang selain di Gedong Songo.</t>
  </si>
  <si>
    <t>{'lat': -7.2241813, 'lng': 110.3782661}</t>
  </si>
  <si>
    <t>Ciputra Waterpark</t>
  </si>
  <si>
    <t>Ciputra Waterpark Surabaya – Bermain air di waterpark memang bisa menjadi alternatif rekreasi kaum urban di berbagai kota besar. Tidak hanya Jakarta, Surabaya sebagai salah satu kota metropolis di Indonesia juga sudah mulai bergeliat membangun tempat rekreasi keluarga. Salah satunya waterpark yang bisa menjadi tujuan wisata keluarga adalah Ciputra Waterpark Surabaya. Berlokasi di Waterpark Boulevard, Citraland “The Singapore of Surabaya”, Surabaya, waterpark yang berdiri di areal seluas 5 hektar menawarkan beragam aktivitas dan atraksi menarik. Tidak salah jika waterpark yang satu ini mengklaim sebagai water attraction terbesar Indonesia.</t>
  </si>
  <si>
    <t>{'lat': -7.2861707, 'lng': 112.6333338}</t>
  </si>
  <si>
    <t>Museum Kesehatan Dr. Adhyatma</t>
  </si>
  <si>
    <t>Museum Kesehatan Dr. Adhyatma, MPH adalah museum kesehatan yang dirintis Pemerintah indonesia melalui Departemen Kesehatan pada tanggal 16 Desember 2003. Museum Kesehatan Puslitbang Pelayanan dan Tehnologi kesehatan (PUSLITBANG YANTEKKES) diresmikan oleh Menteri Kesehatan pada tanggal 14 September 2004, sehingga diberi nama Museum Kesehatan Dr. Adhyatma, MPH.Museum Kesehatan Dr. Adhyatma, MPH, berlokasi di Jl. Indrapura 17 Surabaya Jawa Timur.</t>
  </si>
  <si>
    <t>{'lat': -7.240327999999999, 'lng': 112.731431}</t>
  </si>
  <si>
    <t>House of Sampoerna</t>
  </si>
  <si>
    <t>House of Sampoerna adalah sebuah museum tembakau dan markas besar Sampoerna yang terletak di Surabaya. Gaya arsitektur dari bangunan utamanya yang dipengaruhi oleh gaya kolonial Belanda dibangun pada 1862 dan sekarang menjadi situs sejarah. Sebelumnya dipakai sebagai panti asuhan yang diurus oleh Belanda, tempat tersebut dibeli pada 1932 oleh Liem Seeng Tee‚ pendiri Sampoerna‚ dengan tujuan dipakai sebagai fasilitas produksi rokok besar pertama Sampoerna.</t>
  </si>
  <si>
    <t>{'lat': -7.230817300000001, 'lng': 112.7342344}</t>
  </si>
  <si>
    <t>Taman Hiburan Rakyat</t>
  </si>
  <si>
    <t>Taman Hiburan Rakyat atau THR tentunya sudah tak asing lagi bagi masyarakat Surabaya. Taman ini berletak di belakang Taman Remaja Surabaya (TRS) dan juga ada di belakang Hi-Tech Mall. THR biasanya digunakan untuk pertunjukan kesenian daerah. Taman ini menjadi ikon Surabaya karena sejarahnya yang cukup menarik.</t>
  </si>
  <si>
    <t>{'lat': -7.252291, 'lng': 112.7520012}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</si>
</sst>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9">
    <font>
      <sz val="10.0"/>
      <color rgb="FF000000"/>
      <name val="Arial"/>
      <scheme val="minor"/>
    </font>
    <font>
      <b/>
      <sz val="10.0"/>
      <color theme="1"/>
      <name val="Arial"/>
      <scheme val="minor"/>
    </font>
    <font>
      <color theme="1"/>
      <name val="Arial"/>
      <scheme val="minor"/>
    </font>
    <font>
      <color theme="1"/>
      <name val="Arial"/>
    </font>
    <font>
      <u/>
      <color rgb="FF0000FF"/>
    </font>
    <font>
      <sz val="9.0"/>
      <color theme="1"/>
      <name val="Arial"/>
    </font>
    <font>
      <u/>
      <color rgb="FF0000FF"/>
      <name val="Arial"/>
    </font>
    <font>
      <sz val="11.0"/>
      <color theme="1"/>
      <name val="Calibri"/>
    </font>
    <font>
      <sz val="9.0"/>
      <color theme="1"/>
      <name val="Anthropic Mono"/>
    </font>
    <font>
      <sz val="10.0"/>
      <color theme="1"/>
      <name val="Arial"/>
      <scheme val="minor"/>
    </font>
    <font>
      <u/>
      <color rgb="FF0000FF"/>
    </font>
    <font>
      <u/>
      <color rgb="FF0000FF"/>
      <name val="Arial"/>
    </font>
    <font>
      <sz val="11.0"/>
      <color rgb="FF000000"/>
      <name val="Calibri"/>
    </font>
    <font>
      <u/>
      <color rgb="FF0000FF"/>
      <name val="Arial"/>
    </font>
    <font>
      <u/>
      <color rgb="FF0000FF"/>
    </font>
    <font>
      <u/>
      <color rgb="FF0000FF"/>
      <name val="Arial"/>
    </font>
    <font>
      <u/>
      <color rgb="FF0000FF"/>
      <name val="Arial"/>
    </font>
    <font>
      <u/>
      <sz val="10.0"/>
      <color rgb="FF0000FF"/>
    </font>
    <font>
      <u/>
      <color rgb="FF0000FF"/>
    </font>
    <font>
      <color rgb="FF000000"/>
      <name val="Arial"/>
    </font>
    <font>
      <sz val="9.0"/>
      <color rgb="FF000000"/>
      <name val="&quot;Anthropic Mono&quot;"/>
    </font>
    <font>
      <sz val="9.0"/>
      <color rgb="FF000000"/>
      <name val="Arial"/>
    </font>
    <font>
      <u/>
      <color rgb="FF0000FF"/>
      <name val="Arial"/>
    </font>
    <font>
      <sz val="10.0"/>
      <color rgb="FF1F1F1F"/>
      <name val="Arial"/>
      <scheme val="minor"/>
    </font>
    <font>
      <sz val="9.0"/>
      <color theme="1"/>
      <name val="Arial"/>
      <scheme val="minor"/>
    </font>
    <font>
      <sz val="9.0"/>
      <color rgb="FF000000"/>
      <name val="Arial"/>
      <scheme val="minor"/>
    </font>
    <font>
      <color rgb="FF000000"/>
      <name val="Arial"/>
      <scheme val="minor"/>
    </font>
    <font>
      <u/>
      <sz val="11.0"/>
      <color rgb="FF000000"/>
      <name val="Calibri"/>
    </font>
    <font>
      <b/>
      <color theme="1"/>
      <name val="Arial"/>
    </font>
  </fonts>
  <fills count="3">
    <fill>
      <patternFill patternType="none"/>
    </fill>
    <fill>
      <patternFill patternType="lightGray"/>
    </fill>
    <fill>
      <patternFill patternType="solid">
        <fgColor rgb="FFA2C4C9"/>
        <bgColor rgb="FFA2C4C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left" vertical="center"/>
    </xf>
    <xf borderId="0" fillId="0" fontId="1" numFmtId="164" xfId="0" applyAlignment="1" applyFont="1" applyNumberFormat="1">
      <alignment horizontal="left" vertical="center"/>
    </xf>
    <xf borderId="0" fillId="0" fontId="1" numFmtId="4" xfId="0" applyAlignment="1" applyFont="1" applyNumberFormat="1">
      <alignment horizontal="left" readingOrder="0" vertical="center"/>
    </xf>
    <xf borderId="0" fillId="0" fontId="1" numFmtId="4" xfId="0" applyAlignment="1" applyFont="1" applyNumberFormat="1">
      <alignment horizontal="left" vertical="center"/>
    </xf>
    <xf borderId="0" fillId="0" fontId="2" numFmtId="0" xfId="0" applyAlignment="1" applyFont="1">
      <alignment readingOrder="0"/>
    </xf>
    <xf borderId="0" fillId="0" fontId="2" numFmtId="0" xfId="0" applyAlignment="1" applyFont="1">
      <alignment horizontal="left" readingOrder="0"/>
    </xf>
    <xf borderId="0" fillId="0" fontId="2" numFmtId="164" xfId="0" applyAlignment="1" applyFont="1" applyNumberFormat="1">
      <alignment horizontal="left" readingOrder="0"/>
    </xf>
    <xf borderId="0" fillId="0" fontId="3" numFmtId="0" xfId="0" applyAlignment="1" applyFont="1">
      <alignment vertical="bottom"/>
    </xf>
    <xf borderId="0" fillId="0" fontId="2" numFmtId="20" xfId="0" applyAlignment="1" applyFont="1" applyNumberFormat="1">
      <alignment horizontal="left" readingOrder="0"/>
    </xf>
    <xf borderId="0" fillId="0" fontId="2" numFmtId="3" xfId="0" applyAlignment="1" applyFont="1" applyNumberFormat="1">
      <alignment readingOrder="0"/>
    </xf>
    <xf borderId="0" fillId="0" fontId="4" numFmtId="0" xfId="0" applyAlignment="1" applyFont="1">
      <alignment readingOrder="0"/>
    </xf>
    <xf borderId="0" fillId="0" fontId="2" numFmtId="0" xfId="0" applyFont="1"/>
    <xf borderId="0" fillId="0" fontId="5" numFmtId="0" xfId="0" applyAlignment="1" applyFont="1">
      <alignment readingOrder="0" vertical="bottom"/>
    </xf>
    <xf borderId="0" fillId="0" fontId="3" numFmtId="0" xfId="0" applyAlignment="1" applyFont="1">
      <alignment horizontal="left" readingOrder="0" vertical="bottom"/>
    </xf>
    <xf borderId="0" fillId="0" fontId="3" numFmtId="0" xfId="0" applyAlignment="1" applyFont="1">
      <alignment horizontal="left" vertical="bottom"/>
    </xf>
    <xf borderId="0" fillId="0" fontId="3" numFmtId="164" xfId="0" applyAlignment="1" applyFont="1" applyNumberFormat="1">
      <alignment horizontal="left" vertical="bottom"/>
    </xf>
    <xf borderId="0" fillId="0" fontId="3" numFmtId="20" xfId="0" applyAlignment="1" applyFont="1" applyNumberFormat="1">
      <alignment horizontal="left" vertical="bottom"/>
    </xf>
    <xf borderId="0" fillId="0" fontId="3" numFmtId="4" xfId="0" applyAlignment="1" applyFont="1" applyNumberFormat="1">
      <alignment vertical="bottom"/>
    </xf>
    <xf borderId="0" fillId="0" fontId="3" numFmtId="3" xfId="0" applyAlignment="1" applyFont="1" applyNumberFormat="1">
      <alignment vertical="bottom"/>
    </xf>
    <xf borderId="0" fillId="0" fontId="3" numFmtId="4" xfId="0" applyFont="1" applyNumberFormat="1"/>
    <xf borderId="0" fillId="0" fontId="6" numFmtId="0" xfId="0" applyAlignment="1" applyFont="1">
      <alignment readingOrder="0" vertical="bottom"/>
    </xf>
    <xf borderId="0" fillId="2" fontId="3" numFmtId="0" xfId="0" applyAlignment="1" applyFill="1" applyFont="1">
      <alignment vertical="bottom"/>
    </xf>
    <xf borderId="0" fillId="0" fontId="7" numFmtId="0" xfId="0" applyAlignment="1" applyFont="1">
      <alignment vertical="bottom"/>
    </xf>
    <xf borderId="0" fillId="0" fontId="8" numFmtId="0" xfId="0" applyAlignment="1" applyFont="1">
      <alignment vertical="bottom"/>
    </xf>
    <xf borderId="0" fillId="0" fontId="3" numFmtId="0" xfId="0" applyAlignment="1" applyFont="1">
      <alignment horizontal="left" vertical="bottom"/>
    </xf>
    <xf borderId="0" fillId="0" fontId="3" numFmtId="0" xfId="0" applyAlignment="1" applyFont="1">
      <alignment readingOrder="0" vertical="bottom"/>
    </xf>
    <xf borderId="0" fillId="0" fontId="9" numFmtId="0" xfId="0" applyAlignment="1" applyFont="1">
      <alignment horizontal="left" readingOrder="0"/>
    </xf>
    <xf borderId="0" fillId="0" fontId="9" numFmtId="164" xfId="0" applyAlignment="1" applyFont="1" applyNumberFormat="1">
      <alignment horizontal="left" readingOrder="0"/>
    </xf>
    <xf borderId="0" fillId="0" fontId="9" numFmtId="0" xfId="0" applyAlignment="1" applyFont="1">
      <alignment horizontal="left"/>
    </xf>
    <xf borderId="0" fillId="0" fontId="9" numFmtId="20" xfId="0" applyAlignment="1" applyFont="1" applyNumberFormat="1">
      <alignment horizontal="left" readingOrder="0"/>
    </xf>
    <xf borderId="0" fillId="0" fontId="9" numFmtId="4" xfId="0" applyAlignment="1" applyFont="1" applyNumberFormat="1">
      <alignment horizontal="left" readingOrder="0"/>
    </xf>
    <xf borderId="0" fillId="0" fontId="9" numFmtId="4" xfId="0" applyAlignment="1" applyFont="1" applyNumberFormat="1">
      <alignment horizontal="left"/>
    </xf>
    <xf borderId="0" fillId="0" fontId="9" numFmtId="4" xfId="0" applyAlignment="1" applyFont="1" applyNumberFormat="1">
      <alignment horizontal="left" vertical="center"/>
    </xf>
    <xf borderId="0" fillId="0" fontId="10" numFmtId="0" xfId="0" applyAlignment="1" applyFont="1">
      <alignment readingOrder="0"/>
    </xf>
    <xf borderId="1" fillId="0" fontId="3" numFmtId="0" xfId="0" applyAlignment="1" applyBorder="1" applyFont="1">
      <alignment vertical="bottom"/>
    </xf>
    <xf borderId="1" fillId="0" fontId="3" numFmtId="0" xfId="0" applyAlignment="1" applyBorder="1" applyFont="1">
      <alignment vertical="bottom"/>
    </xf>
    <xf borderId="1" fillId="0" fontId="3" numFmtId="0" xfId="0" applyAlignment="1" applyBorder="1" applyFont="1">
      <alignment horizontal="left" vertical="bottom"/>
    </xf>
    <xf borderId="0" fillId="0" fontId="3" numFmtId="164" xfId="0" applyAlignment="1" applyFont="1" applyNumberFormat="1">
      <alignment horizontal="left" readingOrder="0" vertical="bottom"/>
    </xf>
    <xf borderId="1" fillId="0" fontId="3" numFmtId="164" xfId="0" applyAlignment="1" applyBorder="1" applyFont="1" applyNumberFormat="1">
      <alignment vertical="bottom"/>
    </xf>
    <xf borderId="1" fillId="0" fontId="3" numFmtId="20" xfId="0" applyAlignment="1" applyBorder="1" applyFont="1" applyNumberFormat="1">
      <alignment horizontal="left" vertical="bottom"/>
    </xf>
    <xf borderId="0" fillId="0" fontId="11" numFmtId="4" xfId="0" applyAlignment="1" applyFont="1" applyNumberFormat="1">
      <alignment readingOrder="0" vertical="bottom"/>
    </xf>
    <xf borderId="0" fillId="0" fontId="3" numFmtId="0" xfId="0" applyAlignment="1" applyFont="1">
      <alignment vertical="bottom"/>
    </xf>
    <xf borderId="1" fillId="0" fontId="3" numFmtId="0" xfId="0" applyAlignment="1" applyBorder="1" applyFont="1">
      <alignment readingOrder="0" vertical="bottom"/>
    </xf>
    <xf borderId="1" fillId="0" fontId="9" numFmtId="0" xfId="0" applyAlignment="1" applyBorder="1" applyFont="1">
      <alignment horizontal="left" readingOrder="0"/>
    </xf>
    <xf borderId="1" fillId="0" fontId="9" numFmtId="164" xfId="0" applyAlignment="1" applyBorder="1" applyFont="1" applyNumberFormat="1">
      <alignment horizontal="left" readingOrder="0"/>
    </xf>
    <xf borderId="1" fillId="0" fontId="9" numFmtId="20" xfId="0" applyAlignment="1" applyBorder="1" applyFont="1" applyNumberFormat="1">
      <alignment horizontal="left" readingOrder="0"/>
    </xf>
    <xf borderId="0" fillId="0" fontId="0" numFmtId="4" xfId="0" applyAlignment="1" applyFont="1" applyNumberFormat="1">
      <alignment horizontal="left" readingOrder="0" shrinkToFit="0" vertical="bottom" wrapText="0"/>
    </xf>
    <xf borderId="0" fillId="0" fontId="8" numFmtId="0" xfId="0" applyAlignment="1" applyFont="1">
      <alignment vertical="bottom"/>
    </xf>
    <xf borderId="0" fillId="0" fontId="12" numFmtId="0" xfId="0" applyAlignment="1" applyFont="1">
      <alignment readingOrder="0" shrinkToFit="0" vertical="bottom" wrapText="0"/>
    </xf>
    <xf borderId="0" fillId="0" fontId="12" numFmtId="3" xfId="0" applyAlignment="1" applyFont="1" applyNumberFormat="1">
      <alignment horizontal="right" readingOrder="0" shrinkToFit="0" vertical="bottom" wrapText="0"/>
    </xf>
    <xf borderId="0" fillId="0" fontId="0" numFmtId="0" xfId="0" applyAlignment="1" applyFont="1">
      <alignment horizontal="left" readingOrder="0" shrinkToFit="0" vertical="bottom" wrapText="0"/>
    </xf>
    <xf borderId="0" fillId="0" fontId="5" numFmtId="0" xfId="0" applyAlignment="1" applyFont="1">
      <alignment vertical="bottom"/>
    </xf>
    <xf borderId="1" fillId="2" fontId="3" numFmtId="0" xfId="0" applyAlignment="1" applyBorder="1" applyFont="1">
      <alignment horizontal="left" vertical="bottom"/>
    </xf>
    <xf borderId="1" fillId="2" fontId="3" numFmtId="0" xfId="0" applyAlignment="1" applyBorder="1" applyFont="1">
      <alignment horizontal="left" readingOrder="0" vertical="bottom"/>
    </xf>
    <xf borderId="0" fillId="2" fontId="3" numFmtId="0" xfId="0" applyAlignment="1" applyFont="1">
      <alignment horizontal="left" vertical="bottom"/>
    </xf>
    <xf borderId="1" fillId="2" fontId="3" numFmtId="0" xfId="0" applyAlignment="1" applyBorder="1" applyFont="1">
      <alignment horizontal="left" vertical="bottom"/>
    </xf>
    <xf borderId="0" fillId="2" fontId="3" numFmtId="164" xfId="0" applyAlignment="1" applyFont="1" applyNumberFormat="1">
      <alignment horizontal="left" readingOrder="0" vertical="bottom"/>
    </xf>
    <xf borderId="1" fillId="2" fontId="3" numFmtId="164" xfId="0" applyAlignment="1" applyBorder="1" applyFont="1" applyNumberFormat="1">
      <alignment horizontal="left" vertical="bottom"/>
    </xf>
    <xf borderId="1" fillId="2" fontId="3" numFmtId="20" xfId="0" applyAlignment="1" applyBorder="1" applyFont="1" applyNumberFormat="1">
      <alignment horizontal="left" vertical="bottom"/>
    </xf>
    <xf borderId="0" fillId="2" fontId="3" numFmtId="4" xfId="0" applyAlignment="1" applyFont="1" applyNumberFormat="1">
      <alignment horizontal="left" vertical="bottom"/>
    </xf>
    <xf borderId="0" fillId="2" fontId="3" numFmtId="4" xfId="0" applyAlignment="1" applyFont="1" applyNumberFormat="1">
      <alignment horizontal="left"/>
    </xf>
    <xf borderId="0" fillId="2" fontId="13" numFmtId="4" xfId="0" applyAlignment="1" applyFont="1" applyNumberFormat="1">
      <alignment horizontal="left" readingOrder="0" vertical="bottom"/>
    </xf>
    <xf borderId="0" fillId="2" fontId="3" numFmtId="0" xfId="0" applyAlignment="1" applyFont="1">
      <alignment horizontal="left" vertical="bottom"/>
    </xf>
    <xf borderId="1" fillId="0" fontId="3" numFmtId="0" xfId="0" applyAlignment="1" applyBorder="1" applyFont="1">
      <alignment horizontal="left" vertical="bottom"/>
    </xf>
    <xf borderId="0" fillId="0" fontId="2" numFmtId="0" xfId="0" applyAlignment="1" applyFont="1">
      <alignment horizontal="left"/>
    </xf>
    <xf borderId="0" fillId="0" fontId="2" numFmtId="3" xfId="0" applyAlignment="1" applyFont="1" applyNumberFormat="1">
      <alignment horizontal="left" readingOrder="0"/>
    </xf>
    <xf borderId="0" fillId="0" fontId="14" numFmtId="0" xfId="0" applyAlignment="1" applyFont="1">
      <alignment horizontal="left" readingOrder="0"/>
    </xf>
    <xf borderId="0" fillId="0" fontId="15" numFmtId="4" xfId="0" applyAlignment="1" applyFont="1" applyNumberFormat="1">
      <alignment horizontal="left" readingOrder="0" vertical="bottom"/>
    </xf>
    <xf borderId="0" fillId="0" fontId="8" numFmtId="0" xfId="0" applyAlignment="1" applyFont="1">
      <alignment horizontal="left" readingOrder="0" vertical="bottom"/>
    </xf>
    <xf borderId="0" fillId="0" fontId="3" numFmtId="4" xfId="0" applyAlignment="1" applyFont="1" applyNumberFormat="1">
      <alignment horizontal="left" vertical="bottom"/>
    </xf>
    <xf borderId="0" fillId="0" fontId="3" numFmtId="3" xfId="0" applyAlignment="1" applyFont="1" applyNumberFormat="1">
      <alignment horizontal="left" vertical="bottom"/>
    </xf>
    <xf borderId="0" fillId="0" fontId="3" numFmtId="4" xfId="0" applyAlignment="1" applyFont="1" applyNumberFormat="1">
      <alignment horizontal="left"/>
    </xf>
    <xf borderId="0" fillId="0" fontId="16" numFmtId="0" xfId="0" applyAlignment="1" applyFont="1">
      <alignment horizontal="left" readingOrder="0" vertical="bottom"/>
    </xf>
    <xf borderId="0" fillId="0" fontId="7" numFmtId="0" xfId="0" applyAlignment="1" applyFont="1">
      <alignment horizontal="left" vertical="bottom"/>
    </xf>
    <xf borderId="0" fillId="0" fontId="0" numFmtId="164" xfId="0" applyAlignment="1" applyFont="1" applyNumberFormat="1">
      <alignment horizontal="left" readingOrder="0" shrinkToFit="0" vertical="bottom" wrapText="0"/>
    </xf>
    <xf borderId="0" fillId="0" fontId="0" numFmtId="20" xfId="0" applyAlignment="1" applyFont="1" applyNumberFormat="1">
      <alignment horizontal="left" readingOrder="0" shrinkToFit="0" vertical="bottom" wrapText="0"/>
    </xf>
    <xf borderId="0" fillId="0" fontId="17" numFmtId="4" xfId="0" applyAlignment="1" applyFont="1" applyNumberFormat="1">
      <alignment horizontal="left" readingOrder="0"/>
    </xf>
    <xf borderId="1" fillId="0" fontId="3" numFmtId="0" xfId="0" applyAlignment="1" applyBorder="1" applyFont="1">
      <alignment horizontal="left" readingOrder="0" vertical="bottom"/>
    </xf>
    <xf borderId="0" fillId="0" fontId="0" numFmtId="0" xfId="0" applyAlignment="1" applyFont="1">
      <alignment horizontal="left"/>
    </xf>
    <xf borderId="0" fillId="0" fontId="0" numFmtId="4" xfId="0" applyAlignment="1" applyFont="1" applyNumberFormat="1">
      <alignment horizontal="left" readingOrder="0" vertical="center"/>
    </xf>
    <xf borderId="0" fillId="0" fontId="9" numFmtId="0" xfId="0" applyAlignment="1" applyFont="1">
      <alignment horizontal="left" readingOrder="0" vertical="center"/>
    </xf>
    <xf borderId="0" fillId="0" fontId="9" numFmtId="164" xfId="0" applyAlignment="1" applyFont="1" applyNumberFormat="1">
      <alignment horizontal="left" readingOrder="0" vertical="center"/>
    </xf>
    <xf borderId="0" fillId="0" fontId="9" numFmtId="20" xfId="0" applyAlignment="1" applyFont="1" applyNumberFormat="1">
      <alignment horizontal="left" readingOrder="0" vertical="center"/>
    </xf>
    <xf borderId="0" fillId="0" fontId="9" numFmtId="4" xfId="0" applyAlignment="1" applyFont="1" applyNumberFormat="1">
      <alignment horizontal="left" readingOrder="0" vertical="center"/>
    </xf>
    <xf borderId="0" fillId="2" fontId="2" numFmtId="0" xfId="0" applyAlignment="1" applyFont="1">
      <alignment horizontal="left" readingOrder="0"/>
    </xf>
    <xf borderId="0" fillId="2" fontId="2" numFmtId="164" xfId="0" applyAlignment="1" applyFont="1" applyNumberFormat="1">
      <alignment horizontal="left" readingOrder="0"/>
    </xf>
    <xf borderId="0" fillId="2" fontId="2" numFmtId="20" xfId="0" applyAlignment="1" applyFont="1" applyNumberFormat="1">
      <alignment horizontal="left" readingOrder="0"/>
    </xf>
    <xf borderId="0" fillId="2" fontId="2" numFmtId="3" xfId="0" applyAlignment="1" applyFont="1" applyNumberFormat="1">
      <alignment horizontal="left" readingOrder="0"/>
    </xf>
    <xf borderId="0" fillId="2" fontId="18" numFmtId="0" xfId="0" applyAlignment="1" applyFont="1">
      <alignment horizontal="left" readingOrder="0"/>
    </xf>
    <xf borderId="0" fillId="2" fontId="2" numFmtId="0" xfId="0" applyAlignment="1" applyFont="1">
      <alignment horizontal="left"/>
    </xf>
    <xf borderId="0" fillId="0" fontId="19" numFmtId="0" xfId="0" applyAlignment="1" applyFont="1">
      <alignment horizontal="left" readingOrder="0" shrinkToFit="0" vertical="bottom" wrapText="0"/>
    </xf>
    <xf borderId="0" fillId="0" fontId="20" numFmtId="0" xfId="0" applyAlignment="1" applyFont="1">
      <alignment horizontal="left" readingOrder="0" shrinkToFit="0" vertical="bottom" wrapText="0"/>
    </xf>
    <xf borderId="0" fillId="0" fontId="2" numFmtId="4" xfId="0" applyAlignment="1" applyFont="1" applyNumberFormat="1">
      <alignment readingOrder="0"/>
    </xf>
    <xf borderId="0" fillId="0" fontId="12" numFmtId="4" xfId="0" applyAlignment="1" applyFont="1" applyNumberFormat="1">
      <alignment horizontal="right" readingOrder="0" shrinkToFit="0" vertical="bottom" wrapText="0"/>
    </xf>
    <xf borderId="0" fillId="0" fontId="12" numFmtId="4" xfId="0" applyAlignment="1" applyFont="1" applyNumberFormat="1">
      <alignment readingOrder="0" shrinkToFit="0" vertical="bottom" wrapText="0"/>
    </xf>
    <xf borderId="1" fillId="0" fontId="19" numFmtId="0" xfId="0" applyAlignment="1" applyBorder="1" applyFont="1">
      <alignment readingOrder="0" shrinkToFit="0" vertical="bottom" wrapText="0"/>
    </xf>
    <xf borderId="0" fillId="0" fontId="19" numFmtId="0" xfId="0" applyAlignment="1" applyFont="1">
      <alignment readingOrder="0" shrinkToFit="0" vertical="bottom" wrapText="0"/>
    </xf>
    <xf borderId="0" fillId="0" fontId="21" numFmtId="0" xfId="0" applyAlignment="1" applyFont="1">
      <alignment readingOrder="0" shrinkToFit="0" vertical="bottom" wrapText="0"/>
    </xf>
    <xf borderId="0" fillId="0" fontId="20" numFmtId="0" xfId="0" applyAlignment="1" applyFont="1">
      <alignment readingOrder="0" shrinkToFit="0" vertical="bottom" wrapText="0"/>
    </xf>
    <xf borderId="0" fillId="0" fontId="3" numFmtId="4" xfId="0" applyAlignment="1" applyFont="1" applyNumberFormat="1">
      <alignment readingOrder="0" vertical="bottom"/>
    </xf>
    <xf borderId="0" fillId="0" fontId="3" numFmtId="20" xfId="0" applyAlignment="1" applyFont="1" applyNumberFormat="1">
      <alignment horizontal="left" readingOrder="0" vertical="bottom"/>
    </xf>
    <xf borderId="0" fillId="0" fontId="22" numFmtId="0" xfId="0" applyAlignment="1" applyFont="1">
      <alignment readingOrder="0" vertical="bottom"/>
    </xf>
    <xf borderId="1" fillId="0" fontId="19" numFmtId="0" xfId="0" applyAlignment="1" applyBorder="1" applyFont="1">
      <alignment horizontal="left" readingOrder="0" shrinkToFit="0" vertical="bottom" wrapText="0"/>
    </xf>
    <xf borderId="1" fillId="0" fontId="3" numFmtId="20" xfId="0" applyAlignment="1" applyBorder="1" applyFont="1" applyNumberFormat="1">
      <alignment horizontal="left" readingOrder="0" vertical="bottom"/>
    </xf>
    <xf borderId="0" fillId="0" fontId="23" numFmtId="0" xfId="0" applyAlignment="1" applyFont="1">
      <alignment horizontal="left" readingOrder="0"/>
    </xf>
    <xf borderId="0" fillId="0" fontId="0" numFmtId="4" xfId="0" applyAlignment="1" applyFont="1" applyNumberFormat="1">
      <alignment horizontal="left" shrinkToFit="0" vertical="bottom" wrapText="0"/>
    </xf>
    <xf borderId="0" fillId="0" fontId="24" numFmtId="0" xfId="0" applyAlignment="1" applyFont="1">
      <alignment horizontal="left"/>
    </xf>
    <xf borderId="0" fillId="0" fontId="24" numFmtId="164" xfId="0" applyAlignment="1" applyFont="1" applyNumberFormat="1">
      <alignment horizontal="left" readingOrder="0"/>
    </xf>
    <xf borderId="0" fillId="0" fontId="0" numFmtId="0" xfId="0" applyAlignment="1" applyFont="1">
      <alignment horizontal="left" readingOrder="0"/>
    </xf>
    <xf borderId="0" fillId="0" fontId="0" numFmtId="164" xfId="0" applyAlignment="1" applyFont="1" applyNumberFormat="1">
      <alignment horizontal="left" readingOrder="0"/>
    </xf>
    <xf borderId="0" fillId="0" fontId="0" numFmtId="20" xfId="0" applyAlignment="1" applyFont="1" applyNumberFormat="1">
      <alignment horizontal="left" readingOrder="0"/>
    </xf>
    <xf borderId="0" fillId="0" fontId="0" numFmtId="4" xfId="0" applyAlignment="1" applyFont="1" applyNumberFormat="1">
      <alignment horizontal="left" readingOrder="0"/>
    </xf>
    <xf borderId="0" fillId="0" fontId="25" numFmtId="164" xfId="0" applyAlignment="1" applyFont="1" applyNumberFormat="1">
      <alignment horizontal="left" readingOrder="0"/>
    </xf>
    <xf borderId="0" fillId="0" fontId="25" numFmtId="0" xfId="0" applyAlignment="1" applyFont="1">
      <alignment horizontal="left"/>
    </xf>
    <xf borderId="0" fillId="2" fontId="0" numFmtId="0" xfId="0" applyAlignment="1" applyFont="1">
      <alignment horizontal="left"/>
    </xf>
    <xf borderId="0" fillId="2" fontId="26" numFmtId="0" xfId="0" applyAlignment="1" applyFont="1">
      <alignment horizontal="left" readingOrder="0"/>
    </xf>
    <xf borderId="0" fillId="2" fontId="21" numFmtId="0" xfId="0" applyAlignment="1" applyFont="1">
      <alignment horizontal="left" readingOrder="0"/>
    </xf>
    <xf borderId="0" fillId="2" fontId="20" numFmtId="0" xfId="0" applyAlignment="1" applyFont="1">
      <alignment horizontal="left" readingOrder="0"/>
    </xf>
    <xf borderId="0" fillId="2" fontId="0" numFmtId="0" xfId="0" applyAlignment="1" applyFont="1">
      <alignment horizontal="left" readingOrder="0"/>
    </xf>
    <xf borderId="0" fillId="2" fontId="26" numFmtId="164" xfId="0" applyAlignment="1" applyFont="1" applyNumberFormat="1">
      <alignment horizontal="left" readingOrder="0"/>
    </xf>
    <xf borderId="0" fillId="2" fontId="26" numFmtId="0" xfId="0" applyAlignment="1" applyFont="1">
      <alignment horizontal="left"/>
    </xf>
    <xf borderId="0" fillId="2" fontId="26" numFmtId="20" xfId="0" applyAlignment="1" applyFont="1" applyNumberFormat="1">
      <alignment horizontal="left" readingOrder="0"/>
    </xf>
    <xf borderId="0" fillId="2" fontId="0" numFmtId="4" xfId="0" applyAlignment="1" applyFont="1" applyNumberFormat="1">
      <alignment horizontal="left" readingOrder="0" vertical="center"/>
    </xf>
    <xf borderId="0" fillId="2" fontId="26" numFmtId="4" xfId="0" applyAlignment="1" applyFont="1" applyNumberFormat="1">
      <alignment horizontal="left" readingOrder="0"/>
    </xf>
    <xf borderId="0" fillId="2" fontId="26" numFmtId="164" xfId="0" applyAlignment="1" applyFont="1" applyNumberFormat="1">
      <alignment horizontal="left"/>
    </xf>
    <xf borderId="0" fillId="2" fontId="12" numFmtId="0" xfId="0" applyAlignment="1" applyFont="1">
      <alignment horizontal="left" readingOrder="0" shrinkToFit="0" vertical="bottom" wrapText="0"/>
    </xf>
    <xf borderId="0" fillId="0" fontId="2" numFmtId="0" xfId="0" applyAlignment="1" applyFont="1">
      <alignment horizontal="center"/>
    </xf>
    <xf borderId="0" fillId="0" fontId="2" numFmtId="164" xfId="0" applyFont="1" applyNumberFormat="1"/>
    <xf borderId="0" fillId="0" fontId="2" numFmtId="4" xfId="0" applyAlignment="1" applyFont="1" applyNumberFormat="1">
      <alignment horizontal="left"/>
    </xf>
    <xf borderId="0" fillId="0" fontId="12" numFmtId="0" xfId="0" applyAlignment="1" applyFont="1">
      <alignment shrinkToFit="0" vertical="bottom" wrapText="0"/>
    </xf>
    <xf borderId="0" fillId="0" fontId="27" numFmtId="0" xfId="0" applyAlignment="1" applyFont="1">
      <alignment readingOrder="0" shrinkToFit="0" vertical="bottom" wrapText="0"/>
    </xf>
    <xf borderId="0" fillId="0" fontId="12" numFmtId="0" xfId="0" applyAlignment="1" applyFont="1">
      <alignment horizontal="right" readingOrder="0" shrinkToFit="0" vertical="bottom" wrapText="0"/>
    </xf>
    <xf borderId="0" fillId="0" fontId="12" numFmtId="164" xfId="0" applyAlignment="1" applyFont="1" applyNumberFormat="1">
      <alignment readingOrder="0" shrinkToFit="0" vertical="bottom" wrapText="0"/>
    </xf>
    <xf borderId="0" fillId="0" fontId="12" numFmtId="0" xfId="0" applyAlignment="1" applyFont="1">
      <alignment horizontal="center" readingOrder="0" shrinkToFit="0" vertical="bottom" wrapText="0"/>
    </xf>
    <xf borderId="0" fillId="0" fontId="28" numFmtId="0" xfId="0" applyAlignment="1" applyFont="1">
      <alignment horizontal="center" vertical="center"/>
    </xf>
    <xf borderId="0" fillId="0" fontId="28" numFmtId="0" xfId="0" applyAlignment="1" applyFont="1">
      <alignment horizontal="center" readingOrder="0" vertical="center"/>
    </xf>
    <xf borderId="0" fillId="0" fontId="2" numFmtId="0" xfId="0" applyAlignment="1" applyFont="1">
      <alignment horizontal="center" readingOrder="0" vertical="center"/>
    </xf>
    <xf borderId="0" fillId="0" fontId="2" numFmtId="164" xfId="0" applyAlignment="1" applyFont="1" applyNumberFormat="1">
      <alignment horizontal="center" readingOrder="0" vertical="center"/>
    </xf>
    <xf borderId="0" fillId="0" fontId="2" numFmtId="20" xfId="0" applyAlignment="1" applyFont="1" applyNumberFormat="1">
      <alignment horizontal="center" readingOrder="0" vertical="center"/>
    </xf>
    <xf borderId="0" fillId="0" fontId="2" numFmtId="3" xfId="0" applyAlignment="1" applyFont="1" applyNumberFormat="1">
      <alignment horizontal="center" readingOrder="0" vertical="center"/>
    </xf>
    <xf borderId="0" fillId="0" fontId="28"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wrapText="1"/>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oogle.com/maps/place/Carpentier+Kitchen/@-7.2850075,112.7362677,17z/data=!3m1!4b1!4m6!3m5!1s0x2dd7fbea561d0f9d:0x351791d80fe14db3!8m2!3d-7.2850075!4d112.7362677!16s%2Fg%2F11bw5wkt42?entry=ttu&amp;g_ep=EgoyMDI2MDYyOS4wIKXMDSoASAFQAw%3D%3D" TargetMode="External"/><Relationship Id="rId194" Type="http://schemas.openxmlformats.org/officeDocument/2006/relationships/hyperlink" Target="https://www.google.com/maps/place/Eco+Wisata+Mangrove+Gunung+Anyar/data=!4m7!3m6!1s0x2dd7f009d2865ff9:0x129ac3af639d83e5!8m2!3d-7.3307707!4d112.8171343!16s%2Fg%2F11c3vwkryn!19sChIJ-V-G0gnw1y0R5YOdY6_DmhI?authuser=0&amp;hl=zh-TW&amp;rclk=1" TargetMode="External"/><Relationship Id="rId193" Type="http://schemas.openxmlformats.org/officeDocument/2006/relationships/hyperlink" Target="https://www.google.com/maps/place/Padin+Ikan+Goreng+-+Bakar+24+Jam/data=!4m7!3m6!1s0x2dd7f9449aa643cb:0x2fc4cd0dfa545b41!8m2!3d-7.2557049!4d112.7323074!16s%2Fg%2F11b6ctqtnv!19sChIJy0OmmkT51y0RQVtU-g3NxC8?authuser=0&amp;hl=zh-TW&amp;rclk=1" TargetMode="External"/><Relationship Id="rId192" Type="http://schemas.openxmlformats.org/officeDocument/2006/relationships/hyperlink" Target="https://www.google.com/maps/place/Kepiting+Cak+Gundul+1992/data=!4m7!3m6!1s0x2dd7fc05f3af1693:0xbcfb91ff145d29b2!8m2!3d-7.2783067!4d112.7078103!16s%2Fg%2F1hm58bbdk!19sChIJkxav8wX81y0RsildFP-R-7w?authuser=0&amp;hl=zh-TW&amp;rclk=1" TargetMode="External"/><Relationship Id="rId191" Type="http://schemas.openxmlformats.org/officeDocument/2006/relationships/hyperlink" Target="https://www.google.com/maps/place/Bakso+Pak+Bakir/data=!4m7!3m6!1s0x2dd7f9793c2456d9:0x5d814beeccef2f28!8m2!3d-7.2597166!4d112.759057!16s%2Fg%2F11f2wq5qn0!19sChIJ2VYkPHn51y0RKC_vzO5LgV0?authuser=0&amp;hl=zh-TW&amp;rclk=1" TargetMode="External"/><Relationship Id="rId187" Type="http://schemas.openxmlformats.org/officeDocument/2006/relationships/hyperlink" Target="https://www.google.com/maps/place/Seafood+Center/data=!4m7!3m6!1s0x2dd7f9ca98d02b41:0x4e86c47c1972b9bb!8m2!3d-7.225576!4d112.7870017!16s%2Fg%2F11b6_vlw8q!19sChIJQSvQmMr51y0Ru7lyGXzEhk4?authuser=0&amp;hl=zh-TW&amp;rclk=1" TargetMode="External"/><Relationship Id="rId186" Type="http://schemas.openxmlformats.org/officeDocument/2006/relationships/hyperlink" Target="https://www.google.com/maps/place/ADA+APA+DENGAN+KOPI+-+AADK+TEGALSARI/data=!4m7!3m6!1s0x2dd7f91f6324b4e5:0x4f37e1b390f62dc7!8m2!3d-7.2655585!4d112.738032!16s%2Fg%2F11jcmf2730!19sChIJ5bQkYx_51y0Rxy32kLPhN08?authuser=0&amp;hl=zh-TW&amp;rclk=1" TargetMode="External"/><Relationship Id="rId185" Type="http://schemas.openxmlformats.org/officeDocument/2006/relationships/hyperlink" Target="https://www.google.com/maps/place/Ayam+Bakar+Primarasa/data=!4m7!3m6!1s0x2dd7fb424d89ca41:0x59c31a204e07b94c!8m2!3d-7.3301425!4d112.730468!16s%2Fg%2F1hm3hdflx!19sChIJQcqJTUL71y0RTLkHTiAaw1k?authuser=0&amp;hl=zh-TW&amp;rclk=1" TargetMode="External"/><Relationship Id="rId184" Type="http://schemas.openxmlformats.org/officeDocument/2006/relationships/hyperlink" Target="https://www.google.com/maps/place/Rawon+Mak+Djahid/data=!4m7!3m6!1s0x2dd7fba227de54c9:0x53a555da059db744!8m2!3d-7.3340383!4d112.7003!16s%2Fg%2F11jvb0jcps!19sChIJyVTeJ6L71y0RRLedBdpVpVM?authuser=0&amp;hl=zh-TW&amp;rclk=1" TargetMode="External"/><Relationship Id="rId189" Type="http://schemas.openxmlformats.org/officeDocument/2006/relationships/hyperlink" Target="https://www.google.com/maps/place/Warung+Penyetan+Pulo/data=!4m7!3m6!1s0x2dd7fb98c20a4549:0xab657ae72c10432e!8m2!3d-7.3007676!4d112.7365916!16s%2Fg%2F11ggb7x4nh!19sChIJSUUKwpj71y0RLkMQLOd6Zas?authuser=0&amp;hl=zh-TW&amp;rclk=1" TargetMode="External"/><Relationship Id="rId188" Type="http://schemas.openxmlformats.org/officeDocument/2006/relationships/hyperlink" Target="https://www.google.com/maps/place/Bakso+Jalil/data=!4m7!3m6!1s0x2dd7f961afed27ad:0xb64fa185662749ee!8m2!3d-7.2649135!4d112.742631!16s%2Fg%2F11cn7td0nk!19sChIJrSftr2H51y0R7kknZoWhT7Y?authuser=0&amp;hl=zh-TW&amp;rclk=1" TargetMode="External"/><Relationship Id="rId183" Type="http://schemas.openxmlformats.org/officeDocument/2006/relationships/hyperlink" Target="https://www.google.com/maps/place/Gubug+Makan+Mang+Engking+Gubeng+Surabaya/data=!4m7!3m6!1s0x2dd7fb27e4e5d3f5:0x1f44be80d59668d1!8m2!3d-7.2671284!4d112.7526298!16s%2Fg%2F11tmdwt8wm!19sChIJ9dPl5Cf71y0R0WiW1YC-RB8?authuser=0&amp;hl=zh-TW&amp;rclk=1" TargetMode="External"/><Relationship Id="rId182" Type="http://schemas.openxmlformats.org/officeDocument/2006/relationships/hyperlink" Target="https://www.google.com/maps/place/Bakso+Pak+Seger+Pirngadi/data=!4m7!3m6!1s0x2dd7f943e65007c7:0x22c94e8dd3c29f05!8m2!3d-7.2527209!4d112.7343977!16s%2Fg%2F11bw4vlns5!19sChIJxwdQ5kP51y0RBZ_C041OySI?authuser=0&amp;hl=zh-TW&amp;rclk=1" TargetMode="External"/><Relationship Id="rId181" Type="http://schemas.openxmlformats.org/officeDocument/2006/relationships/hyperlink" Target="https://www.google.com/maps/place/Andzero/@-7.3045468,112.768486,17z/data=!3m1!4b1!4m6!3m5!1s0x2dd7fb465757cab9:0x5db78d1d288272e5!8m2!3d-7.3045468!4d112.768486!16s%2Fg%2F11v007w6jf?entry=ttu&amp;g_ep=EgoyMDI2MDYyOS4wIKXMDSoASAFQAw%3D%3D" TargetMode="External"/><Relationship Id="rId180" Type="http://schemas.openxmlformats.org/officeDocument/2006/relationships/hyperlink" Target="https://www.google.com/maps/place/Soto+Ayam+Semarang+Pak+No/data=!4m7!3m6!1s0x2dd7f998285945fd:0xf031ef45c468e659!8m2!3d-7.2471077!4d112.7745904!16s%2Fg%2F11b6b9db24!19sChIJ_UVZKJj51y0RWeZoxEXvMfA?authuser=0&amp;hl=zh-TW&amp;rclk=1" TargetMode="External"/><Relationship Id="rId176" Type="http://schemas.openxmlformats.org/officeDocument/2006/relationships/hyperlink" Target="https://www.google.com/maps/place/Warung+Penyetan+%26+pecel+Ponorogo+ss2/data=!4m7!3m6!1s0x2dd7fba999a5b2ab:0xbd62b49574ae884c!8m2!3d-7.305256!4d112.7563467!16s%2Fg%2F11cls665p0!19sChIJq7Klman71y0RTIiudJW0Yr0?authuser=0&amp;hl=zh-TW&amp;rclk=1" TargetMode="External"/><Relationship Id="rId175" Type="http://schemas.openxmlformats.org/officeDocument/2006/relationships/hyperlink" Target="https://www.google.com/maps/place/Artomoro+Sea+Food/data=!4m7!3m6!1s0x2dd7fc143a41ed5f:0x67157a1c4c5a2dab!8m2!3d-7.2853492!4d112.6951792!16s%2Fg%2F11b782ps7x!19sChIJX-1BOhT81y0Rqy1aTBx6FWc?authuser=0&amp;hl=zh-TW&amp;rclk=1" TargetMode="External"/><Relationship Id="rId174" Type="http://schemas.openxmlformats.org/officeDocument/2006/relationships/hyperlink" Target="https://www.google.com/maps/place/Expat.+Roasters+Graha+Famili+Surabaya/data=!4m7!3m6!1s0x2dd7fd0af610f449:0x5f879618081d0d74!8m2!3d-7.2995694!4d112.6974452!16s%2Fg%2F11v06dh82j!19sChIJSfQQ9gr91y0RdA0dCBiWh18?authuser=0&amp;hl=zh-TW&amp;rclk=1" TargetMode="External"/><Relationship Id="rId173" Type="http://schemas.openxmlformats.org/officeDocument/2006/relationships/hyperlink" Target="https://www.google.com/maps/place/Soto+Madura+Wawan/data=!4m7!3m6!1s0x2dd7fb8dcfa9c133:0xa9b69914489621c3!8m2!3d-7.292037!4d112.7247467!16s%2Fg%2F1hm4t1fvt!19sChIJM8Gpz4371y0RwyGWSBSZtqk?authuser=0&amp;hl=zh-TW&amp;rclk=1" TargetMode="External"/><Relationship Id="rId179" Type="http://schemas.openxmlformats.org/officeDocument/2006/relationships/hyperlink" Target="https://www.google.com/maps/place/wantutu.+Pemuda/@-7.2743182,112.7417736,15z/data=!4m10!1m2!2m1!1swantutu.!3m6!1s0x2dd7fb5f07f8e511:0x98a29ed0ecf00015!8m2!3d-7.266522!4d112.7510129!15sCgh3YW50dXR1LloJIgd3YW50dXR1kgELY29mZmVlX3Nob3DgAQA!16s%2Fg%2F11kspznqt8?entry=ttu&amp;g_ep=EgoyMDI2MDYyOS4wIKXMDSoASAFQAw%3D%3D" TargetMode="External"/><Relationship Id="rId178" Type="http://schemas.openxmlformats.org/officeDocument/2006/relationships/hyperlink" Target="https://www.google.com/maps/place/Edu+Wisata+Lontar+Sewu+%28Hendrosari%29/data=!4m7!3m6!1s0x2e78015da9598863:0x1458d5cd0242acfe!8m2!3d-7.2386399!4d112.5835162!16s%2Fg%2F11gxmtbw39!19sChIJY4hZqV0BeC4R_qxCAs3VWBQ?authuser=0&amp;hl=zh-TW&amp;rclk=1" TargetMode="External"/><Relationship Id="rId177" Type="http://schemas.openxmlformats.org/officeDocument/2006/relationships/hyperlink" Target="https://www.google.com/maps/place/Taman+Prestasi+Surabaya/data=!4m7!3m6!1s0x2dd7f966cbf14633:0xa3125b26dcc2d9ea!8m2!3d-7.2614722!4d112.7428284!16s%2Fg%2F11bxfw7cgj!19sChIJM0bxy2b51y0R6tnC3CZbEqM?authuser=0&amp;hl=zh-TW&amp;rclk=1" TargetMode="External"/><Relationship Id="rId198" Type="http://schemas.openxmlformats.org/officeDocument/2006/relationships/hyperlink" Target="https://www.google.com/maps/place/Soto+Daging+Cak+Toha/data=!4m7!3m6!1s0x2dd7fbcaf4f2a8d3:0xa770cb2e964e3ae9!8m2!3d-7.2847504!4d112.7601806!16s%2Fg%2F11c5sr03c7!19sChIJ06jy9Mr71y0R6TpOli7LcKc?authuser=0&amp;hl=zh-TW&amp;rclk=1" TargetMode="External"/><Relationship Id="rId197" Type="http://schemas.openxmlformats.org/officeDocument/2006/relationships/hyperlink" Target="https://www.google.com/maps/place/Nasi+Pecel+Bambu+Runcing+Bu+Wuri/@-7.2681392,112.7450797,17z/data=!3m1!4b1!4m6!3m5!1s0x2dd7fbd8b57a8593:0xe21fd0ffaaae6d27!8m2!3d-7.2681392!4d112.7450797!16s%2Fg%2F11c5bkc4n8?entry=ttu&amp;g_ep=EgoyMDI2MDYyOS4wIKXMDSoASAFQAw%3D%3D" TargetMode="External"/><Relationship Id="rId196" Type="http://schemas.openxmlformats.org/officeDocument/2006/relationships/hyperlink" Target="https://www.google.com/maps/place/Sego+Sambel+Mak+Yeye/data=!4m7!3m6!1s0x2dd7fb98a0bb520d:0x1aabc304682113bc!8m2!3d-7.3013703!4d112.7380496!16s%2Fg%2F11bytv2579!19sChIJDVK7oJj71y0RvBMhaATDqxo?authuser=0&amp;hl=zh-TW&amp;rclk=1" TargetMode="External"/><Relationship Id="rId195" Type="http://schemas.openxmlformats.org/officeDocument/2006/relationships/hyperlink" Target="https://www.google.com/maps/place/Taman+Bermain+Bintang+Diponggo/data=!4m7!3m6!1s0x2dd7fbf4b7611525:0xd9fd995a66848a3b!8m2!3d-7.2876348!4d112.7199438!16s%2Fg%2F11gb3ztn0z!19sChIJJRVht_T71y0RO4qEZlqZ_dk?authuser=0&amp;hl=zh-TW&amp;rclk=1" TargetMode="External"/><Relationship Id="rId199" Type="http://schemas.openxmlformats.org/officeDocument/2006/relationships/hyperlink" Target="https://www.google.com/maps/place/AREK+Coffee+%26+Eatery/@-7.2577318,112.7370745,17z/data=!3m1!4b1!4m6!3m5!1s0x2dd7f9feb5cc4c33:0xc9a47c349a4d2373!8m2!3d-7.2577318!4d112.7370745!16s%2Fg%2F11vc0ctmqh?entry=ttu&amp;g_ep=EgoyMDI2MDYyOS4wIKXMDSoASAFQAw%3D%3D" TargetMode="External"/><Relationship Id="rId150" Type="http://schemas.openxmlformats.org/officeDocument/2006/relationships/hyperlink" Target="https://www.google.com/maps/place/Depot+mie+dan+lemper+special+168/data=!4m7!3m6!1s0x2dd7f96417e1d7df:0xbf3cc3f2dfbff286!8m2!3d-7.2602441!4d112.7445893!16s%2Fg%2F1hc77cqmg!19sChIJ39fhF2T51y0RhvK_3_LDPL8?authuser=0&amp;hl=zh-TW&amp;rclk=1" TargetMode="External"/><Relationship Id="rId392" Type="http://schemas.openxmlformats.org/officeDocument/2006/relationships/hyperlink" Target="https://www.google.com/maps/place/Sari+Laut+Kapasan+Cabang+Rungkut/data=!4m7!3m6!1s0x2dd7fac49828b0eb:0xf341ded3cca16770!8m2!3d-7.3310734!4d112.7735633!16s%2Fg%2F11dyzdch37!19sChIJ67AomMT61y0RcGehzNPeQfM?authuser=0&amp;hl=zh-TW&amp;rclk=1" TargetMode="External"/><Relationship Id="rId391" Type="http://schemas.openxmlformats.org/officeDocument/2006/relationships/hyperlink" Target="https://www.google.com/maps/place/Pangsit+Mie+Ayam+BMW/data=!4m7!3m6!1s0x2dd7f979823d7407:0xb00ed97d2340f685!8m2!3d-7.2585661!4d112.7575006!16s%2Fg%2F11b6bc8tnd!19sChIJB3Q9gnn51y0RhfZAI33ZDrA?authuser=0&amp;hl=zh-TW&amp;rclk=1" TargetMode="External"/><Relationship Id="rId390" Type="http://schemas.openxmlformats.org/officeDocument/2006/relationships/hyperlink" Target="https://www.google.com/maps/place/Dapur+Fizzul+%28Surabaya%29+-+Spesialis+Ikan+Kuah+Kuning+Kenari+%26+Papeda+No+1+di+Dunia/data=!4m7!3m6!1s0x2dd7fb5d013c8d39:0x4079c2499408aefc!8m2!3d-7.2670573!4d112.7611443!16s%2Fg%2F11vlt3q20h!19sChIJOY08AV371y0R_K4IlEnCeUA?authuser=0&amp;hl=zh-TW&amp;rclk=1" TargetMode="External"/><Relationship Id="rId1" Type="http://schemas.openxmlformats.org/officeDocument/2006/relationships/hyperlink" Target="https://www.google.com/maps/place/Firstfloor+Coffee/data=!4m7!3m6!1s0x2dd7f917b5dc05eb:0x37540165efe74421!8m2!3d-7.2598901!4d112.7393419!16s%2Fg%2F11lnmwdcj9!19sChIJ6wXctRf51y0RIUTn72UBVDc?authuser=0&amp;hl=zh-TW&amp;rclk=1" TargetMode="External"/><Relationship Id="rId2" Type="http://schemas.openxmlformats.org/officeDocument/2006/relationships/hyperlink" Target="https://www.google.com/maps/place/ONNI+House+Surabaya/data=!4m7!3m6!1s0x2dd7fbec9d70db87:0x13b94624fef33e59!8m2!3d-7.2858283!4d112.7331216!16s%2Fg%2F11bx1yxzkb!19sChIJh9twnez71y0RWT7z_iRGuRM?authuser=0&amp;hl=zh-TW&amp;rclk=1" TargetMode="External"/><Relationship Id="rId3" Type="http://schemas.openxmlformats.org/officeDocument/2006/relationships/hyperlink" Target="https://www.google.com/maps/place/Undaan+Pangsit+Chicken+Noodles/data=!4m7!3m6!1s0x2dd7f969494cb457:0x8ce8227873785b5d!8m2!3d-7.2525207!4d112.7446953!16s%2Fg%2F1hm2wwfjz!19sChIJV7RMSWn51y0RXVt4c3gi6Iw?authuser=0&amp;hl=zh-TW&amp;rclk=1" TargetMode="External"/><Relationship Id="rId149" Type="http://schemas.openxmlformats.org/officeDocument/2006/relationships/hyperlink" Target="https://www.google.com/maps/place/Bakso+Pak+Sabar/data=!4m7!3m6!1s0x2dd7fbb34efd37e9:0x63325eefca8d3d22!8m2!3d-7.2918667!4d112.7623854!16s%2Fg%2F1hm2z5xfv!19sChIJ6Tf9TrP71y0RIj2Nyu9eMmM?authuser=0&amp;hl=zh-TW&amp;rclk=1" TargetMode="External"/><Relationship Id="rId4" Type="http://schemas.openxmlformats.org/officeDocument/2006/relationships/hyperlink" Target="https://www.google.com/maps/place/Bebek+Canggih/data=!4m7!3m6!1s0x2dd7fbc5bfd93de7:0x9a2c9b140a59c8e0!8m2!3d-7.2802789!4d112.7494287!16s%2Fg%2F11b69_r3p7!19sChIJ5z3Zv8X71y0R4MhZChSbLJo?authuser=0&amp;hl=zh-TW&amp;rclk=1" TargetMode="External"/><Relationship Id="rId148" Type="http://schemas.openxmlformats.org/officeDocument/2006/relationships/hyperlink" Target="https://www.google.com/maps/place/Penyetan+Mbak+Sulimah+Pandegiling/data=!4m7!3m6!1s0x2dd7fbe7e4fe8e15:0xc96ca6aba9886a92!8m2!3d-7.2759829!4d112.7360568!16s%2Fg%2F11cn94n982!19sChIJFY7-5Of71y0RkmqIqaumbMk?authuser=0&amp;hl=zh-TW&amp;rclk=1" TargetMode="External"/><Relationship Id="rId9" Type="http://schemas.openxmlformats.org/officeDocument/2006/relationships/hyperlink" Target="https://www.google.com/maps/place/Seafood+Cahaya+86/data=!4m7!3m6!1s0x2dd7fc0f6825d675:0xde02d59b91b9260c!8m2!3d-7.2748924!4d112.7011636!16s%2Fg%2F11f0kvgs4t!19sChIJddYlaA_81y0RDCa5kZvVAt4?authuser=0&amp;hl=zh-TW&amp;rclk=1" TargetMode="External"/><Relationship Id="rId143" Type="http://schemas.openxmlformats.org/officeDocument/2006/relationships/hyperlink" Target="https://www.google.com/maps/place/Bakso+-+Mie+Ayam+Bang+Nano/data=!4m7!3m6!1s0x2dd7fbf6ea979d45:0x52aaae9a45da3e93!8m2!3d-7.2818207!4d112.719737!16s%2Fg%2F11b6ggsf1q!19sChIJRZ2X6vb71y0Rkz7aRZquqlI?authuser=0&amp;hl=zh-TW&amp;rclk=1" TargetMode="External"/><Relationship Id="rId385" Type="http://schemas.openxmlformats.org/officeDocument/2006/relationships/hyperlink" Target="https://www.google.com/maps/place/Djangkar+Seafood+Surabaya/data=!4m7!3m6!1s0x2dd7f9a8c1238443:0xedde1d0f5ece6eb!8m2!3d-7.2483145!4d112.7504374!16s%2Fg%2F11ycyhlbw5!19sChIJQ4Qjwaj51y0R6-bs9dDh3Q4?authuser=0&amp;hl=zh-TW&amp;rclk=1" TargetMode="External"/><Relationship Id="rId142" Type="http://schemas.openxmlformats.org/officeDocument/2006/relationships/hyperlink" Target="https://www.google.com/maps/place/Es+Teller+Tanjung+Anom/data=!4m7!3m6!1s0x2dd7f961a65c75df:0x477f504dab4a4f4f!8m2!3d-7.2648603!4d112.7429983!16s%2Fg%2F11b6d2vh01!19sChIJ33VcpmH51y0RT09Kq01Qf0c?authuser=0&amp;hl=zh-TW&amp;rclk=1" TargetMode="External"/><Relationship Id="rId384" Type="http://schemas.openxmlformats.org/officeDocument/2006/relationships/hyperlink" Target="https://www.google.com/maps/place/Soto+Tapak+Siring/data=!4m7!3m6!1s0x2dd7f98009fc3719:0xd5269e4a8e8e1ba7!8m2!3d-7.2657187!4d112.7638623!16s%2Fg%2F11bxg5wxhx!19sChIJGTf8CYD51y0RpxuOjkqeJtU?authuser=0&amp;hl=zh-TW&amp;rclk=1" TargetMode="External"/><Relationship Id="rId141" Type="http://schemas.openxmlformats.org/officeDocument/2006/relationships/hyperlink" Target="https://www.google.com/maps/place/Pecel+Kriuk+Dan+Rawon+:+Bu.+Lilis/data=!4m7!3m6!1s0x2dd7fe9930811a8b:0x762f9c391da3d8cc!8m2!3d-7.2649481!4d112.6876369!16s%2Fg%2F11bzzddw2z!19sChIJixqBMJn-1y0RzNijHTmcL3Y?authuser=0&amp;hl=zh-TW&amp;rclk=1" TargetMode="External"/><Relationship Id="rId383" Type="http://schemas.openxmlformats.org/officeDocument/2006/relationships/hyperlink" Target="https://www.google.com/maps/place/Jakarta+Yamin+Noodle+Cak+Hendrat/data=!4m7!3m6!1s0x2dd7fbebd16a2d69:0x2ef5955759c32bf2!8m2!3d-7.2710826!4d112.7538405!16s%2Fg%2F11mvw6ryts!19sChIJaS1q0ev71y0R8ivDWVeV9S4?authuser=0&amp;hl=zh-TW&amp;rclk=1" TargetMode="External"/><Relationship Id="rId140" Type="http://schemas.openxmlformats.org/officeDocument/2006/relationships/hyperlink" Target="https://www.google.com/maps/place/Reldish+%7C+Casual+Caf%C3%A9/data=!4m7!3m6!1s0x2dd7fb2d7ade4d9b:0x4ae47678458a857c!8m2!3d-7.3235333!4d112.7430632!16s%2Fg%2F11sqc697g0!19sChIJm03eei371y0RfIWKRXh25Eo?authuser=0&amp;hl=zh-TW&amp;rclk=1" TargetMode="External"/><Relationship Id="rId382" Type="http://schemas.openxmlformats.org/officeDocument/2006/relationships/hyperlink" Target="https://www.google.com/maps/place/Warung+Bebek+Purnama+%22P.+Saridin%22/data=!4m7!3m6!1s0x2dd7fbc3735ca65d:0x615bdaa455a2d5e4!8m2!3d-7.29291!4d112.7521859!16s%2Fg%2F11c5ss23jf!19sChIJXaZcc8P71y0R5NWiVaTaW2E?authuser=0&amp;hl=zh-TW&amp;rclk=1" TargetMode="External"/><Relationship Id="rId5" Type="http://schemas.openxmlformats.org/officeDocument/2006/relationships/hyperlink" Target="https://www.google.com/maps/place/Tunjungan+Romansa/@-7.2603878,112.7395077,17z/data=!3m1!4b1!4m6!3m5!1s0x2dd7f9281642f615:0xb5af7c74a7d86b75!8m2!3d-7.2603878!4d112.7395077!16s%2Fg%2F11t82_qnz5?entry=ttu&amp;g_ep=EgoyMDI2MDYyOS4wIKXMDSoASAFQAw%3D%3D" TargetMode="External"/><Relationship Id="rId147" Type="http://schemas.openxmlformats.org/officeDocument/2006/relationships/hyperlink" Target="https://www.google.com/maps/place/Suroboyo+Park/data=!4m7!3m6!1s0x2dd7f9cabc1df2db:0x5af54dd18a72b9ca!8m2!3d-7.2253727!4d112.7880641!16s%2Fg%2F11c6w_4ylb!19sChIJ2_IdvMr51y0RyrlyitFN9Vo?authuser=0&amp;hl=zh-TW&amp;rclk=1" TargetMode="External"/><Relationship Id="rId389" Type="http://schemas.openxmlformats.org/officeDocument/2006/relationships/hyperlink" Target="https://www.google.com/maps/place/DE+BUN/data=!4m7!3m6!1s0x2dd7fb90f3c6ec2b:0x7ba9e1f529c6bcb0!8m2!3d-7.2745876!4d112.7500753!16s%2Fg%2F11fncs94_d!19sChIJK-zG85D71y0RsLzGKfXhqXs?authuser=0&amp;hl=zh-TW&amp;rclk=1" TargetMode="External"/><Relationship Id="rId6" Type="http://schemas.openxmlformats.org/officeDocument/2006/relationships/hyperlink" Target="https://www.google.com/maps/place/Calibre+Coffee+Roasters/@-7.2612075,112.7488144,17z/data=!3m1!4b1!4m6!3m5!1s0x2dd7f96484aa2e85:0x9a8add2fb2242a50!8m2!3d-7.2612075!4d112.7488144!16s%2Fg%2F11bvvzglbt?entry=ttu&amp;g_ep=EgoyMDI2MDYyOS4wIKXMDSoASAFQAw%3D%3D" TargetMode="External"/><Relationship Id="rId146" Type="http://schemas.openxmlformats.org/officeDocument/2006/relationships/hyperlink" Target="https://www.google.com/maps/place/Sari+Laut+Kapasan+cabang+Wiyung/data=!4m7!3m6!1s0x2dd7fd698a573567:0xc32288feca9e424d!8m2!3d-7.3123595!4d112.6899705!16s%2Fg%2F11h51hzz26!19sChIJZzVXimn91y0RTUKeyv6IIsM?authuser=0&amp;hl=zh-TW&amp;rclk=1" TargetMode="External"/><Relationship Id="rId388" Type="http://schemas.openxmlformats.org/officeDocument/2006/relationships/hyperlink" Target="https://www.google.com/maps/place/Bajawa+Flores+NTT+Surabaya+KOTA+-+Tengah/data=!4m7!3m6!1s0x2dd7fbe2ffdfad17:0x3d4dbd1798b4a8c9!8m2!3d-7.2732098!4d112.7486985!16s%2Fg%2F11wy5qt_z3!19sChIJF63f_-L71y0Ryai0mBe9TT0?authuser=0&amp;hl=zh-TW&amp;rclk=1" TargetMode="External"/><Relationship Id="rId7" Type="http://schemas.openxmlformats.org/officeDocument/2006/relationships/hyperlink" Target="https://www.google.com/maps/place/Restaurant+Sear/data=!4m7!3m6!1s0x2dd7fd004ab4252b:0x7d4ae23cda281cab!8m2!3d-7.2886644!4d112.678333!16s%2Fg%2F11x2p_r1g6!19sChIJKyW0SgD91y0Rqxwo2jziSn0?authuser=0&amp;hl=zh-TW&amp;rclk=1" TargetMode="External"/><Relationship Id="rId145" Type="http://schemas.openxmlformats.org/officeDocument/2006/relationships/hyperlink" Target="https://www.google.com/maps/place/Pangsit+Mie+Ayam+%22Istana%22/data=!4m7!3m6!1s0x2dd7fb71a8309083:0x9188a4ffdb148847!8m2!3d-7.3154042!4d112.7307312!16s%2Fg%2F11bwh9x_bj!19sChIJg5AwqHH71y0RR4gU2_-kiJE?authuser=0&amp;hl=zh-TW&amp;rclk=1" TargetMode="External"/><Relationship Id="rId387" Type="http://schemas.openxmlformats.org/officeDocument/2006/relationships/hyperlink" Target="https://www.google.com/maps/place/Upper+Room+Cafe+%26+Resto/data=!4m7!3m6!1s0x2dd7faff788650c1:0xe37a13e5d4dbb0f0!8m2!3d-7.3065735!4d112.7657903!16s%2Fg%2F11g9dt89lj!19sChIJwVCGeP_61y0R8LDb1OUTeuM?authuser=0&amp;hl=zh-TW&amp;rclk=1" TargetMode="External"/><Relationship Id="rId8" Type="http://schemas.openxmlformats.org/officeDocument/2006/relationships/hyperlink" Target="https://www.google.com/maps/place/Pak+Djo+Meatball/data=!4m7!3m6!1s0x2dd7fa49a0442179:0x771a7f8dbd6f8188!8m2!3d-7.2878148!4d112.7682769!16s%2Fg%2F1pzv8tdtq!19sChIJeSFEoEn61y0RiIFvvY1_Gnc?authuser=0&amp;hl=zh-TW&amp;rclk=1" TargetMode="External"/><Relationship Id="rId144" Type="http://schemas.openxmlformats.org/officeDocument/2006/relationships/hyperlink" Target="https://www.google.com/maps/place/TAMAN+BACAAN/data=!4m7!3m6!1s0x2dd7f932cef66613:0x8b888e5704d69b88!8m2!3d-7.239859!4d112.7157059!16s%2Fg%2F11c7607dkl!19sChIJE2b2zjL51y0RiJvWBFeOiIs?authuser=0&amp;hl=zh-TW&amp;rclk=1" TargetMode="External"/><Relationship Id="rId386" Type="http://schemas.openxmlformats.org/officeDocument/2006/relationships/hyperlink" Target="https://www.google.com/maps/place/Nikmat+Rasa/data=!4m7!3m6!1s0x2dd7fb04426e2391:0x48200e7e67e98715!8m2!3d-7.3216069!4d112.7453881!16s%2Fg%2F11zxsjb6l!19sChIJkSNuQgT71y0RFYfpZ34OIEg?authuser=0&amp;hl=zh-TW&amp;rclk=1" TargetMode="External"/><Relationship Id="rId381" Type="http://schemas.openxmlformats.org/officeDocument/2006/relationships/hyperlink" Target="https://www.google.com/maps/place/Kota+Tua+Surabaya/data=!4m7!3m6!1s0x2dd7f95a3aaa1d3d:0xa90acbdfee33266f!8m2!3d-7.2390004!4d112.7396805!16s%2Fg%2F11ghn4yw57!19sChIJPR2qOlr51y0RbyYz7t_LCqk?authuser=0&amp;hl=zh-TW&amp;rclk=1" TargetMode="External"/><Relationship Id="rId380" Type="http://schemas.openxmlformats.org/officeDocument/2006/relationships/hyperlink" Target="https://www.google.com/maps/place/Bakso+Malam+Pak+To+-+Sukomanunggal/data=!4m7!3m6!1s0x2dd7fc1121b8d2cb:0x82de9e3a15e26ef8!8m2!3d-7.2838161!4d112.7041931!16s%2Fg%2F11b6mhh31p!19sChIJy9K4IRH81y0R-G7iFTqe3oI?authuser=0&amp;hl=zh-TW&amp;rclk=1" TargetMode="External"/><Relationship Id="rId139" Type="http://schemas.openxmlformats.org/officeDocument/2006/relationships/hyperlink" Target="https://www.google.com/maps/place/Wapo+Resto+-+Airlangga/data=!4m7!3m6!1s0x2dd7fbd486736e29:0x703f50fba3cdfe7e!8m2!3d-7.2705024!4d112.7602896!16s%2Fg%2F11gzwlgp9!19sChIJKW5zhtT71y0Rfv7No_tQP3A?authuser=0&amp;hl=zh-TW&amp;rclk=1" TargetMode="External"/><Relationship Id="rId138" Type="http://schemas.openxmlformats.org/officeDocument/2006/relationships/hyperlink" Target="https://www.google.com/maps/place/Sate+warok+Ponorogo+GAYUNGSARI/data=!4m7!3m6!1s0x2dd7fb13530b0841:0x4f0232394c9a2bdf!8m2!3d-7.3377436!4d112.7203893!16s%2Fg%2F11kb13k216!19sChIJQQgLUxP71y0R3yuaTDkyAk8?authuser=0&amp;hl=zh-TW&amp;rclk=1" TargetMode="External"/><Relationship Id="rId137" Type="http://schemas.openxmlformats.org/officeDocument/2006/relationships/hyperlink" Target="https://www.google.com/maps/place/Demandailing+Cafe/data=!4m7!3m6!1s0x2dd7fb147ec16a17:0x627323705bdbc865!8m2!3d-7.3225321!4d112.7423232!16s%2Fg%2F11bt_h9mr_!19sChIJF2rBfhT71y0RZcjbW3Ajc2I?authuser=0&amp;hl=zh-TW&amp;rclk=1" TargetMode="External"/><Relationship Id="rId379" Type="http://schemas.openxmlformats.org/officeDocument/2006/relationships/hyperlink" Target="https://www.google.com/maps/place/Yaman+Kuliner/data=!4m7!3m6!1s0x2dd7f918c5ec78d7:0x64f41ceaab433fa8!8m2!3d-7.232525!4d112.741133!16s%2Fg%2F1hm3h2ztm!19sChIJ13jsxRj51y0RqD9Dq-oc9GQ?authuser=0&amp;hl=zh-TW&amp;rclk=1" TargetMode="External"/><Relationship Id="rId132" Type="http://schemas.openxmlformats.org/officeDocument/2006/relationships/hyperlink" Target="https://www.google.com/maps/place/Thirty+Three+Brew+-+Tunjungan/@-7.2579337,112.7379135,17z/data=!3m1!4b1!4m6!3m5!1s0x2dd7f979a8020753:0x8f37919aa0214f46!8m2!3d-7.2579337!4d112.7379135!16s%2Fg%2F11jv9k_qnb?entry=ttu&amp;g_ep=EgoyMDI2MDYyOS4wIKXMDSoASAFQAw%3D%3D" TargetMode="External"/><Relationship Id="rId374" Type="http://schemas.openxmlformats.org/officeDocument/2006/relationships/hyperlink" Target="https://www.google.com/maps/place/Pangsit+Mie+Ayam+Jakarta+PAK+DOEL/data=!4m7!3m6!1s0x2dd7fbd36b937647:0x657b6dab3826fdd7!8m2!3d-7.2719923!4d112.7609044!16s%2Fg%2F11fxftjfj4!19sChIJR3aTa9P71y0R1_0mOKtte2U?authuser=0&amp;hl=zh-TW&amp;rclk=1" TargetMode="External"/><Relationship Id="rId131" Type="http://schemas.openxmlformats.org/officeDocument/2006/relationships/hyperlink" Target="https://www.google.com/maps/place/KYND+BAKER+Cafe/data=!4m7!3m6!1s0x2dd7fd3c5f7edfdb:0x4aa59c3eca009cf1!8m2!3d-7.294534!4d112.6520661!16s%2Fg%2F11y5jxt3h6!19sChIJ299-Xzz91y0R8ZwAyj6cpUo?authuser=0&amp;hl=zh-TW&amp;rclk=1" TargetMode="External"/><Relationship Id="rId373" Type="http://schemas.openxmlformats.org/officeDocument/2006/relationships/hyperlink" Target="https://www.google.com/maps/place/Sansekerta+-+The+Authentic+Taste+Of+Indonesia/data=!4m7!3m6!1s0x2dd7f964852dc18b:0x25c2a828000aadff!8m2!3d-7.2611209!4d112.7486801!16s%2Fg%2F11f5dz5xms!19sChIJi8EthWT51y0R_60KACiowiU?authuser=0&amp;hl=zh-TW&amp;rclk=1" TargetMode="External"/><Relationship Id="rId130" Type="http://schemas.openxmlformats.org/officeDocument/2006/relationships/hyperlink" Target="https://www.google.com/maps/place/Penyetan+Rajawali+Cak+Gendut/data=!4m7!3m6!1s0x2dd7f95a5f222ec1:0x1dbd8542ee335539!8m2!3d-7.2292449!4d112.7295312!16s%2Fg%2F11ghdrdfkf!19sChIJwS4iX1r51y0ROVUz7kKFvR0?authuser=0&amp;hl=zh-TW&amp;rclk=1" TargetMode="External"/><Relationship Id="rId372" Type="http://schemas.openxmlformats.org/officeDocument/2006/relationships/hyperlink" Target="https://www.google.com/maps/place/Holy+Crabs+-+Spesial+Kepiting+Surabaya/data=!4m7!3m6!1s0x2dd7fd1575170c21:0xf99b119208e901b4!8m2!3d-7.30788!4d112.6789279!16s%2Fg%2F11hfycggmr!19sChIJIQwXdRX91y0RtAHpCJIRm_k?authuser=0&amp;hl=zh-TW&amp;rclk=1" TargetMode="External"/><Relationship Id="rId371" Type="http://schemas.openxmlformats.org/officeDocument/2006/relationships/hyperlink" Target="https://www.google.com/maps/place/DEPOT+SEDERHANA+%28GUBENG+POJOK%29/data=!4m7!3m6!1s0x2dd7f963d2d4fb4d:0xc8bf1c2a9ed2f725!8m2!3d-7.2664351!4d112.7518896!16s%2Fg%2F11b6br_w71!19sChIJTfvU0mP51y0RJffSniocv8g?authuser=0&amp;hl=zh-TW&amp;rclk=1" TargetMode="External"/><Relationship Id="rId136" Type="http://schemas.openxmlformats.org/officeDocument/2006/relationships/hyperlink" Target="https://www.google.com/maps/place/Penyetan+Bu+Yuli+Mulyorejo/data=!4m7!3m6!1s0x2dd7fb06917d2329:0x8ea74e2e46af0af5!8m2!3d-7.2685234!4d112.7757983!16s%2Fg%2F11mn03xr5p!19sChIJKSN9kQb71y0R9QqvRi5Op44?authuser=0&amp;hl=zh-TW&amp;rclk=1" TargetMode="External"/><Relationship Id="rId378" Type="http://schemas.openxmlformats.org/officeDocument/2006/relationships/hyperlink" Target="https://www.google.com/maps/place/coffee+at+louis/data=!4m2!3m1!1s0x2dd7fbeba4d8407f:0x646c7a3a7e6e628a?sa=X&amp;ved=1t:242&amp;ictx=111" TargetMode="External"/><Relationship Id="rId135" Type="http://schemas.openxmlformats.org/officeDocument/2006/relationships/hyperlink" Target="https://www.google.com/maps/place/Penyetan+Hot+Teh+Ary/data=!4m7!3m6!1s0x2dd7fbae5a94df1b:0xab7619b8e056d832!8m2!3d-7.2984896!4d112.754791!16s%2Fg%2F11f3t4474w!19sChIJG9-UWq771y0RMthW4LgZdqs?authuser=0&amp;hl=zh-TW&amp;rclk=1" TargetMode="External"/><Relationship Id="rId377" Type="http://schemas.openxmlformats.org/officeDocument/2006/relationships/hyperlink" Target="https://www.google.com/maps/place/Adventure+Land+Romokalisari/data=!4m7!3m6!1s0x2dd7ff3bb2f709a1:0xecc9852fb13f96a1!8m2!3d-7.1985305!4d112.6648135!16s%2Fg%2F11s7v1qtpt!19sChIJoQn3sjv_1y0RoZY_sS-Fyew?authuser=0&amp;hl=zh-TW&amp;rclk=1" TargetMode="External"/><Relationship Id="rId134" Type="http://schemas.openxmlformats.org/officeDocument/2006/relationships/hyperlink" Target="https://www.google.com/maps/place/Soto+Daging+Cak+Mat/data=!4m7!3m6!1s0x2dd7fb9e1d26253d:0x9006e1f4bc4497dc!8m2!3d-7.2954525!4d112.7181153!16s%2Fg%2F11h6v0w3ph!19sChIJPSUmHZ771y0R3JdEvPThBpA?authuser=0&amp;hl=zh-TW&amp;rclk=1" TargetMode="External"/><Relationship Id="rId376" Type="http://schemas.openxmlformats.org/officeDocument/2006/relationships/hyperlink" Target="https://www.google.com/maps/place/Bon+Ami+Restaurant/data=!4m7!3m6!1s0x2dd7fbe070dfeeb9:0xdfcb535c3b2dafb1!8m2!3d-7.2688889!4d112.7386167!16s%2Fg%2F11bbrg6ygg!19sChIJue7fcOD71y0Rsa8tO1xTy98?authuser=0&amp;hl=zh-TW&amp;rclk=1" TargetMode="External"/><Relationship Id="rId133" Type="http://schemas.openxmlformats.org/officeDocument/2006/relationships/hyperlink" Target="https://www.google.com/maps/place/Soto+Ayam+Lamongan+Cak+Kan/data=!4m7!3m6!1s0x2dd7fb006b165401:0xadf9260f0b60fada!8m2!3d-7.3075871!4d112.7610768!16s%2Fg%2F1hm5v0flv!19sChIJAVQWawD71y0R2vpgCw8m-a0?authuser=0&amp;hl=zh-TW&amp;rclk=1" TargetMode="External"/><Relationship Id="rId375" Type="http://schemas.openxmlformats.org/officeDocument/2006/relationships/hyperlink" Target="https://www.google.com/maps/place/Taman+Karah+Indah+I/data=!4m7!3m6!1s0x2dd7fb7edc0d51f9:0xa82a0dab657e7605!8m2!3d-7.311235!4d112.720591!16s%2Fg%2F11bwqft8nt!19sChIJ-VEN3H771y0RBXZ-ZasNKqg?authuser=0&amp;hl=zh-TW&amp;rclk=1" TargetMode="External"/><Relationship Id="rId172" Type="http://schemas.openxmlformats.org/officeDocument/2006/relationships/hyperlink" Target="https://www.google.com/maps/place/Monopole+Coffee+Lab/@-7.2898167,112.6874943,15z/data=!4m10!1m2!2m1!1sMonopole+Coffee+Lab+Darmo!3m6!1s0x2dd7fc16f115e1c1:0x23ffc9b695db7529!8m2!3d-7.2828488!4d112.6949386!15sChlNb25vcG9sZSBDb2ZmZWUgTGFiIERhcm1vWhsiGW1vbm9wb2xlIGNvZmZlZSBsYWIgZGFybW-SAQRjYWZl4AEA!16s%2Fg%2F11b6dg0cvf?entry=ttu&amp;g_ep=EgoyMDI2MDYyOS4wIKXMDSoASAFQAw%3D%3D" TargetMode="External"/><Relationship Id="rId171" Type="http://schemas.openxmlformats.org/officeDocument/2006/relationships/hyperlink" Target="https://www.google.com/maps/place/Penyetan+Indah/data=!4m7!3m6!1s0x2dd7fbd48e18ec4d:0x118d5f1d079de4ce!8m2!3d-7.2706579!4d112.7608529!16s%2Fg%2F11gfdyx2pf!19sChIJTewYjtT71y0RzuSdBx1fjRE?authuser=0&amp;hl=zh-TW&amp;rclk=1" TargetMode="External"/><Relationship Id="rId170" Type="http://schemas.openxmlformats.org/officeDocument/2006/relationships/hyperlink" Target="https://www.google.com/maps/place/Ciccia+Ristorante+-+Italian+Restaurant+and+Steak+House/data=!4m7!3m6!1s0x2dd7fbf97663caad:0x902060f91f9c9ce!8m2!3d-7.2813385!4d112.7354883!16s%2Fg%2F11qz7zfdw3!19sChIJrcpjdvn71y0Rzsn5kQ8GAgk?authuser=0&amp;hl=zh-TW&amp;rclk=1" TargetMode="External"/><Relationship Id="rId165" Type="http://schemas.openxmlformats.org/officeDocument/2006/relationships/hyperlink" Target="https://www.google.com/maps/place/Bon+Ami+Restaurant+-+Dr.+Soetomo/@-7.2833237,112.7353172,17z/data=!3m1!4b1!4m6!3m5!1s0x2dd7fbebc62d52a5:0x7b44731e55ef119b!8m2!3d-7.2833237!4d112.7353172!16s%2Fg%2F1td8ft81?entry=ttu&amp;g_ep=EgoyMDI2MDYyOS4wIKXMDSoASAFQAw%3D%3D" TargetMode="External"/><Relationship Id="rId164" Type="http://schemas.openxmlformats.org/officeDocument/2006/relationships/hyperlink" Target="https://www.google.com/maps/place/Wisata+Sontoh+Laut/@-7.2278548,112.6842941,17z/data=!3m1!4b1!4m6!3m5!1s0x2dd7ff70e9232dcb:0x5b9d07786d2218e1!8m2!3d-7.2278548!4d112.6842941!16s%2Fg%2F11qg4kbkzb?entry=ttu&amp;g_ep=EgoyMDI2MDYyOS4wIKXMDSoASAFQAw%3D%3D" TargetMode="External"/><Relationship Id="rId163" Type="http://schemas.openxmlformats.org/officeDocument/2006/relationships/hyperlink" Target="https://www.google.com/maps/place/Soto+Daging+H.+Abidin/data=!4m7!3m6!1s0x2dd7fde5dfc6cb7f:0x1e5374bc1f6fa1e5!8m2!3d-7.2807312!4d112.7089185!16s%2Fg%2F11h27ltg2j!19sChIJf8vG3-X91y0R5aFvH7x0Ux4?authuser=0&amp;hl=zh-TW&amp;rclk=1" TargetMode="External"/><Relationship Id="rId162" Type="http://schemas.openxmlformats.org/officeDocument/2006/relationships/hyperlink" Target="https://www.google.com/maps/place/Pangsit+Mie+Ayam+Jakarta+%22DI+JUAL+CEPAT%22/data=!4m7!3m6!1s0x2dd7f96bcd3a238b:0x37323fbff46b597d!8m2!3d-7.2336977!4d112.7621203!16s%2Fg%2F11gj72k5m9!19sChIJiyM6zWv51y0RfVlr9L8_Mjc?authuser=0&amp;hl=zh-TW&amp;rclk=1" TargetMode="External"/><Relationship Id="rId169" Type="http://schemas.openxmlformats.org/officeDocument/2006/relationships/hyperlink" Target="https://www.google.com/maps/place/Steak+Lab+SteakHouse/data=!4m7!3m6!1s0x2dd7fb6d552a2bc7:0xa54f870fe5bcbbc7!8m2!3d-7.2995063!4d112.6636811!16s%2Fg%2F11k6xv0l8x!19sChIJxysqVW371y0Rx7u85Q-HT6U?authuser=0&amp;hl=zh-TW&amp;rclk=1" TargetMode="External"/><Relationship Id="rId168" Type="http://schemas.openxmlformats.org/officeDocument/2006/relationships/hyperlink" Target="https://www.google.com/maps/place/Park+of+US+Bomber+B-26B+AURI+M265+-+Sungai+Kalimas/data=!4m7!3m6!1s0x2dd7fb9b5fb6a39f:0x8352911ce671365f!8m2!3d-7.2624065!4d112.7442389!16s%2Fg%2F11f66cjp1t!19sChIJn6O2X5v71y0RXzZx5hyRUoM?authuser=0&amp;hl=zh-TW&amp;rclk=1" TargetMode="External"/><Relationship Id="rId167" Type="http://schemas.openxmlformats.org/officeDocument/2006/relationships/hyperlink" Target="https://www.google.com/maps/place/Me%27nate+Steak+%26+Seafood+Surabaya/data=!4m7!3m6!1s0x2dd7fb291a47f3e5:0x9fe4b7ecfb1e797!8m2!3d-7.280376!4d112.767531!16s%2Fg%2F11ltfszd82!19sChIJ5fNHGin71y0Rl-exz35L_gk?authuser=0&amp;hl=zh-TW&amp;rclk=1" TargetMode="External"/><Relationship Id="rId166" Type="http://schemas.openxmlformats.org/officeDocument/2006/relationships/hyperlink" Target="https://www.google.com/maps/place/Komunitas+coffee+and+space/data=!4m7!3m6!1s0x2dd7fb54f833f5f5:0x7811a52ca5a6dd9b!8m2!3d-7.2934256!4d112.7582858!16s%2Fg%2F11h194y52n!19sChIJ9fUz-FT71y0Rm92mpSylEXg?authuser=0&amp;hl=zh-TW&amp;rclk=1" TargetMode="External"/><Relationship Id="rId161" Type="http://schemas.openxmlformats.org/officeDocument/2006/relationships/hyperlink" Target="https://www.google.com/maps/place/Nasi+Ayam+%26+Nasi+Bebek+Cak+Da%27i/data=!4m7!3m6!1s0x2dd7fb4522012993:0x4bf2d7511f76c1e5!8m2!3d-7.3359679!4d112.7285799!16s%2Fg%2F11b6t33x7z!19sChIJkykBIkX71y0R5cF2H1HX8ks?authuser=0&amp;hl=zh-TW&amp;rclk=1" TargetMode="External"/><Relationship Id="rId160" Type="http://schemas.openxmlformats.org/officeDocument/2006/relationships/hyperlink" Target="https://www.google.com/maps/place/KAE+KOPI+SURABAYA/data=!4m7!3m6!1s0x2dd7fddbddd7eeb5:0x540b90ba1eac1a4f!8m2!3d-7.2757603!4d112.7111635!16s%2Fg%2F11sfdbp6g5!19sChIJte7X3dv91y0RTxqsHrqQC1Q?authuser=0&amp;hl=zh-TW&amp;rclk=1" TargetMode="External"/><Relationship Id="rId159" Type="http://schemas.openxmlformats.org/officeDocument/2006/relationships/hyperlink" Target="https://www.google.com/maps/place/Kota+Lama+Surabaya/@-7.2363085,112.7373439,17z/data=!3m1!4b1!4m6!3m5!1s0x2dd7f9002a6c31e1:0x136d216464ad11be!8m2!3d-7.2363085!4d112.7373439!16s%2Fg%2F11vy73nmr4?entry=ttu&amp;g_ep=EgoyMDI2MDYyOS4wIKXMDSoASAFQAw%3D%3D" TargetMode="External"/><Relationship Id="rId154" Type="http://schemas.openxmlformats.org/officeDocument/2006/relationships/hyperlink" Target="https://www.google.com/maps/place/Penyetan+%27SS%27/data=!4m7!3m6!1s0x2dd7fbc907404433:0xfa4e79f15294cfba!8m2!3d-7.2844039!4d112.7547596!16s%2Fg%2F11bxfv_hqb!19sChIJM0RAB8n71y0Rus-UUvF5Tvo?authuser=0&amp;hl=zh-TW&amp;rclk=1" TargetMode="External"/><Relationship Id="rId396" Type="http://schemas.openxmlformats.org/officeDocument/2006/relationships/hyperlink" Target="https://www.google.com/maps/place/Soto+Daging+Rawon+Iga+45/data=!4m7!3m6!1s0x2dd7fb29f59981d1:0xb79c2ef1d416ad99!8m2!3d-7.2902023!4d112.719402!16s%2Fg%2F11rsd_rt90!19sChIJ0YGZ9Sn71y0Rma0W1PEunLc?authuser=0&amp;hl=zh-TW&amp;rclk=1" TargetMode="External"/><Relationship Id="rId153" Type="http://schemas.openxmlformats.org/officeDocument/2006/relationships/hyperlink" Target="https://www.google.com/maps/place/Dapur+Rawon+by+Rawon+Setan/data=!4m7!3m6!1s0x2dd7fb7586846c55:0xe2ebea093a3ca53b!8m2!3d-7.3223417!4d112.7857089!16s%2Fg%2F11j0r9l78y!19sChIJVWyEhnX71y0RO6U8Ognq6-I?authuser=0&amp;hl=zh-TW&amp;rclk=1" TargetMode="External"/><Relationship Id="rId395" Type="http://schemas.openxmlformats.org/officeDocument/2006/relationships/hyperlink" Target="https://www.google.com/maps/place/Bakso+%26+Mie+Ayam+Cak+Jay/data=!4m7!3m6!1s0x2dd7fb9739deb379:0x6601c5ca82d0ab!8m2!3d-7.296029!4d112.7338222!16s%2Fg%2F11btmq5m5h!19sChIJebPeOZf71y0Rq9CCysUBZgA?authuser=0&amp;hl=zh-TW&amp;rclk=1" TargetMode="External"/><Relationship Id="rId152" Type="http://schemas.openxmlformats.org/officeDocument/2006/relationships/hyperlink" Target="https://www.google.com/maps/place/Bakmi+Jogja+Gending+Sari+Surabaya/data=!4m7!3m6!1s0x2dd7fb658a852973:0xbebeff1fef56e084!8m2!3d-7.3277262!4d112.7810987!16s%2Fg%2F11qn2wq5_0!19sChIJcymFimX71y0RhOBW7x__vr4?authuser=0&amp;hl=zh-TW&amp;rclk=1" TargetMode="External"/><Relationship Id="rId394" Type="http://schemas.openxmlformats.org/officeDocument/2006/relationships/hyperlink" Target="https://www.google.com/maps/place/Rawon+Mas+Popon/data=!4m7!3m6!1s0x2dd7f92fcec2a6fd:0x1a15cbe8034b0738!8m2!3d-7.256672!4d112.763515!16s%2Fg%2F11j81c1rzk!19sChIJ_abCzi_51y0ROAdLA-jLFRo?authuser=0&amp;hl=zh-TW&amp;rclk=1" TargetMode="External"/><Relationship Id="rId151" Type="http://schemas.openxmlformats.org/officeDocument/2006/relationships/hyperlink" Target="https://www.google.com/maps/place/Sambang+Cafe+%26+Eatery/data=!4m7!3m6!1s0x2dd7f966f3ad93b1:0x36958792108907e9!8m2!3d-7.2613916!4d112.7479164!16s%2Fg%2F11tfk9h143!19sChIJsZOt82b51y0R6QeJEJKHlTY?authuser=0&amp;hl=zh-TW&amp;rclk=1" TargetMode="External"/><Relationship Id="rId393" Type="http://schemas.openxmlformats.org/officeDocument/2006/relationships/hyperlink" Target="https://www.google.com/maps/place/Nasi+Bebek+Sayank+Anak+Pak+Yudi/data=!4m7!3m6!1s0x2dd7f93e6654248f:0x7d3ad9260df4d347!8m2!3d-7.2431322!4d112.7366051!16s%2Fg%2F11b6hv3bdp!19sChIJjyRUZj751y0RR9P0DSbZOn0?authuser=0&amp;hl=zh-TW&amp;rclk=1" TargetMode="External"/><Relationship Id="rId158" Type="http://schemas.openxmlformats.org/officeDocument/2006/relationships/hyperlink" Target="https://www.google.com/maps/place/Bakso+Super+Pak+De+Bogowonto/data=!4m7!3m6!1s0x2dd7fd8fe35334df:0xbc41b8aa8aed2ecb!8m2!3d-7.2891872!4d112.7332307!16s%2Fg%2F11fvx6_ch6!19sChIJ3zRT44_91y0Ryy7tiqq4Qbw?authuser=0&amp;hl=zh-TW&amp;rclk=1" TargetMode="External"/><Relationship Id="rId157" Type="http://schemas.openxmlformats.org/officeDocument/2006/relationships/hyperlink" Target="https://www.google.com/maps/place/Karbs+Social+-+Bakery+%26+Cafe/@-7.286058,112.7331023,17z/data=!3m1!4b1!4m6!3m5!1s0x2dd7fbb4bc47dc5d:0x31b4a0c0c7f0573!8m2!3d-7.286058!4d112.7331023!16s%2Fg%2F11y0mm0b31?entry=ttu&amp;g_ep=EgoyMDI2MDYyOS4wIKXMDSoASAFQAw%3D%3D" TargetMode="External"/><Relationship Id="rId399" Type="http://schemas.openxmlformats.org/officeDocument/2006/relationships/hyperlink" Target="https://www.google.com/maps/place/Nasi+Bebek+H.+Fauzi/data=!4m7!3m6!1s0x2dd7fbb1ca89e947:0x273590fb9d993b18!8m2!3d-7.2953277!4d112.7541238!16s%2Fg%2F11cm75l9tf!19sChIJR-mJyrH71y0RGDuZnfuQNSc?authuser=0&amp;hl=zh-TW&amp;rclk=1" TargetMode="External"/><Relationship Id="rId156" Type="http://schemas.openxmlformats.org/officeDocument/2006/relationships/hyperlink" Target="https://www.google.com/maps/place/Depot+Bebek+H.+Wachid+Hasyim/data=!4m7!3m6!1s0x2dd7fb6a031a447f:0x812c67c328523581!8m2!3d-7.3273005!4d112.7332611!16s%2Fg%2F1hm30m340!19sChIJf0QaA2r71y0RgTVSKMNnLIE?authuser=0&amp;hl=zh-TW&amp;rclk=1" TargetMode="External"/><Relationship Id="rId398" Type="http://schemas.openxmlformats.org/officeDocument/2006/relationships/hyperlink" Target="https://www.google.com/maps/place/Taman+M.+Duryat/data=!4m7!3m6!1s0x2dd7fbe072a25673:0x528db17315bd3586!8m2!3d-7.2684728!4d112.7383377!16s%2Fg%2F11g698y8w2!19sChIJc1aicuD71y0RhjW9FXOxjVI?authuser=0&amp;hl=zh-TW&amp;rclk=1" TargetMode="External"/><Relationship Id="rId155" Type="http://schemas.openxmlformats.org/officeDocument/2006/relationships/hyperlink" Target="https://www.google.com/maps/place/Rawon+Gusti/data=!4m7!3m6!1s0x2dd7fdb74b1e3795:0xc14420d0ab6f656b!8m2!3d-7.2855334!4d112.6525378!16s%2Fg%2F11xn9xm0ls!19sChIJlTceS7f91y0Ra2Vvq9AgRME?authuser=0&amp;hl=zh-TW&amp;rclk=1" TargetMode="External"/><Relationship Id="rId397" Type="http://schemas.openxmlformats.org/officeDocument/2006/relationships/hyperlink" Target="https://www.google.com/maps/place/New+Pelabuhan+Seafood+%26+Chinese+Food+Restaurant/data=!4m7!3m6!1s0x2dd7fb1b66d204eb:0x6a25942af8042301!8m2!3d-7.3225098!4d112.7451301!16s%2Fg%2F11fs9p1smn!19sChIJ6wTSZhv71y0RASME-CqUJWo?authuser=0&amp;hl=zh-TW&amp;rclk=1" TargetMode="External"/><Relationship Id="rId40" Type="http://schemas.openxmlformats.org/officeDocument/2006/relationships/hyperlink" Target="https://www.google.com/maps/place/Depot+Singaraja+Pak+Gede/data=!4m7!3m6!1s0x2dd7f96a561e3cad:0x1e4a35b872b0c0fd!8m2!3d-7.2497684!4d112.741108!16s%2Fg%2F11b6d41l69!19sChIJrTweVmr51y0R_cCwcrg1Sh4?authuser=0&amp;hl=zh-TW&amp;rclk=1" TargetMode="External"/><Relationship Id="rId42" Type="http://schemas.openxmlformats.org/officeDocument/2006/relationships/hyperlink" Target="https://www.google.com/maps/place/Bebini+Gelati+Caf%C3%A9/data=!4m7!3m6!1s0x2dd7fa29bce687cd:0xf93f5938ee2b3c55!8m2!3d-7.2671004!4d112.7706514!16s%2Fg%2F11cs16gvqc!19sChIJzYfmvCn61y0RVTwr7jhZP_k?authuser=0&amp;hl=zh-TW&amp;rclk=1" TargetMode="External"/><Relationship Id="rId41" Type="http://schemas.openxmlformats.org/officeDocument/2006/relationships/hyperlink" Target="https://www.google.com/maps/place/Yoi+Kona+2.0/data=!4m7!3m6!1s0x2dd7fb9ffc2cde45:0x5fdf9347e67f4747!8m2!3d-7.26979!4d112.744348!16s%2Fg%2F11thbyp200!19sChIJRd4s_J_71y0RR0d_5keT318?authuser=0&amp;hl=zh-TW&amp;rclk=1" TargetMode="External"/><Relationship Id="rId44" Type="http://schemas.openxmlformats.org/officeDocument/2006/relationships/hyperlink" Target="https://www.google.com/maps/place/Bakso+Iwan+Prasmanan+Cabang+Arjuno/data=!4m7!3m6!1s0x2dd7f9582881e7b7:0xb91ba50e315b993f!8m2!3d-7.265728!4d112.7272991!16s%2Fg%2F11ggbrsvm4!19sChIJt-eBKFj51y0RP5lbMQ6lG7k?authuser=0&amp;hl=zh-TW&amp;rclk=1" TargetMode="External"/><Relationship Id="rId43" Type="http://schemas.openxmlformats.org/officeDocument/2006/relationships/hyperlink" Target="https://www.google.com/maps/place/Bakso+Putra+Mantep/data=!4m7!3m6!1s0x2dd7f9937f8f8da5:0xea0d61976529b232!8m2!3d-7.249548!4d112.7827012!16s%2Fg%2F11g6rbhsff!19sChIJpY2Pf5P51y0RMrIpZZdhDeo?authuser=0&amp;hl=zh-TW&amp;rclk=1" TargetMode="External"/><Relationship Id="rId46" Type="http://schemas.openxmlformats.org/officeDocument/2006/relationships/hyperlink" Target="https://www.google.com/maps/place/Warung+Bu+Kris/data=!4m7!3m6!1s0x2dd7fa33986b16fb:0xd8f806fb14ca632a!8m2!3d-7.2777432!4d112.7653907!16s%2Fg%2F1hc16bbtr!19sChIJ-xZrmDP61y0RKmPKFPsG-Ng?authuser=0&amp;hl=zh-TW&amp;rclk=1" TargetMode="External"/><Relationship Id="rId45" Type="http://schemas.openxmlformats.org/officeDocument/2006/relationships/hyperlink" Target="https://www.google.com/maps/place/Ria+Beach+Kenjeran/data=!4m7!3m6!1s0x2e79be2f20f43191:0xad5c2fdaadec1f28!8m2!3d-7.2509164!4d112.8009332!16s%2Fg%2F1tj3hh0v!19sChIJkTH0IC--eS4RKB_srdovXK0?authuser=0&amp;hl=zh-TW&amp;rclk=1" TargetMode="External"/><Relationship Id="rId509" Type="http://schemas.openxmlformats.org/officeDocument/2006/relationships/hyperlink" Target="https://www.google.com/maps/place/Warung+Rawon+Bu+Saodah/data=!4m7!3m6!1s0x2dd7fdadb4dadefb:0x591209ac299c91a3!8m2!3d-7.3038768!4d112.6638241!16s%2Fg%2F11b6__9kl_!19sChIJ-97atK391y0Ro5GcKawJElk?authuser=0&amp;hl=zh-TW&amp;rclk=1" TargetMode="External"/><Relationship Id="rId508" Type="http://schemas.openxmlformats.org/officeDocument/2006/relationships/hyperlink" Target="https://www.google.com/maps/place/Graha+Natura+Park/data=!4m7!3m6!1s0x2dd7fd3ebd0d4a13:0xbbeee0f669e1c0c5!8m2!3d-7.2755677!4d112.6671294!16s%2Fg%2F11hm70gc79!19sChIJE0oNvT791y0RxcDhafbg7rs?authuser=0&amp;hl=zh-TW&amp;rclk=1" TargetMode="External"/><Relationship Id="rId503" Type="http://schemas.openxmlformats.org/officeDocument/2006/relationships/hyperlink" Target="https://www.google.com/maps/place/Bakso+asli+solo+Pak+Tono/data=!4m7!3m6!1s0x2dd7fa1592e94ecb:0x76cfc9c7e54c90f6!8m2!3d-7.2812233!4d112.7873977!16s%2Fg%2F11bxdzh6bb!19sChIJy07pkhX61y0R9pBM5cfJz3Y?authuser=0&amp;hl=zh-TW&amp;rclk=1" TargetMode="External"/><Relationship Id="rId745" Type="http://schemas.openxmlformats.org/officeDocument/2006/relationships/hyperlink" Target="https://www.google.com/maps/place/Wisata+Kuliner+Embong+Blimbing/data=!4m7!3m6!1s0x2dd7fbdfc9f053fb:0x403cfaab979a14a9!8m2!3d-7.2692136!4d112.7405024!16s%2Fg%2F11g027lly1!19sChIJ-1Pwyd_71y0RqRSal6v6PEA?authuser=0&amp;hl=zh-TW&amp;rclk=1" TargetMode="External"/><Relationship Id="rId502" Type="http://schemas.openxmlformats.org/officeDocument/2006/relationships/hyperlink" Target="https://www.google.com/maps/place/Danau+Angsa+Pakuwon+City/data=!4m7!3m6!1s0x2dd7fa063bb30d4f:0x8158254a0cb4357c!8m2!3d-7.2728801!4d112.8066985!16s%2Fg%2F11clyt0ghk!19sChIJTw2zOwb61y0RfDW0DEolWIE?authuser=0&amp;hl=zh-TW&amp;rclk=1" TargetMode="External"/><Relationship Id="rId744" Type="http://schemas.openxmlformats.org/officeDocument/2006/relationships/hyperlink" Target="https://www.google.com/maps/place/Domicile+Kitchen+Lounge/data=!4m7!3m6!1s0x2dd7fbd9ce98e1fd:0x7d23e2e7537c2996!8m2!3d-7.2692707!4d112.7501173!16s%2Fg%2F11b6cq5n94!19sChIJ_eGYztn71y0Rlil8U-fiI30?authuser=0&amp;hl=zh-TW&amp;rclk=1" TargetMode="External"/><Relationship Id="rId501" Type="http://schemas.openxmlformats.org/officeDocument/2006/relationships/hyperlink" Target="https://www.google.com/maps/place/Nasi+Pecel+Madiun+Dan+Rawon+RMI/data=!4m7!3m6!1s0x2dd7fbad78608ad3:0x75e4b4279f2a3c5d!8m2!3d-7.2968498!4d112.7600703!16s%2Fg%2F11gmb4h1v6!19sChIJ04pgeK371y0RXTwqnye05HU?authuser=0&amp;hl=zh-TW&amp;rclk=1" TargetMode="External"/><Relationship Id="rId743" Type="http://schemas.openxmlformats.org/officeDocument/2006/relationships/hyperlink" Target="https://www.google.com/maps/place/Pangsit+Mie+Ayam+Jakarta/data=!4m7!3m6!1s0x2dd7fbd42c907be5:0xff63c58650fd9c00!8m2!3d-7.281993!4d112.7163115!16s%2Fg%2F11bw5mdk60!19sChIJ5XuQLNT71y0RAJz9UIbFY_8?authuser=0&amp;hl=zh-TW&amp;rclk=1" TargetMode="External"/><Relationship Id="rId500" Type="http://schemas.openxmlformats.org/officeDocument/2006/relationships/hyperlink" Target="https://www.google.com/maps/place/Museum+Mpu+Tantular/data=!4m7!3m6!1s0x2dd7f963d2d4fb4d:0xfd521173211bad9f!8m2!3d-7.4333832!4d112.7198449!16s%2Fg%2F12203whl!19sChIJTfvU0mP51y0Rn60bIXMRUv0?authuser=0&amp;hl=zh-TW&amp;rclk=1" TargetMode="External"/><Relationship Id="rId742" Type="http://schemas.openxmlformats.org/officeDocument/2006/relationships/hyperlink" Target="https://www.google.com/maps/place/Culinary+Sentra+Dharmawangsa+%2F+Hokky+Open+24+Hours/data=!4m7!3m6!1s0x2dd7fbd60d244851:0x1bd60c87ef84a349!8m2!3d-7.2673172!4d112.7561795!16s%2Fg%2F11b69bcrbv!19sChIJUUgkDdb71y0RSaOE74cM1hs?authuser=0&amp;hl=zh-TW&amp;rclk=1" TargetMode="External"/><Relationship Id="rId507" Type="http://schemas.openxmlformats.org/officeDocument/2006/relationships/hyperlink" Target="https://www.google.com/maps/place/SIA+COFFEE/data=!4m7!3m6!1s0x2dd7fd76ab275a47:0x6555b8a370311d3!8m2!3d-7.288321!4d112.7088618!16s%2Fg%2F11lt9ntjmh!19sChIJR1onq3b91y0R0xEDN4pbVQY?authuser=0&amp;hl=zh-TW&amp;rclk=1" TargetMode="External"/><Relationship Id="rId749" Type="http://schemas.openxmlformats.org/officeDocument/2006/relationships/hyperlink" Target="https://www.google.com/maps/place/Warung+Tempe+Penyet+Mbak+Noer/data=!4m7!3m6!1s0x2dd7fba64224f3bb:0x730586c6d7df468a!8m2!3d-7.3032388!4d112.7490363!16s%2Fg%2F1hm5msk3r!19sChIJu_MkQqb71y0Rikbf18aGBXM?authuser=0&amp;hl=zh-TW&amp;rclk=1" TargetMode="External"/><Relationship Id="rId506" Type="http://schemas.openxmlformats.org/officeDocument/2006/relationships/hyperlink" Target="https://www.google.com/maps/place/Bakso+Kikil+Sapi+Asli+Manunggal+Cak+Mat/data=!4m7!3m6!1s0x2dd7f979c91fc90d:0xf8e4834fc7791716!8m2!3d-7.2567877!4d112.7591215!16s%2Fg%2F11cm4485nb!19sChIJDckfyXn51y0RFhd5x0-D5Pg?authuser=0&amp;hl=zh-TW&amp;rclk=1" TargetMode="External"/><Relationship Id="rId748" Type="http://schemas.openxmlformats.org/officeDocument/2006/relationships/hyperlink" Target="https://www.google.com/maps/place/Taman+Rungkut+Madya/data=!4m7!3m6!1s0x2dd7fbf7d578c85b:0x7bb9fd278578c87!8m2!3d-7.3314015!4d112.7815532!16s%2Fg%2F11sj5pvztw!19sChIJW8h41ff71y0Rh4xXeNKfuwc?authuser=0&amp;hl=zh-TW&amp;rclk=1" TargetMode="External"/><Relationship Id="rId505" Type="http://schemas.openxmlformats.org/officeDocument/2006/relationships/hyperlink" Target="https://www.google.com/maps/place/Xiang+Fu+Hai+Cuisine/data=!4m7!3m6!1s0x2dd7fd5f04548265:0x66eab3a88e0c137c!8m2!3d-7.2861622!4d112.6993178!16s%2Fg%2F11gh9568wx!19sChIJZYJUBF_91y0RfBMMjqiz6mY?authuser=0&amp;hl=zh-TW&amp;rclk=1" TargetMode="External"/><Relationship Id="rId747" Type="http://schemas.openxmlformats.org/officeDocument/2006/relationships/hyperlink" Target="https://www.google.com/maps/place/Muphus+Seafood+Surabaya+2/data=!4m7!3m6!1s0x2dd7ff003ca0a513:0xe7eb221578555f57!8m2!3d-7.2430094!4d112.6310949!16s%2Fg%2F11wq3g8_v9!19sChIJE6WgPAD_1y0RV19VeBUi6-c?authuser=0&amp;hl=zh-TW&amp;rclk=1" TargetMode="External"/><Relationship Id="rId504" Type="http://schemas.openxmlformats.org/officeDocument/2006/relationships/hyperlink" Target="https://www.google.com/maps/place/Bakso+Daging+Sapi+P.Sabar/data=!4m7!3m6!1s0x2dd7fbd37cf37f97:0xf2a87e6343240ea9!8m2!3d-7.27131!4d112.760384!16s%2Fg%2F1pzt2_6rq!19sChIJl3_zfNP71y0RqQ4kQ2N-qPI?authuser=0&amp;hl=zh-TW&amp;rclk=1" TargetMode="External"/><Relationship Id="rId746" Type="http://schemas.openxmlformats.org/officeDocument/2006/relationships/hyperlink" Target="https://www.google.com/maps/place/DIMSUM+MBLEDOS+MERR/@-7.2595452,112.7826906,17z/data=!3m1!4b1!4m6!3m5!1s0x2dd7f98c76b11215:0x28b75e5050f13585!8m2!3d-7.2595452!4d112.7826906!16s%2Fg%2F11b6v6j4gj?entry=ttu&amp;g_ep=EgoyMDI2MDYyOS4wIKXMDSoASAFQAw%3D%3D" TargetMode="External"/><Relationship Id="rId48" Type="http://schemas.openxmlformats.org/officeDocument/2006/relationships/hyperlink" Target="https://www.google.com/maps/place/jawa+garden+alam+park/data=!4m7!3m6!1s0x2dd7fb4a0c010479:0x597a8bd203ca78b9!8m2!3d-7.28882!4d112.7386058!16s%2Fg%2F11y5gy948q!19sChIJeQQBDEr71y0RuXjKA9KLelk?authuser=0&amp;hl=zh-TW&amp;rclk=1" TargetMode="External"/><Relationship Id="rId47" Type="http://schemas.openxmlformats.org/officeDocument/2006/relationships/hyperlink" Target="https://www.google.com/maps/place/Mie+Pitik+dan+Bakso+%22Barcelona%22/data=!4m7!3m6!1s0x2dd7fbaf67abd88f:0x631c7b12e7c77c34!8m2!3d-7.272653!4d112.7660788!16s%2Fg%2F11f6y6pk2n!19sChIJj9irZ6_71y0RNHzH5xJ7HGM?authuser=0&amp;hl=zh-TW&amp;rclk=1" TargetMode="External"/><Relationship Id="rId49" Type="http://schemas.openxmlformats.org/officeDocument/2006/relationships/hyperlink" Target="https://www.google.com/maps/place/Soto+Madura+Dan+Soto+Ayam+H.+Syafik+Arief+Rahman+Hakim+%28Warung+Makan+Soto,+Soto+Madura+Asli,+Soto+Daging+Madura,+Soto+Ayam%29/data=!4m7!3m6!1s0x2dd7fa4691d3c2bb:0x5b2a071aed9641e8!8m2!3d-7.2893881!4d112.7785537!16s%2Fg%2F11cn8ys_0n!19sChIJu8LTkUb61y0R6EGW7RoHKls?authuser=0&amp;hl=zh-TW&amp;rclk=1" TargetMode="External"/><Relationship Id="rId741" Type="http://schemas.openxmlformats.org/officeDocument/2006/relationships/hyperlink" Target="https://www.google.com/maps/place/Pangsit+Mie+Ayam+Tidar+238/data=!4m7!3m6!1s0x2dd7f94e6d895423:0x2434f9e80ee0350!8m2!3d-7.2565314!4d112.7218806!16s%2Fg%2F11bwp1q3bm!19sChIJI1SJbU751y0RUAPugJ5PQwI?authuser=0&amp;hl=zh-TW&amp;rclk=1" TargetMode="External"/><Relationship Id="rId740" Type="http://schemas.openxmlformats.org/officeDocument/2006/relationships/hyperlink" Target="https://www.google.com/maps/place/Kuliner+Malam+Jeng+Tika/data=!4m7!3m6!1s0x2dd7fbfca99f89fd:0x2d81e952425a7a5!8m2!3d-7.3220213!4d112.7787137!16s%2Fg%2F11sq890q8f!19sChIJ_Ymfqfz71y0RpaclJJUe2AI?authuser=0&amp;hl=zh-TW&amp;rclk=1" TargetMode="External"/><Relationship Id="rId31" Type="http://schemas.openxmlformats.org/officeDocument/2006/relationships/hyperlink" Target="https://www.google.com/maps/place/Cafe+Rooftop+Mibimibi/data=!4m7!3m6!1s0x2dd7f9e724054b91:0xf13717e3a4986c97!8m2!3d-7.2638032!4d112.7173132!16s%2Fg%2F11f9v7p_wt!19sChIJkUsFJOf51y0Rl2yYpOMXN_E?authuser=0&amp;hl=zh-TW&amp;rclk=1" TargetMode="External"/><Relationship Id="rId30" Type="http://schemas.openxmlformats.org/officeDocument/2006/relationships/hyperlink" Target="https://www.google.com/maps/place/Crab+N+Co+Restaurant/data=!4m7!3m6!1s0x2dd7fdda680f2979:0x9994aaf04ca801c1!8m2!3d-7.2868057!4d112.6470856!16s%2Fg%2F11pckj51zh!19sChIJeSkPaNr91y0RwQGoTPCqlJk?authuser=0&amp;hl=zh-TW&amp;rclk=1" TargetMode="External"/><Relationship Id="rId33" Type="http://schemas.openxmlformats.org/officeDocument/2006/relationships/hyperlink" Target="https://www.google.com/maps/place/Kapas+Krampung+Street+Food+Culinary+Center,+Surabaya/data=!4m7!3m6!1s0x2dd7f99c5c107609:0x29d363e56fe4453a!8m2!3d-7.252782!4d112.7670666!16s%2Fg%2F11c325y6rd!19sChIJCXYQXJz51y0ROkXkb-Vj0yk?authuser=0&amp;hl=zh-TW&amp;rclk=1" TargetMode="External"/><Relationship Id="rId32" Type="http://schemas.openxmlformats.org/officeDocument/2006/relationships/hyperlink" Target="https://www.google.com/maps/place/Shigoto+Coffee+-+Dukuh+Kupang+Barat/data=!4m7!3m6!1s0x2dd7fdf00defde55:0x6a3f5adc286e7b47!8m2!3d-7.2838563!4d112.7082899!16s%2Fg%2F11wj95kjqf!19sChIJVd7vDfD91y0RR3tuKNxaP2o?authuser=0&amp;hl=zh-TW&amp;rclk=1" TargetMode="External"/><Relationship Id="rId35" Type="http://schemas.openxmlformats.org/officeDocument/2006/relationships/hyperlink" Target="https://www.google.com/maps/place/Penyetan+Bu+NUR/data=!4m7!3m6!1s0x2dd7fb4c7fe1ee5f:0x7445d9f8c1c32203!8m2!3d-7.2974774!4d112.7331763!16s%2Fg%2F11fjtl95zq!19sChIJX-7hf0z71y0RAyLDwfjZRXQ?authuser=0&amp;hl=zh-TW&amp;rclk=1" TargetMode="External"/><Relationship Id="rId34" Type="http://schemas.openxmlformats.org/officeDocument/2006/relationships/hyperlink" Target="https://www.google.com/maps/place/Warung+sumber+rejeki+%28Rawon+Bu+Sri%29/data=!4m7!3m6!1s0x2dd7fc05026fe349:0xa178b0cb3465d620!8m2!3d-7.2764531!4d112.7058434!16s%2Fg%2F11gcf3xwvm!19sChIJSeNvAgX81y0RINZlNMuweKE?authuser=0&amp;hl=zh-TW&amp;rclk=1" TargetMode="External"/><Relationship Id="rId739" Type="http://schemas.openxmlformats.org/officeDocument/2006/relationships/hyperlink" Target="https://www.google.com/maps/place/3C+Cafe+-+Margorejo+Indah/data=!4m7!3m6!1s0x2dd7fb4ec6b73dc1:0xe0000e42984495b3!8m2!3d-7.3176746!4d112.745818!16s%2Fg%2F11t0sqww__!19sChIJwT23xk771y0Rs5VEmEIOAOA?authuser=0&amp;hl=zh-TW&amp;rclk=1" TargetMode="External"/><Relationship Id="rId734" Type="http://schemas.openxmlformats.org/officeDocument/2006/relationships/hyperlink" Target="https://www.google.com/maps/place/Pakal+Park/data=!4m7!3m6!1s0x2dd7fe2f8c4855b9:0x48ebc04897b7037f!8m2!3d-7.2420068!4d112.6297684!16s%2Fg%2F11b7khs0p7!19sChIJuVVIjC_-1y0RfwO3l0jA60g?authuser=0&amp;hl=zh-TW&amp;rclk=1" TargetMode="External"/><Relationship Id="rId733" Type="http://schemas.openxmlformats.org/officeDocument/2006/relationships/hyperlink" Target="https://www.google.com/maps/place/Imari+Japanese+Restaurant+at+JW+Marriott+Surabaya/data=!4m7!3m6!1s0x2dd7f95cf3c44ec7:0xb9d003f8e5afe15d!8m2!3d-7.259647!4d112.734734!16s%2Fg%2F11cfhh5c7!19sChIJx07E81z51y0RXeGv5fgD0Lk?authuser=0&amp;hl=zh-TW&amp;rclk=1" TargetMode="External"/><Relationship Id="rId732" Type="http://schemas.openxmlformats.org/officeDocument/2006/relationships/hyperlink" Target="https://www.google.com/maps/place/Baradjawa+Coffee+-+Gayungsari/data=!4m7!3m6!1s0x2dd7fbac66c3853f:0x5301133e58599b3c!8m2!3d-7.3314452!4d112.7181276!16s%2Fg%2F11t3dw6hq9!19sChIJP4XDZqz71y0RPJtZWD4TAVM?authuser=0&amp;hl=zh-TW&amp;rclk=1" TargetMode="External"/><Relationship Id="rId731" Type="http://schemas.openxmlformats.org/officeDocument/2006/relationships/hyperlink" Target="https://www.google.com/maps/place/SATE+AYAM+DAN+SATE+KLOPO+ABA+MAKRUF/data=!4m7!3m6!1s0x2dd7f94f09617049:0x101c0404f3155deb!8m2!3d-7.2554016!4d112.7251419!16s%2Fg%2F11f2cky1f1!19sChIJSXBhCU_51y0R610V8wQEHBA?authuser=0&amp;hl=zh-TW&amp;rclk=1" TargetMode="External"/><Relationship Id="rId738" Type="http://schemas.openxmlformats.org/officeDocument/2006/relationships/hyperlink" Target="https://www.google.com/maps/place/Monumen+Kapal+Selam+Surabaya/data=!4m7!3m6!1s0x2dd7f9628df520e5:0x577443720136fb0b!8m2!3d-7.265591!4d112.7503272!16s%2Fg%2F121_5bz_!19sChIJ5SD1jWL51y0RC_s2AXJDdFc?authuser=0&amp;hl=zh-TW&amp;rclk=1" TargetMode="External"/><Relationship Id="rId737" Type="http://schemas.openxmlformats.org/officeDocument/2006/relationships/hyperlink" Target="https://www.google.com/maps/place/Seafood+AMEN/data=!4m7!3m6!1s0x2dd7fa5f4c52c4b1:0xc9be1f2b9a92ba3e!8m2!3d-7.304443!4d112.781004!16s%2Fg%2F11b6tzlslv!19sChIJscRSTF_61y0RPrqSmisfvsk?authuser=0&amp;hl=zh-TW&amp;rclk=1" TargetMode="External"/><Relationship Id="rId736" Type="http://schemas.openxmlformats.org/officeDocument/2006/relationships/hyperlink" Target="https://www.google.com/maps/place/Taman+Jagir+Wonokromo/data=!4m7!3m6!1s0x2dd7fbe982624801:0x6d0fca33aab9485!8m2!3d-7.3017507!4d112.744372!16s%2Fg%2F11h75jj68q!19sChIJAUhigun71y0RhZSrOqP80AY?authuser=0&amp;hl=zh-TW&amp;rclk=1" TargetMode="External"/><Relationship Id="rId735" Type="http://schemas.openxmlformats.org/officeDocument/2006/relationships/hyperlink" Target="https://www.google.com/maps/place/Taman+Mentari/@-7.2331605,112.7902023,17z/data=!3m1!4b1!4m6!3m5!1s0x2dd7f9c88c5a5da9:0xd1c0ab39457d05f1!8m2!3d-7.2331605!4d112.7902023!16s%2Fg%2F11f3tjqggm?entry=ttu&amp;g_ep=EgoyMDI2MDYyOS4wIKXMDSoASAFQAw%3D%3D" TargetMode="External"/><Relationship Id="rId37" Type="http://schemas.openxmlformats.org/officeDocument/2006/relationships/hyperlink" Target="https://www.google.com/maps/place/Hari+Hari+Restaurant/data=!4m7!3m6!1s0x2dd7fb934cbf946f:0x8dc307166bbd4da7!8m2!3d-7.287681!4d112.731984!16s%2Fg%2F1hc1v5f3z!19sChIJb5S_TJP71y0Rp029axYHw40?authuser=0&amp;hl=zh-TW&amp;rclk=1" TargetMode="External"/><Relationship Id="rId36" Type="http://schemas.openxmlformats.org/officeDocument/2006/relationships/hyperlink" Target="https://www.google.com/maps/place/Penyetan+Spesial+Sambel+Uleg+Cak+Naryo/data=!4m7!3m6!1s0x2dd7fc89489610e3:0xdd3f2561bba4ded8!8m2!3d-7.3135353!4d112.6968003!16s%2Fg%2F11cm4h7np8!19sChIJ4xCWSIn81y0R2N6ku2ElP90?authuser=0&amp;hl=zh-TW&amp;rclk=1" TargetMode="External"/><Relationship Id="rId39" Type="http://schemas.openxmlformats.org/officeDocument/2006/relationships/hyperlink" Target="https://www.google.com/maps/place/Rindu+Malam+Solo%27s+Meatballs/data=!4m7!3m6!1s0x2dd7fb972c8289b3:0xd235ac96aa9c53d2!8m2!3d-7.2956457!4d112.7333035!16s%2Fg%2F1hm4v8tn6!19sChIJs4mCLJf71y0R0lOcqpasNdI?authuser=0&amp;hl=zh-TW&amp;rclk=1" TargetMode="External"/><Relationship Id="rId38" Type="http://schemas.openxmlformats.org/officeDocument/2006/relationships/hyperlink" Target="https://www.google.com/maps/place/Seirama+Kafe/data=!4m7!3m6!1s0x2dd7f94d14cc66a1:0xb305433d980803dc!8m2!3d-7.2587001!4d112.7828312!16s%2Fg%2F11ny0m53xr!19sChIJoWbMFE351y0R3AMImD1DBbM?authuser=0&amp;hl=zh-TW&amp;rclk=1" TargetMode="External"/><Relationship Id="rId730" Type="http://schemas.openxmlformats.org/officeDocument/2006/relationships/hyperlink" Target="https://www.google.com/maps/place/Sari+Laut+Cak+Aris+Khas+Lamongan/@-7.2921493,112.7476508,17z/data=!3m1!4b1!4m6!3m5!1s0x2dd7fbba1acfc8c3:0x99d6e25a8482cc!8m2!3d-7.2921546!4d112.7502257!16s%2Fg%2F11bzsg_m61?entry=ttu&amp;g_ep=EgoyMDI2MDYyOS4wIKXMDSoASAFQAw%3D%3D" TargetMode="External"/><Relationship Id="rId20" Type="http://schemas.openxmlformats.org/officeDocument/2006/relationships/hyperlink" Target="https://www.google.com/maps/place/bebek+semangat+royal+plaza/data=!4m7!3m6!1s0x2dd7fb0f988b2cf7:0x1f1bc631f42fc04a!8m2!3d-7.3092342!4d112.7346233!16s%2Fg%2F11pbyyvz6j!19sChIJ9yyLmA_71y0RSsAv9DHGGx8?authuser=0&amp;hl=zh-TW&amp;rclk=1" TargetMode="External"/><Relationship Id="rId22" Type="http://schemas.openxmlformats.org/officeDocument/2006/relationships/hyperlink" Target="https://www.google.com/maps/place/DEJAVU/data=!4m7!3m6!1s0x2dd7f964f3215fdf:0x6e4c656f316f9727!8m2!3d-7.2925846!4d112.7512433!16s%2Fg%2F119vrtf56!19sChIJ318h82T51y0RJ5dvMW9lTG4?authuser=0&amp;hl=zh-TW&amp;rclk=1" TargetMode="External"/><Relationship Id="rId21" Type="http://schemas.openxmlformats.org/officeDocument/2006/relationships/hyperlink" Target="https://www.google.com/maps/place/Tempe+Penyet+C+-+Ho/data=!4m7!3m6!1s0x2dd7fa2a7bdc2fbf:0xb3643ef08b2d54fe!8m2!3d-7.2660166!4d112.7664359!16s%2Fg%2F11b67q3d05!19sChIJvy_ceyr61y0R_lQti_A-ZLM?authuser=0&amp;hl=zh-TW&amp;rclk=1" TargetMode="External"/><Relationship Id="rId24" Type="http://schemas.openxmlformats.org/officeDocument/2006/relationships/hyperlink" Target="https://www.google.com/maps/place/Taman+Rungkut+Menanggal/data=!4m7!3m6!1s0x2dd7fbe9f736566f:0xa8394d160a441174!8m2!3d-7.3385112!4d112.7673209!16s%2Fg%2F11gvz8p0qk!19sChIJb1Y29-n71y0RdBFEChZNOag?authuser=0&amp;hl=zh-TW&amp;rclk=1" TargetMode="External"/><Relationship Id="rId23" Type="http://schemas.openxmlformats.org/officeDocument/2006/relationships/hyperlink" Target="https://www.google.com/maps/place/Sate+Kelopo+Ondomohen+Bu+Asih/data=!4m7!3m6!1s0x2dd7f96423a1d5af:0xc7570172dd94b50c!8m2!3d-7.2601075!4d112.7442245!16s%2Fg%2F11b6djmjp3!19sChIJr9WhI2T51y0RDLWU3XIBV8c?authuser=0&amp;hl=zh-TW&amp;rclk=1" TargetMode="External"/><Relationship Id="rId525" Type="http://schemas.openxmlformats.org/officeDocument/2006/relationships/hyperlink" Target="https://www.google.com/maps/place/Sentra+Wisata+Kuliner+Terminal+Manukan/data=!4m7!3m6!1s0x2dd7fe7e33880247:0x301235ccc237160a!8m2!3d-7.268225!4d112.6662802!16s%2Fg%2F11c58tfh5h!19sChIJRwKIM37-1y0RChY3wsw1EjA?authuser=0&amp;hl=zh-TW&amp;rclk=1" TargetMode="External"/><Relationship Id="rId767" Type="http://schemas.openxmlformats.org/officeDocument/2006/relationships/hyperlink" Target="https://www.google.com/maps/place/Teh+Villa+Gallery/@-7.3285925,112.7639834,17z/data=!3m1!4b1!4m6!3m5!1s0x2dd7fb08074b8ef9:0xcd2ab06ad0bb81fb!8m2!3d-7.3285925!4d112.7639834!16s%2Fg%2F11k51mtmym?entry=ttu&amp;g_ep=EgoyMDI2MDYyOS4wIKXMDSoASAFQAw%3D%3D" TargetMode="External"/><Relationship Id="rId524" Type="http://schemas.openxmlformats.org/officeDocument/2006/relationships/hyperlink" Target="https://www.google.com/maps/place/PENYETAN+PAK+USTADZ+%22KHAS+PONDOK%22/data=!4m7!3m6!1s0x2dd7fbb7bbdfea2b:0x73a6332d469e9d6e!8m2!3d-7.2948976!4d112.7339537!16s%2Fg%2F11t7cw38kt!19sChIJK-rfu7f71y0Rbp2eRi0zpnM?authuser=0&amp;hl=zh-TW&amp;rclk=1" TargetMode="External"/><Relationship Id="rId766" Type="http://schemas.openxmlformats.org/officeDocument/2006/relationships/hyperlink" Target="https://www.google.com/maps/place/UYCC+Art+Gallery/@-7.2680568,112.745225,17z/data=!3m1!4b1!4m6!3m5!1s0x2dd7fbba0ecf7001:0x4b6154623e3a2150!8m2!3d-7.2680621!4d112.7477999!16s%2Fg%2F11txjw2b14?entry=ttu&amp;g_ep=EgoyMDI2MDYyOS4wIKXMDSoASAFQAw%3D%3D" TargetMode="External"/><Relationship Id="rId523" Type="http://schemas.openxmlformats.org/officeDocument/2006/relationships/hyperlink" Target="http://google.com/maps/place/LITTLE+CAVE+hidden+coffee+bar/@-7.284928,112.739425,17z/data=!4m6!3m5!1s0x2dd7fbad28ab64e3:0xda56da5e25ff17b1!8m2!3d-7.290993!4d112.7350497!16s%2Fg%2F11qy723dkk?entry=ttu&amp;g_ep=EgoyMDI2MDYyOS4wIKXMDSoASAFQAw%3D%3D" TargetMode="External"/><Relationship Id="rId765" Type="http://schemas.openxmlformats.org/officeDocument/2006/relationships/hyperlink" Target="https://www.google.com/maps/place/Galeri+Merah+Putih+Surabaya/@-7.26398,112.7454831,17z/data=!3m1!4b1!4m6!3m5!1s0x2dd7f900514b573b:0xbc4710c10d68e6db!8m2!3d-7.26398!4d112.7454831!16s%2Fg%2F11w24j_0rn?entry=ttu&amp;g_ep=EgoyMDI2MDYyOS4wIKXMDSoASAFQAw%3D%3D" TargetMode="External"/><Relationship Id="rId522" Type="http://schemas.openxmlformats.org/officeDocument/2006/relationships/hyperlink" Target="https://www.google.com/maps/place/Doux+Butter/data=!4m7!3m6!1s0x2dd7fbb9dd356deb:0x59c1bd9699c07642!8m2!3d-7.2658557!4d112.7961571!16s%2Fg%2F11k520pqdq!19sChIJ62013bn71y0RQnbAmZa9wVk?authuser=0&amp;hl=zh-TW&amp;rclk=1" TargetMode="External"/><Relationship Id="rId764" Type="http://schemas.openxmlformats.org/officeDocument/2006/relationships/hyperlink" Target="https://www.google.com/maps/place/Galeri+Prabangkara/@-7.2565236,112.7401734,17z/data=!3m1!4b1!4m6!3m5!1s0x2dd7f96808b375f3:0x2e87e6e8a1068a36!8m2!3d-7.2565236!4d112.7401734!16s%2Fg%2F11g6wdxy58?entry=ttu&amp;g_ep=EgoyMDI2MDYyOS4wIKXMDSoASAFQAw%3D%3D" TargetMode="External"/><Relationship Id="rId529" Type="http://schemas.openxmlformats.org/officeDocument/2006/relationships/hyperlink" Target="https://www.google.com/maps/place/Taman+10+Nopember+Surabaya/@-7.251688,112.755074,17z/data=!3m1!4b1!4m6!3m5!1s0x2dd7f9bfecefb21f:0x5bfbfdcec3cdcdd5!8m2!3d-7.251688!4d112.755074!16s%2Fg%2F11flrmydg2?entry=ttu&amp;g_ep=EgoyMDI2MDYyOS4wIKXMDSoASAFQAw%3D%3D" TargetMode="External"/><Relationship Id="rId528" Type="http://schemas.openxmlformats.org/officeDocument/2006/relationships/hyperlink" Target="https://www.google.com/maps/place/Nasi+Jagung+Khas+Madura/@-7.2269964,112.7455875,17z/data=!3m1!4b1!4m6!3m5!1s0x2dd7f91df9900001:0x9a2efc279eb74131!8m2!3d-7.2269964!4d112.7455875!16s%2Fg%2F11f03m_n2q?entry=ttu&amp;g_ep=EgoyMDI2MDYyOS4wIKXMDSoASAFQAw%3D%3D" TargetMode="External"/><Relationship Id="rId527" Type="http://schemas.openxmlformats.org/officeDocument/2006/relationships/hyperlink" Target="https://www.google.com/maps/place/Toko+Kopi+Padma/@-7.2586356,112.7358068,17z/data=!3m1!4b1!4m6!3m5!1s0x2dd7f9a0eac9e03d:0xacbd48350bef8d43!8m2!3d-7.2586409!4d112.7383817!16s%2Fg%2F11t3fc2mx4?entry=ttu&amp;g_ep=EgoyMDI2MDYyOS4wIKXMDSoASAFQAw%3D%3D" TargetMode="External"/><Relationship Id="rId769" Type="http://schemas.openxmlformats.org/officeDocument/2006/relationships/hyperlink" Target="http://google.com/maps/place/Museum+H.+O.+S.+Tjokroaminoto/@-7.254636,112.73302,17z/data=!4m6!3m5!1s0x2dd7f9b178b9c013:0x58f9a33cc4dce09e!8m2!3d-7.2525006!4d112.7377711!16s%2Fg%2F11b6b9tjng?entry=ttu&amp;g_ep=EgoyMDI2MDYyOS4wIKXMDSoASAFQAw%3D%3D" TargetMode="External"/><Relationship Id="rId526" Type="http://schemas.openxmlformats.org/officeDocument/2006/relationships/hyperlink" Target="https://www.google.com/maps/place/Sate+Klopo+Kak+Mad/data=!4m7!3m6!1s0x2dd7fbc968337c37:0x5e22b4b2a9c3415a!8m2!3d-7.2826313!4d112.7560031!16s%2Fg%2F11c2pd7q29!19sChIJN3wzaMn71y0RWkHDqbK0Il4?authuser=0&amp;hl=zh-TW&amp;rclk=1" TargetMode="External"/><Relationship Id="rId768" Type="http://schemas.openxmlformats.org/officeDocument/2006/relationships/hyperlink" Target="https://www.google.com/maps/place/Kampoeng+Seni/@-7.254636,112.73302,17z/data=!3m1!4b1!4m6!3m5!1s0x2dd7f9447f6e7f03:0x8fe5cc5a5cd9ba32!8m2!3d-7.254636!4d112.73302!16s%2Fg%2F11b6s3nwr6?entry=ttu&amp;g_ep=EgoyMDI2MDYyOS4wIKXMDSoASAFQAw%3D%3D" TargetMode="External"/><Relationship Id="rId26" Type="http://schemas.openxmlformats.org/officeDocument/2006/relationships/hyperlink" Target="https://www.google.com/maps/place/Dining+Club/data=!4m7!3m6!1s0x2dd7fbcca0de2fc5:0x31cb3e65f32c26be!8m2!3d-7.2732746!4d112.7466362!16s%2Fg%2F11rw7m2tqn!19sChIJxS_eoMz71y0RviYs82U-yzE?authuser=0&amp;hl=zh-TW&amp;rclk=1" TargetMode="External"/><Relationship Id="rId25" Type="http://schemas.openxmlformats.org/officeDocument/2006/relationships/hyperlink" Target="https://www.google.com/maps/place/Titik+Koma+Grand+Eastern/data=!4m7!3m6!1s0x2dd7f9acfbd7f011:0x16ba722caf2aaa48!8m2!3d-7.2917597!4d112.812315!16s%2Fg%2F11vl92d_v6!19sChIJEfDX-6z51y0RSKoqryxyuhY?authuser=0&amp;hl=zh-TW&amp;rclk=1" TargetMode="External"/><Relationship Id="rId28" Type="http://schemas.openxmlformats.org/officeDocument/2006/relationships/hyperlink" Target="https://www.google.com/maps/place/Warung+Kuning/data=!4m7!3m6!1s0x2dd7fbb5316dd829:0xbbd99620398a695d!8m2!3d-7.2877322!4d112.7624485!16s%2Fg%2F11b6xgd_g2!19sChIJKdhtMbX71y0RXWmKOSCW2bs?authuser=0&amp;hl=zh-TW&amp;rclk=1" TargetMode="External"/><Relationship Id="rId27" Type="http://schemas.openxmlformats.org/officeDocument/2006/relationships/hyperlink" Target="https://www.google.com/maps/place/Pangsit+Mie+Ayam+Jakarta+Sidomoro+Pak+Yanto/data=!4m7!3m6!1s0x2dd7f9bf6a25c30d:0xd477ade52da9f54f!8m2!3d-7.2465379!4d112.7572979!16s%2Fg%2F11glwgp4zk!19sChIJDcMlar_51y0RT_WpLeWtd9Q?authuser=0&amp;hl=zh-TW&amp;rclk=1" TargetMode="External"/><Relationship Id="rId521" Type="http://schemas.openxmlformats.org/officeDocument/2006/relationships/hyperlink" Target="https://www.google.com/maps/place/Bakso+bratang+Pindahan+%28ITATS%29/data=!4m7!3m6!1s0x2dd7fa5129afafa7:0x70256566d43e94da!8m2!3d-7.3001846!4d112.7716963!16s%2Fg%2F11gfn417t9!19sChIJp6-vKVH61y0R2pQ-1GZlJXA?authuser=0&amp;hl=zh-TW&amp;rclk=1" TargetMode="External"/><Relationship Id="rId763" Type="http://schemas.openxmlformats.org/officeDocument/2006/relationships/hyperlink" Target="http://google.com/maps/place/Museum+Pusat+TNI+AL+Jalesveva+Jayamahe/@-7.2218125,112.7400625,17z/data=!3m1!4b1!4m6!3m5!1s0x2dd7f929f5c6077d:0xb44b611cbfff6e96!8m2!3d-7.2218125!4d112.7400625!16s%2Fg%2F11stq03qlp?entry=ttu&amp;g_ep=EgoyMDI2MDYyOS4wIKXMDSoASAFQAw%3D%3D" TargetMode="External"/><Relationship Id="rId29" Type="http://schemas.openxmlformats.org/officeDocument/2006/relationships/hyperlink" Target="https://www.google.com/maps/place/Wisata+Kuliner+Tanah+Merah/data=!4m7!3m6!1s0x2dd7f9ab60aa8085:0x305de8d002dd4d1a!8m2!3d-7.2266081!4d112.7684107!16s%2Fg%2F11cjj09sbv!19sChIJhYCqYKv51y0RGk3dAtDoXTA?authuser=0&amp;hl=zh-TW&amp;rclk=1" TargetMode="External"/><Relationship Id="rId520" Type="http://schemas.openxmlformats.org/officeDocument/2006/relationships/hyperlink" Target="https://www.google.com/maps/place/Trimurti+Restaurant/@-7.284928,112.739425,17z/data=!3m1!4b1!4m6!3m5!1s0x2dd7fbc1d347cbcb:0xd1a97a5e642c66!8m2!3d-7.284928!4d112.739425!16s%2Fg%2F1pzq94l4w?entry=ttu&amp;g_ep=EgoyMDI2MDYyOS4wIKXMDSoASAFQAw%3D%3D" TargetMode="External"/><Relationship Id="rId762" Type="http://schemas.openxmlformats.org/officeDocument/2006/relationships/hyperlink" Target="https://www.google.com/maps/place/Suroboyo+Skate+%26+BMX+Park/@-7.2639221,112.7503111,17z/data=!3m1!4b1!4m6!3m5!1s0x2dd7f963288689e5:0x193aa102acba9766!8m2!3d-7.2639221!4d112.7503111!16s%2Fg%2F11f06j7v72?entry=ttu&amp;g_ep=EgoyMDI2MDYyOS4wIKXMDSoASAFQAw%3D%3D" TargetMode="External"/><Relationship Id="rId761" Type="http://schemas.openxmlformats.org/officeDocument/2006/relationships/hyperlink" Target="https://www.google.com/maps/place/Brunsj+Bake+House/@-7.2754879,112.7504945,17z/data=!3m1!4b1!4m6!3m5!1s0x2dd7fb002d4f6bb1:0xecc18b44ee628b62!8m2!3d-7.2754879!4d112.7504945!16s%2Fg%2F11ms_1cryj?entry=ttu&amp;g_ep=EgoyMDI2MDYyOS4wIKXMDSoASAFQAw%3D%3D" TargetMode="External"/><Relationship Id="rId760" Type="http://schemas.openxmlformats.org/officeDocument/2006/relationships/hyperlink" Target="https://www.google.com/maps/place/Allegra/@-7.274772,112.74877,17z/data=!3m1!4b1!4m6!3m5!1s0x2dd7fb12dfdd37e3:0x4692eb113d89dd9!8m2!3d-7.274772!4d112.74877!16s%2Fg%2F11jy_v38vd?entry=ttu&amp;g_ep=EgoyMDI2MDYyOS4wIKXMDSoASAFQAw%3D%3D" TargetMode="External"/><Relationship Id="rId11" Type="http://schemas.openxmlformats.org/officeDocument/2006/relationships/hyperlink" Target="https://www.google.com/maps/place/Bakso+Royal/data=!4m7!3m6!1s0x2dd7f9799218adcd:0x1e8a0a4d511a823!8m2!3d-7.2576953!4d112.7579731!16s%2Fg%2F1hm1qh4bh!19sChIJza0Yknn51y0RI6gR1aSg6AE?authuser=0&amp;hl=zh-TW&amp;rclk=1" TargetMode="External"/><Relationship Id="rId10" Type="http://schemas.openxmlformats.org/officeDocument/2006/relationships/hyperlink" Target="https://www.google.com/maps/place/Nasi+Bebek+%26+Ayam+Barokah/data=!4m7!3m6!1s0x2dd7fbd86a6bb47b:0xdfea15ef4d6cf361!8m2!3d-7.2677907!4d112.7492986!16s%2Fg%2F11b66h7stx!19sChIJe7Rratj71y0RYfNsTe8V6t8?authuser=0&amp;hl=zh-TW&amp;rclk=1" TargetMode="External"/><Relationship Id="rId13" Type="http://schemas.openxmlformats.org/officeDocument/2006/relationships/hyperlink" Target="https://www.google.com/maps/place/Taman+Cinta+Kampus+C+Unair/data=!4m7!3m6!1s0x2dd7fb7a536922d3:0xa83e435692998200!8m2!3d-7.2691696!4d112.7830632!16s%2Fg%2F11q227v30c!19sChIJ0yJpU3r71y0RAIKZklZDPqg?authuser=0&amp;hl=zh-TW&amp;rclk=1" TargetMode="External"/><Relationship Id="rId12" Type="http://schemas.openxmlformats.org/officeDocument/2006/relationships/hyperlink" Target="https://www.google.com/maps/place/Kakkoii+Japanese+BBQ+%26+Shabu-Shabu/data=!4m7!3m6!1s0x2dd7fb0512db8239:0x13fc99f2ca58b515!8m2!3d-7.2945121!4d112.7326607!16s%2Fg%2F11r_xlr_r4!19sChIJOYLbEgX71y0RFbVYyvKZ_BM?authuser=0&amp;hl=zh-TW&amp;rclk=1" TargetMode="External"/><Relationship Id="rId519" Type="http://schemas.openxmlformats.org/officeDocument/2006/relationships/hyperlink" Target="https://www.google.com/maps/place/Sky+36+Restaurant/data=!4m7!3m6!1s0x2dd7fbd8359cb981:0x84cea495f21be5c1!8m2!3d-7.269212!4d112.749755!16s%2Fg%2F11b7ys8t_z!19sChIJgbmcNdj71y0RweUb8pWkzoQ?authuser=0&amp;hl=zh-TW&amp;rclk=1" TargetMode="External"/><Relationship Id="rId514" Type="http://schemas.openxmlformats.org/officeDocument/2006/relationships/hyperlink" Target="https://www.google.com/maps/place/Bakso+Depan+Bonet/data=!4m7!3m6!1s0x2dd7fbca32523789:0xa467d34bddc97d04!8m2!3d-7.2839081!4d112.7578706!16s%2Fg%2F11c0xjnd5j!19sChIJiTdSMsr71y0RBH3J3UvTZ6Q?authuser=0&amp;hl=zh-TW&amp;rclk=1" TargetMode="External"/><Relationship Id="rId756" Type="http://schemas.openxmlformats.org/officeDocument/2006/relationships/hyperlink" Target="https://www.google.com/maps/place/ALECTA/@-7.2903816,112.7500112,17z/data=!3m1!4b1!4m6!3m5!1s0x2dd7f91d92314b61:0x5505aaf970acc5a5!8m2!3d-7.2903816!4d112.7500112!16s%2Fg%2F11rchrb06d?entry=ttu&amp;g_ep=EgoyMDI2MDYyOS4wIKXMDSoASAFQAw%3D%3D" TargetMode="External"/><Relationship Id="rId513" Type="http://schemas.openxmlformats.org/officeDocument/2006/relationships/hyperlink" Target="https://www.google.com/maps/place/Tera+Coffee+Society/@-7.2943175,112.7410265,17z/data=!3m1!4b1!4m6!3m5!1s0x2dd7fb4b75078c1d:0x53178d6fe49bacc5!8m2!3d-7.2943175!4d112.7410265!16s%2Fg%2F11kr8ptjvk?entry=ttu&amp;g_ep=EgoyMDI2MDYyOS4wIKXMDSoASAFQAw%3D%3D" TargetMode="External"/><Relationship Id="rId755" Type="http://schemas.openxmlformats.org/officeDocument/2006/relationships/hyperlink" Target="https://www.google.com/maps/place/Alas+Dapuda/@-7.3353081,112.6697325,17z/data=!3m1!4b1!4m6!3m5!1s0x2dd7fcdf3d09ba4f:0x41cc8dc17781897b!8m2!3d-7.3353081!4d112.6697325!16s%2Fg%2F11csr3r_m0?entry=ttu&amp;g_ep=EgoyMDI2MDYyOS4wIKXMDSoASAFQAw%3D%3D" TargetMode="External"/><Relationship Id="rId512" Type="http://schemas.openxmlformats.org/officeDocument/2006/relationships/hyperlink" Target="https://www.google.com/maps/place/Ronggolawe+Chicken+Noodles/data=!4m7!3m6!1s0x2dd7fb5929e0b2df:0xe952791c05771478!8m2!3d-7.2807822!4d112.7790755!16s%2Fg%2F11fhqrqmwt!19sChIJ37LgKVn71y0ReBR3BRx5Uuk?authuser=0&amp;hl=zh-TW&amp;rclk=1" TargetMode="External"/><Relationship Id="rId754" Type="http://schemas.openxmlformats.org/officeDocument/2006/relationships/hyperlink" Target="https://www.google.com/maps/place/TETRA+Coffee+%26+Eatery+-+Surabaya/@-7.2782914,112.7532476,17z/data=!3m1!4b1!4m6!3m5!1s0x2dd7fb73b554413b:0x385bdc7442e7c05!8m2!3d-7.2782914!4d112.7532476!16s%2Fg%2F11x970s5yk?entry=ttu&amp;g_ep=EgoyMDI2MDYyOS4wIKXMDSoASAFQAw%3D%3D" TargetMode="External"/><Relationship Id="rId511" Type="http://schemas.openxmlformats.org/officeDocument/2006/relationships/hyperlink" Target="https://www.google.com/maps/place/Caturra+Espresso/@-7.2582493,112.7295048,17z/data=!3m1!4b1!4m6!3m5!1s0x2dd7f95ad04d011f:0xa79c2c899ffa251!8m2!3d-7.2582493!4d112.7295048!16s%2Fg%2F11btxklh9h?entry=ttu&amp;g_ep=EgoyMDI2MDYyOS4wIKXMDSoASAFQAw%3D%3D" TargetMode="External"/><Relationship Id="rId753" Type="http://schemas.openxmlformats.org/officeDocument/2006/relationships/hyperlink" Target="https://www.google.com/maps/place/OMAH+JOGLO+BALAS/@-7.3321946,112.6907989,17z/data=!3m1!4b1!4m6!3m5!1s0x2dd7fd8ff2af3ef1:0x720fc97db2cfba79!8m2!3d-7.3321946!4d112.6907989!16s%2Fg%2F11vhd5hhs8?entry=ttu&amp;g_ep=EgoyMDI2MDYyOS4wIKXMDSoASAFQAw%3D%3D" TargetMode="External"/><Relationship Id="rId518" Type="http://schemas.openxmlformats.org/officeDocument/2006/relationships/hyperlink" Target="https://www.google.com/maps/place/Saga+Japanese+Restaurant/data=!4m7!3m6!1s0x2dd7fb8a4088c60d:0x7c45af545b4e96a1!8m2!3d-7.2920203!4d112.7169736!16s%2Fg%2F1pzr449_9!19sChIJDcaIQIr71y0RoZZOW1SvRXw?authuser=0&amp;hl=zh-TW&amp;rclk=1" TargetMode="External"/><Relationship Id="rId517" Type="http://schemas.openxmlformats.org/officeDocument/2006/relationships/hyperlink" Target="https://www.google.com/maps/place/Penyetan+Murmer+Kranggan/data=!4m7!3m6!1s0x2dd7f99ce094537f:0xca1eeb5d385931b6!8m2!3d-7.255943!4d112.7315939!16s%2Fg%2F11h2fqh6vl!19sChIJf1OU4Jz51y0RtjFZOF3rHso?authuser=0&amp;hl=zh-TW&amp;rclk=1" TargetMode="External"/><Relationship Id="rId759" Type="http://schemas.openxmlformats.org/officeDocument/2006/relationships/hyperlink" Target="https://www.google.com/maps/place/Pelican+Hill+Park/@-7.2604342,112.6377358,17z/data=!3m1!4b1!4m6!3m5!1s0x2dd7ff659a0ee11f:0xf6abe51c08722610!8m2!3d-7.2604342!4d112.6377358!16s%2Fg%2F11fjz2fg6v?entry=ttu&amp;g_ep=EgoyMDI2MDYyOS4wIKXMDSoASAFQAw%3D%3D" TargetMode="External"/><Relationship Id="rId516" Type="http://schemas.openxmlformats.org/officeDocument/2006/relationships/hyperlink" Target="https://www.google.com/maps/place/Monumen+Gubernur+Suryo/@-7.2637159,112.7428224,17z/data=!3m1!4b1!4m6!3m5!1s0x2dd7f961127d890d:0xce9f58c317788b59!8m2!3d-7.2637159!4d112.7428224!16s%2Fg%2F1hm6d55m6?entry=ttu&amp;g_ep=EgoyMDI2MDYyOS4wIKXMDSoASAFQAw%3D%3D" TargetMode="External"/><Relationship Id="rId758" Type="http://schemas.openxmlformats.org/officeDocument/2006/relationships/hyperlink" Target="https://www.google.com/maps/place/Notredame+Wisata+bukit+mas+2/@-7.3153605,112.6635047,17z/data=!3m1!4b1!4m6!3m5!1s0x2dd7fd01963c60dd:0xe403e58129fc06ff!8m2!3d-7.3153605!4d112.6635047!16s%2Fg%2F11cllcmxqg?entry=ttu&amp;g_ep=EgoyMDI2MDYyOS4wIKXMDSoASAFQAw%3D%3D" TargetMode="External"/><Relationship Id="rId515" Type="http://schemas.openxmlformats.org/officeDocument/2006/relationships/hyperlink" Target="https://www.google.com/maps/place/Pasar+Ikan+Pabean/data=!4m7!3m6!1s0x2dd7f922a6cbb375:0x8b1ee57b384568f4!8m2!3d-7.2344314!4d112.7397358!16s%2Fg%2F1hm36dzb5!19sChIJdbPLpiL51y0R9GhFOHvlHos?authuser=0&amp;hl=zh-TW&amp;rclk=1" TargetMode="External"/><Relationship Id="rId757" Type="http://schemas.openxmlformats.org/officeDocument/2006/relationships/hyperlink" Target="https://www.google.com/maps/place/Hutan+Kota+(Tahura)+Sumur+Welut,+Dinas+Pertanian+Kota+Surabaya/@-7.3324759,112.6330862,13z/data=!4m10!1m2!2m1!1shutan+kota+tahur!3m6!1s0x2dd7fd809bf20bb9:0x76e5e6751bdfab08!8m2!3d-7.3324759!4d112.6681051!15sChBodXRhbiBrb3RhIHRhaHVyWhIiEGh1dGFuIGtvdGEgdGFodXKSAQRwYXJrmgEjQ2haRFNVaE5NRzluUzBWSlEwRm5TVVJpWDBveVJVcG5FQUXgAQD6AQUI2QEQSQ!16s%2Fg%2F11rwrw99gk?entry=ttu&amp;g_ep=EgoyMDI2MDYyOS4wIKXMDSoASAFQAw%3D%3D" TargetMode="External"/><Relationship Id="rId15" Type="http://schemas.openxmlformats.org/officeDocument/2006/relationships/hyperlink" Target="https://www.google.com/maps/place/Warung+Mbak+Yanti/data=!4m7!3m6!1s0x2dd7fc04faa0b2b5:0x32b6f57dc13536d5!8m2!3d-7.275834!4d112.7053885!16s%2Fg%2F11g69hrqy5!19sChIJtbKg-gT81y0R1TY1wX31tjI?authuser=0&amp;hl=zh-TW&amp;rclk=1" TargetMode="External"/><Relationship Id="rId14" Type="http://schemas.openxmlformats.org/officeDocument/2006/relationships/hyperlink" Target="https://www.google.com/maps/place/Soto+Ayam+Cak+To+Merr/data=!4m7!3m6!1s0x2dd7f98db5ea0291:0x9fda6f50ab519ae9!8m2!3d-7.2543638!4d112.7823786!16s%2Fg%2F11d_v3vpm9!19sChIJkQLqtY351y0R6ZpRq1Bv2p8?authuser=0&amp;hl=zh-TW&amp;rclk=1" TargetMode="External"/><Relationship Id="rId17" Type="http://schemas.openxmlformats.org/officeDocument/2006/relationships/hyperlink" Target="https://www.google.com/maps/place/Penyetan+Bu+Tri/data=!4m7!3m6!1s0x2dd7fb3094da652d:0xfa4c4dd6a58003d!8m2!3d-7.3434727!4d112.7372855!16s%2Fg%2F11q1s2fkt8!19sChIJLWXalDD71y0RPQBYat3EpA8?authuser=0&amp;hl=zh-TW&amp;rclk=1" TargetMode="External"/><Relationship Id="rId16" Type="http://schemas.openxmlformats.org/officeDocument/2006/relationships/hyperlink" Target="https://www.google.com/maps/place/Penyetan+Mas+Brooo+spesial+pedas/data=!4m7!3m6!1s0x2dd7fb981395fc49:0xc4acadfb3ab3c9e8!8m2!3d-7.3002765!4d112.7728283!16s%2Fg%2F11g14j3197!19sChIJSfyVE5j71y0R6MmzOvutrMQ?authuser=0&amp;hl=zh-TW&amp;rclk=1" TargetMode="External"/><Relationship Id="rId19" Type="http://schemas.openxmlformats.org/officeDocument/2006/relationships/hyperlink" Target="https://www.google.com/maps/place/Warung+Penyetan+Sido+Mulyo+Cak+Benyamin+-+Surabaya+Barat/data=!4m7!3m6!1s0x2dd7fdc5f481751f:0x633517f72db5a6f1!8m2!3d-7.2742691!4d112.636627!16s%2Fg%2F11h3b2p1b7!19sChIJH3WB9MX91y0R8aa1LfcXNWM?authuser=0&amp;hl=zh-TW&amp;rclk=1" TargetMode="External"/><Relationship Id="rId510" Type="http://schemas.openxmlformats.org/officeDocument/2006/relationships/hyperlink" Target="https://www.google.com/maps/place/Monumen+Bambu+Runcing/data=!4m7!3m6!1s0x2dd7fbddb2a74839:0x88761ff5fd601d21!8m2!3d-7.267778!4d112.7443989!16s%2Fg%2F1pzt98g9p!19sChIJOUinst371y0RIR1g_fUfdog?authuser=0&amp;hl=zh-TW&amp;rclk=1" TargetMode="External"/><Relationship Id="rId752" Type="http://schemas.openxmlformats.org/officeDocument/2006/relationships/hyperlink" Target="https://www.google.com/maps/place/Makam+Sunan+Ampel/@-7.2298511,112.7425029,17z/data=!3m1!4b1!4m6!3m5!1s0x2dd7f9889af0b327:0x561ad7e20546f097!8m2!3d-7.2298511!4d112.7425029!16s%2Fg%2F11q9gjwwg0?entry=ttu&amp;g_ep=EgoyMDI2MDYyOS4wIKXMDSoASAFQAw%3D%3D" TargetMode="External"/><Relationship Id="rId18" Type="http://schemas.openxmlformats.org/officeDocument/2006/relationships/hyperlink" Target="https://www.google.com/maps/place/Kampoeng+Lawas+Maspati/data=!4m7!3m6!1s0x2dd7f940a6a92b13:0x68a328ac980e56c6!8m2!3d-7.2475283!4d112.7341726!16s%2Fg%2F11bwf76cw3!19sChIJEyuppkD51y0RxlYOmKwoo2g?authuser=0&amp;hl=zh-TW&amp;rclk=1" TargetMode="External"/><Relationship Id="rId751" Type="http://schemas.openxmlformats.org/officeDocument/2006/relationships/hyperlink" Target="https://www.google.com/maps/place/Toby's+Estate+Coffee+Roasters+-+Tunjungan+Plaza/@-7.261542,112.7045906,13z/data=!4m10!1m2!2m1!1stobys+estate!3m6!1s0x2dd7f96cbf0f97cb:0x2daf811cbeed5a12!8m2!3d-7.261542!4d112.7396095!15sCgx0b2J5cyBlc3RhdGUiA4gBAVoOIgx0b2J5cyBlc3RhdGWSAQtjb2ZmZWVfc2hvcOABAA!16s%2Fg%2F11g1mcb7mr?entry=ttu&amp;g_ep=EgoyMDI2MDYyOS4wIKXMDSoASAFQAw%3D%3D" TargetMode="External"/><Relationship Id="rId750" Type="http://schemas.openxmlformats.org/officeDocument/2006/relationships/hyperlink" Target="https://www.google.com/maps/place/BM+Coffee+Surabaya+-Merr/@-7.32642,112.7809127,17z/data=!3m1!4b1!4m6!3m5!1s0x2dd7fb59597b7879:0xfff81420c89dfb74!8m2!3d-7.32642!4d112.7809127!16s%2Fg%2F11y76q4zhz?entry=ttu&amp;g_ep=EgoyMDI2MDYyOS4wIKXMDSoASAFQAw%3D%3D" TargetMode="External"/><Relationship Id="rId84" Type="http://schemas.openxmlformats.org/officeDocument/2006/relationships/hyperlink" Target="https://www.google.com/maps/place/Taman+AIS+Nasution+Surabaya/data=!4m7!3m6!1s0x2dd7fbdf5abe2039:0xf1e39042be08ceb1!8m2!3d-7.2673876!4d112.744186!16s%2Fg%2F11dyqy5njj!19sChIJOSC-Wt_71y0Rsc4IvkKQ4_E?authuser=0&amp;hl=zh-TW&amp;rclk=1" TargetMode="External"/><Relationship Id="rId83" Type="http://schemas.openxmlformats.org/officeDocument/2006/relationships/hyperlink" Target="https://www.google.com/maps/place/Ekowisata+Mangrove+Medokan+Ayu/data=!4m7!3m6!1s0x2dd7f1fe7bc97d41:0x2f2decc055da393!8m2!3d-7.3298177!4d112.8207124!16s%2Fg%2F11h7sn3lnf!19sChIJQX3Je_7x1y0Rk6NdBcze8gI?authuser=0&amp;hl=zh-TW&amp;rclk=1" TargetMode="External"/><Relationship Id="rId86" Type="http://schemas.openxmlformats.org/officeDocument/2006/relationships/hyperlink" Target="https://www.google.com/maps/place/C12+Coffee+%26+Ride/data=!4m7!3m6!1s0x2dd7fbf7a0a518af:0xf956a28be2a6a035!8m2!3d-7.2891827!4d112.7370669!16s%2Fg%2F11ny5bh1l2!19sChIJrxiloPf71y0RNaCm4ouiVvk?authuser=0&amp;hl=zh-TW&amp;rclk=1" TargetMode="External"/><Relationship Id="rId85" Type="http://schemas.openxmlformats.org/officeDocument/2006/relationships/hyperlink" Target="https://www.google.com/maps/place/Mie+Tidar/data=!4m7!3m6!1s0x2dd7f94e3356d9d5:0x73127e6b56489868!8m2!3d-7.257989!4d112.7321891!16s%2Fg%2F1hm3rh6sq!19sChIJ1dlWM0751y0RaJhIVmt-EnM?authuser=0&amp;hl=zh-TW&amp;rclk=1" TargetMode="External"/><Relationship Id="rId88" Type="http://schemas.openxmlformats.org/officeDocument/2006/relationships/hyperlink" Target="https://www.google.com/maps/place/Gajah+Mada+Pangsit+Mie+Ayam/data=!4m7!3m6!1s0x2dd7fa298c34dcfb:0xc74fdbe624c9b2bf!8m2!3d-7.2670157!4d112.7693953!16s%2Fg%2F1hc3jp5vs!19sChIJ-9w0jCn61y0Rv7LJJObbT8c?authuser=0&amp;hl=zh-TW&amp;rclk=1" TargetMode="External"/><Relationship Id="rId87" Type="http://schemas.openxmlformats.org/officeDocument/2006/relationships/hyperlink" Target="https://www.google.com/maps/place/Muphus+Seafood+Surabaya+Unesa/data=!4m7!3m6!1s0x2dd7fda6cc3d15cd:0x28925092075ba3ee!8m2!3d-7.2982948!4d112.6706293!16s%2Fg%2F11w9n1n0hg!19sChIJzRU9zKb91y0R7qNbB5JQkig?authuser=0&amp;hl=zh-TW&amp;rclk=1" TargetMode="External"/><Relationship Id="rId89" Type="http://schemas.openxmlformats.org/officeDocument/2006/relationships/hyperlink" Target="https://www.google.com/maps/place/Pangsit+Mie+Ayam+Jakarta/data=!4m7!3m6!1s0x2dd7fa3fcd004e21:0x80f4deb068072395!8m2!3d-7.2823374!4d112.7858515!16s%2Fg%2F11bx0b02rh!19sChIJIU4AzT_61y0RlSMHaLDe9IA?authuser=0&amp;hl=zh-TW&amp;rclk=1" TargetMode="External"/><Relationship Id="rId709" Type="http://schemas.openxmlformats.org/officeDocument/2006/relationships/hyperlink" Target="https://www.google.com/maps/place/KidZania+Surabaya/data=!4m7!3m6!1s0x2dd7fd7381486259:0x5b7bb4e4eeee3e77!8m2!3d-7.290009!4d112.7064316!16s%2Fg%2F11frrrlqk7!19sChIJWWJIgXP91y0Rdz7u7uS0e1s?authuser=0&amp;hl=zh-TW&amp;rclk=1" TargetMode="External"/><Relationship Id="rId708" Type="http://schemas.openxmlformats.org/officeDocument/2006/relationships/hyperlink" Target="https://www.google.com/maps/place/Penyetan+Lauk+Pauk+Pakuwon+City/data=!4m7!3m6!1s0x2dd7fbc62e4b9785:0x1665d233b5f77cc0!8m2!3d-7.2655679!4d112.8053637!16s%2Fg%2F11vztxv4y9!19sChIJhZdLLsb71y0RwHz3tTPSZRY?authuser=0&amp;hl=zh-TW&amp;rclk=1" TargetMode="External"/><Relationship Id="rId707" Type="http://schemas.openxmlformats.org/officeDocument/2006/relationships/hyperlink" Target="https://www.google.com/maps/place/Prapanca+Jakartan+Chicken+Noodle/data=!4m7!3m6!1s0x2dd7fb27d1d84ddb:0x655bd7a7a2cca080!8m2!3d-7.284567!4d112.731928!16s%2Fg%2F11f8jhqsc1!19sChIJ203Y0Sf71y0RgKDMoqfXW2U?authuser=0&amp;hl=zh-TW&amp;rclk=1" TargetMode="External"/><Relationship Id="rId706" Type="http://schemas.openxmlformats.org/officeDocument/2006/relationships/hyperlink" Target="https://www.google.com/maps/place/Nasi+Pecel+Rawon+Pucang+Moro+Seneng/data=!4m7!3m6!1s0x2dd7fbc9aeb01779:0xcc054ce1e40ab595!8m2!3d-7.2842801!4d112.7543599!16s%2Fg%2F11bxg0b268!19sChIJeRewrsn71y0RlbUK5OFMBcw?authuser=0&amp;hl=zh-TW&amp;rclk=1" TargetMode="External"/><Relationship Id="rId80" Type="http://schemas.openxmlformats.org/officeDocument/2006/relationships/hyperlink" Target="https://www.google.com/maps/place/Bakso+Cak+Ilung/data=!4m7!3m6!1s0x2dd7fb8cee499487:0x50c6a8ece6bcb152!8m2!3d-7.2902827!4d112.7196796!16s%2Fg%2F1pzwfctcx!19sChIJh5RJ7oz71y0RUrG85uyoxlA?authuser=0&amp;hl=zh-TW&amp;rclk=1" TargetMode="External"/><Relationship Id="rId82" Type="http://schemas.openxmlformats.org/officeDocument/2006/relationships/hyperlink" Target="https://www.google.com/maps/place/Kampung+Warna+Warni+Asem+Rowo/data=!4m7!3m6!1s0x2dd7ffb7e5dd40db:0x7bdb73630d3ea332!8m2!3d-7.2289058!4d112.685404!16s%2Fg%2F11rjqhx7gb!19sChIJ20Dd5bf_1y0RMqM-DWNz23s?authuser=0&amp;hl=zh-TW&amp;rclk=1" TargetMode="External"/><Relationship Id="rId81" Type="http://schemas.openxmlformats.org/officeDocument/2006/relationships/hyperlink" Target="https://www.google.com/maps/place/Indigo+Restaurant/data=!4m7!3m6!1s0x2dd7f95d7c3a9981:0x8c5f4fd9cd14d904!8m2!3d-7.2601208!4d112.7396083!16s%2Fg%2F1hc1ms0v2!19sChIJgZk6fF351y0RBNkUzdlPX4w?authuser=0&amp;hl=zh-TW&amp;rclk=1" TargetMode="External"/><Relationship Id="rId701" Type="http://schemas.openxmlformats.org/officeDocument/2006/relationships/hyperlink" Target="https://www.google.com/maps/place/Sate+Kelinci+Simokerto+SKS/data=!4m7!3m6!1s0x2dd7f9b71d9f2f8b:0x8ee61fe22407c1f8!8m2!3d-7.2392155!4d112.7521743!16s%2Fg%2F11svspr961!19sChIJiy-fHbf51y0R-MEHJOIf5o4?authuser=0&amp;hl=zh-TW&amp;rclk=1" TargetMode="External"/><Relationship Id="rId700" Type="http://schemas.openxmlformats.org/officeDocument/2006/relationships/hyperlink" Target="http://google.com/maps/place/Bebek+Hitam+Klampis+Asli/@-7.2796814,112.7603124,17z/data=!4m6!3m5!1s0x2dd7fa47ed6731b5:0x7a808e9f0f9faad4!8m2!3d-7.2859058!4d112.7761495!16s%2Fg%2F11gbzb_xwy?entry=ttu&amp;g_ep=EgoyMDI2MDYyOS4wIKXMDSoASAFQAw%3D%3D" TargetMode="External"/><Relationship Id="rId705" Type="http://schemas.openxmlformats.org/officeDocument/2006/relationships/hyperlink" Target="https://www.google.com/maps/place/Alun+-+Alun+Surabaya/data=!4m7!3m6!1s0x2dd7f92cdeef8595:0xd38a95482769b82c!8m2!3d-7.2635899!4d112.7453173!16s%2Fg%2F11kn291r80!19sChIJlYXv3iz51y0RLLhpJ0iVitM?authuser=0&amp;hl=zh-TW&amp;rclk=1" TargetMode="External"/><Relationship Id="rId704" Type="http://schemas.openxmlformats.org/officeDocument/2006/relationships/hyperlink" Target="https://www.google.com/maps/place/Sentra+Wisata+Kuliner+Manukan+Lor/data=!4m7!3m6!1s0x2dd7fe630796250b:0x163b7ff9d7a96d83!8m2!3d-7.2594155!4d112.6633096!16s%2Fg%2F11bztf67d6!19sChIJCyWWB2P-1y0Rg22p1_l_OxY?authuser=0&amp;hl=zh-TW&amp;rclk=1" TargetMode="External"/><Relationship Id="rId703" Type="http://schemas.openxmlformats.org/officeDocument/2006/relationships/hyperlink" Target="https://www.google.com/maps/place/Hutan+Kota+Surabaya/data=!4m7!3m6!1s0x2dd7fdf209c871c1:0xf78cdb65dfe44fa0!8m2!3d-7.297311!4d112.702529!16s%2Fg%2F11smqlgsbj!19sChIJwXHICfL91y0RoE_k32XbjPc?authuser=0&amp;hl=zh-TW&amp;rclk=1" TargetMode="External"/><Relationship Id="rId702" Type="http://schemas.openxmlformats.org/officeDocument/2006/relationships/hyperlink" Target="https://www.google.com/maps/place/PENYETAN+BANG+ALI+SIMPANG+DARMO/data=!4m7!3m6!1s0x2dd7fc24f91ae135:0xa16ce1c50e5341c9!8m2!3d-7.2777209!4d112.682985!16s%2Fg%2F11b6_j2012!19sChIJNeEa-ST81y0RyUFTDsXhbKE?authuser=0&amp;hl=zh-TW&amp;rclk=1" TargetMode="External"/><Relationship Id="rId73" Type="http://schemas.openxmlformats.org/officeDocument/2006/relationships/hyperlink" Target="https://www.google.com/maps/place/BAKSO+KUSUKA/data=!4m7!3m6!1s0x2dd7fb9594909a03:0x4bff32148d817b04!8m2!3d-7.2938386!4d112.7547485!16s%2Fg%2F11dztrc4l_!19sChIJA5qQlJX71y0RBHuBjRQy_0s?authuser=0&amp;hl=zh-TW&amp;rclk=1" TargetMode="External"/><Relationship Id="rId72" Type="http://schemas.openxmlformats.org/officeDocument/2006/relationships/hyperlink" Target="https://www.google.com/maps/place/Ah+Yat+Abalone+Forum+Restaurant/data=!4m7!3m6!1s0x2dd7fb8d2a4ca493:0xc67176af2b6cc9fc!8m2!3d-7.2914406!4d112.7154215!16s%2Fg%2F1tl1f8z7!19sChIJk6RMKo371y0R_MlsK692ccY?authuser=0&amp;hl=zh-TW&amp;rclk=1" TargetMode="External"/><Relationship Id="rId75" Type="http://schemas.openxmlformats.org/officeDocument/2006/relationships/hyperlink" Target="https://www.google.com/maps/place/PANTAI+PASIR+PUTIH+SURABAYA/data=!4m7!3m6!1s0x2dd7f1dbf2965c27:0x78e92f24d72477dc!8m2!3d-7.3083125!4d112.8445625!16s%2Fg%2F11p5qj3q0k!19sChIJJ1yW8tvx1y0R3Hck1yQv6Xg?authuser=0&amp;hl=zh-TW&amp;rclk=1" TargetMode="External"/><Relationship Id="rId74" Type="http://schemas.openxmlformats.org/officeDocument/2006/relationships/hyperlink" Target="https://www.google.com/maps/place/Bakso+Tetelan+Pak+Sabar/data=!4m7!3m6!1s0x2dd7fb9abb492e87:0x5bdb32da32b691cc!8m2!3d-7.2986379!4d112.7279963!16s%2Fg%2F11g9nfyqym!19sChIJhy5Ju5r71y0RzJG2Mtoy21s?authuser=0&amp;hl=zh-TW&amp;rclk=1" TargetMode="External"/><Relationship Id="rId77" Type="http://schemas.openxmlformats.org/officeDocument/2006/relationships/hyperlink" Target="https://www.google.com/maps/place/de+Soematra+1910/data=!4m7!3m6!1s0x2dd7fbd97d105b21:0xf5bb90ede92d68bb!8m2!3d-7.2715355!4d112.7473151!16s%2Fg%2F1q5cccjym!19sChIJIVsQfdn71y0Ru2gt6e2Qu_U?authuser=0&amp;hl=zh-TW&amp;rclk=1" TargetMode="External"/><Relationship Id="rId76" Type="http://schemas.openxmlformats.org/officeDocument/2006/relationships/hyperlink" Target="https://www.google.com/maps/place/Penyetan+%22Mbak+Nur%22/data=!4m7!3m6!1s0x2dd7fbc8e68c74e7:0xff83f922f86e9302!8m2!3d-7.3032367!4d112.7490103!16s%2Fg%2F11j36zd2h8!19sChIJ53SM5sj71y0RApNu-CL5g_8?authuser=0&amp;hl=zh-TW&amp;rclk=1" TargetMode="External"/><Relationship Id="rId79" Type="http://schemas.openxmlformats.org/officeDocument/2006/relationships/hyperlink" Target="https://www.google.com/maps/place/The+Atjeh+Connection+SURABAYA/data=!4m7!3m6!1s0x2dd7f94ebd03047b:0xcb0b69fa99b42939!8m2!3d-7.2585699!4d112.727524!16s%2Fg%2F11gvzdcdc0!19sChIJewQDvU751y0ROSm0mfppC8s?authuser=0&amp;hl=zh-TW&amp;rclk=1" TargetMode="External"/><Relationship Id="rId78" Type="http://schemas.openxmlformats.org/officeDocument/2006/relationships/hyperlink" Target="https://www.google.com/maps/place/Bebek+tuan+muda/data=!4m7!3m6!1s0x2dd7fd002efe38e1:0xd6486281e060edfc!8m2!3d-7.2851947!4d112.6566625!16s%2Fg%2F11wng1v2v8!19sChIJ4Tj-LgD91y0R_O1g4IFiSNY?authuser=0&amp;hl=zh-TW&amp;rclk=1" TargetMode="External"/><Relationship Id="rId71" Type="http://schemas.openxmlformats.org/officeDocument/2006/relationships/hyperlink" Target="https://www.google.com/maps/place/Mangrove+petani+tambak+turnodjoyo+%28Pak+Suratno%29/data=!4m7!3m6!1s0x2dd7f111450ff63b:0x582fd8d1670d3efc!8m2!3d-7.3117104!4d112.8235237!16s%2Fg%2F11j3wp3vzd!19sChIJO_YPRRHx1y0R_D4NZ9HYL1g?authuser=0&amp;hl=zh-TW&amp;rclk=1" TargetMode="External"/><Relationship Id="rId70" Type="http://schemas.openxmlformats.org/officeDocument/2006/relationships/hyperlink" Target="https://www.google.com/maps/place/Sate+Ayam+Ponorogo+Pak+Seger/data=!4m7!3m6!1s0x2dd7fbce1a3e8c01:0x207db03b3286bc66!8m2!3d-7.2798719!4d112.7560594!16s%2Fg%2F1hm56zd3t!19sChIJAYw-Gs771y0RZryGMjuwfSA?authuser=0&amp;hl=zh-TW&amp;rclk=1" TargetMode="External"/><Relationship Id="rId62" Type="http://schemas.openxmlformats.org/officeDocument/2006/relationships/hyperlink" Target="https://www.google.com/maps/place/Bakso+Solo+Dan+Es+Campur+Pak+Sabar/data=!4m7!3m6!1s0x2dd7fbd08b70f425:0xa93290240f2c17b0!8m2!3d-7.2735004!4d112.7521441!16s%2Fg%2F11bwpd1z6l!19sChIJJfRwi9D71y0RsBcsDySQMqk?authuser=0&amp;hl=zh-TW&amp;rclk=1" TargetMode="External"/><Relationship Id="rId61" Type="http://schemas.openxmlformats.org/officeDocument/2006/relationships/hyperlink" Target="https://www.google.com/maps/place/Pantai+Kenjeran+Lama/data=!4m7!3m6!1s0x2dd7f9c590a1a9a3:0xc62c6855e5b63c45!8m2!3d-7.2381863!4d112.7955159!16s%2Fg%2F11bxfm0plv!19sChIJo6mhkMX51y0RRTy25VVoLMY?authuser=0&amp;hl=zh-TW&amp;rclk=1" TargetMode="External"/><Relationship Id="rId64" Type="http://schemas.openxmlformats.org/officeDocument/2006/relationships/hyperlink" Target="https://www.google.com/maps/place/Taman+PUPR+Keputih+Surabaya/data=!4m7!3m6!1s0x2dd7fb337d845aa5:0x3ec717156f00d8b6!8m2!3d-7.3007106!4d112.8024759!16s%2Fg%2F11kwb2lz8y!19sChIJpVqEfTP71y0RttgAbxUXxz4?authuser=0&amp;hl=zh-TW&amp;rclk=1" TargetMode="External"/><Relationship Id="rId63" Type="http://schemas.openxmlformats.org/officeDocument/2006/relationships/hyperlink" Target="https://www.google.com/maps/place/Taman+Pakuwon/data=!4m7!3m6!1s0x2dd7fc4abf86d06b:0x2aec024551c1d8ff!8m2!3d-7.2921856!4d112.6688692!16s%2Fg%2F11g8cr2xn7!19sChIJa9CGv0r81y0R_9jBUUUC7Co?authuser=0&amp;hl=zh-TW&amp;rclk=1" TargetMode="External"/><Relationship Id="rId66" Type="http://schemas.openxmlformats.org/officeDocument/2006/relationships/hyperlink" Target="https://www.google.com/maps/place/Bamboo+Forest+Keputih+Surabaya/data=!4m7!3m6!1s0x2dd7f900d37fae9b:0x637bddc13af0df47!8m2!3d-7.2941909!4d112.8017238!16s%2Fg%2F11b7rtm8fv!19sChIJm65_0wD51y0RR9_wOsHde2M?authuser=0&amp;hl=zh-TW&amp;rclk=1" TargetMode="External"/><Relationship Id="rId65" Type="http://schemas.openxmlformats.org/officeDocument/2006/relationships/hyperlink" Target="https://www.google.com/maps/place/The+Gallery+Restaurant+-+Ciputra+World+Hotel+Surabaya/data=!4m7!3m6!1s0x2dd7fb000d1c3a6f:0x9bd32906094fef9c!8m2!3d-7.292156!4d112.7189564!16s%2Fg%2F11y317fx0v!19sChIJbzocDQD71y0RnO9PCQYp05s?authuser=0&amp;hl=zh-TW&amp;rclk=1" TargetMode="External"/><Relationship Id="rId68" Type="http://schemas.openxmlformats.org/officeDocument/2006/relationships/hyperlink" Target="https://www.google.com/maps/place/Bakwan+Pak+Nur/data=!4m7!3m6!1s0x2dd7fbe94c6984af:0x3a9186ecda29bcc2!8m2!3d-7.2816342!4d112.7335055!16s%2Fg%2F11btwqh9j_!19sChIJr4RpTOn71y0Rwrwp2uyGkTo?authuser=0&amp;hl=zh-TW&amp;rclk=1" TargetMode="External"/><Relationship Id="rId67" Type="http://schemas.openxmlformats.org/officeDocument/2006/relationships/hyperlink" Target="https://www.google.com/maps/place/Warung+Leko/data=!4m7!3m6!1s0x2dd7fa33a84ab17d:0xd15b711951f1f689!8m2!3d-7.2775083!4d112.7659981!16s%2Fg%2F1pzrfjk6t!19sChIJfbFKqDP61y0RifbxURlxW9E?authuser=0&amp;hl=zh-TW&amp;rclk=1" TargetMode="External"/><Relationship Id="rId729" Type="http://schemas.openxmlformats.org/officeDocument/2006/relationships/hyperlink" Target="https://www.google.com/maps/place/BAKSO+SOLO+DAN+MIE+AYAM+CEKER+ECO+ECO/data=!4m7!3m6!1s0x2dd7f963f63d74bb:0x3d18f1576ef3193d!8m2!3d-7.2330095!4d112.723428!16s%2Fg%2F11b6s_prfn!19sChIJu3Q99mP51y0RPRnzblfxGD0?authuser=0&amp;hl=zh-TW&amp;rclk=1" TargetMode="External"/><Relationship Id="rId728" Type="http://schemas.openxmlformats.org/officeDocument/2006/relationships/hyperlink" Target="https://www.google.com/maps/place/Bebek+Tumapel+Mbak+Roh/data=!4m7!3m6!1s0x2dd7fbc046aa3d35:0xf40295e623ccb469!8m2!3d-7.2855545!4d112.7409039!16s%2Fg%2F11c2pzh5yf!19sChIJNT2qRsD71y0RabTMI-aVAvQ?authuser=0&amp;hl=zh-TW&amp;rclk=1" TargetMode="External"/><Relationship Id="rId60" Type="http://schemas.openxmlformats.org/officeDocument/2006/relationships/hyperlink" Target="https://www.google.com/maps/place/Penyetan+Cok+-+Transmart+Surabaya/data=!4m7!3m6!1s0x2dd7fba718c10c03:0xea7a8b5014587199!8m2!3d-7.3207557!4d112.7706718!16s%2Fg%2F11f63010_n!19sChIJAwzBGKf71y0RmXFYFFCLeuo?authuser=0&amp;hl=zh-TW&amp;rclk=1" TargetMode="External"/><Relationship Id="rId723" Type="http://schemas.openxmlformats.org/officeDocument/2006/relationships/hyperlink" Target="https://www.google.com/maps/place/Cafe+B.ARU/@-7.288892,112.734595,17z/data=!3m1!4b1!4m6!3m5!1s0x2dd7fb64cce2caa1:0x709aa53cf94c0da2!8m2!3d-7.288892!4d112.734595!16s%2Fg%2F11k9d48hy_?entry=ttu&amp;g_ep=EgoyMDI2MDYyOS4wIKXMDSoASAFQAw%3D%3D" TargetMode="External"/><Relationship Id="rId722" Type="http://schemas.openxmlformats.org/officeDocument/2006/relationships/hyperlink" Target="http://google.com/maps/place/Djavahaus+Coffee+and+Eatery/@-7.256757,112.7398604,17z/data=!4m6!3m5!1s0x2dd7f90fd879002b:0x7167762bebba0685!8m2!3d-7.2658737!4d112.7309841!16s%2Fg%2F11v095s9t_?entry=ttu&amp;g_ep=EgoyMDI2MDYyOS4wIKXMDSoASAFQAw%3D%3D" TargetMode="External"/><Relationship Id="rId721" Type="http://schemas.openxmlformats.org/officeDocument/2006/relationships/hyperlink" Target="https://www.google.com/maps/place/OL+and+NU+cafe+eatery/data=!4m7!3m6!1s0x2dd7f956a1bf4e4f:0xd2578143682028d2!8m2!3d-7.2592726!4d112.7497086!16s%2Fg%2F11vprwqyws!19sChIJT06_oVb51y0R0iggaEOBV9I?authuser=0&amp;hl=zh-TW&amp;rclk=1" TargetMode="External"/><Relationship Id="rId720" Type="http://schemas.openxmlformats.org/officeDocument/2006/relationships/hyperlink" Target="https://www.google.com/maps/place/Soto+Ayam+Lamongan+Pak+No/data=!4m7!3m6!1s0x2dd7fbb774e98f4f:0x1c92ee7bb487ed61!8m2!3d-7.2889434!4d112.7522141!16s%2Fg%2F1pzpjh54j!19sChIJT4_pdLf71y0RYe2HtHvukhw?authuser=0&amp;hl=zh-TW&amp;rclk=1" TargetMode="External"/><Relationship Id="rId727" Type="http://schemas.openxmlformats.org/officeDocument/2006/relationships/hyperlink" Target="https://www.google.com/maps/place/Nasi+Babat+Kampung+Malang+Surabaya/data=!4m7!3m6!1s0x2dd7fbe10fb69f45:0x3fb2a844d676d0af!8m2!3d-7.2681961!4d112.7349789!16s%2Fg%2F11dztt3kjt!19sChIJRZ-2D-H71y0Rr9B21kSosj8?authuser=0&amp;hl=zh-TW&amp;rclk=1" TargetMode="External"/><Relationship Id="rId726" Type="http://schemas.openxmlformats.org/officeDocument/2006/relationships/hyperlink" Target="https://www.google.com/maps/place/Tempe+Penyet+Vira/data=!4m7!3m6!1s0x2dd7fc548955bfb7:0xc96f5aefce35bc11!8m2!3d-7.3070553!4d112.6701489!16s%2Fg%2F11f5h39bmc!19sChIJt79ViVT81y0REbw1zu9ab8k?authuser=0&amp;hl=zh-TW&amp;rclk=1" TargetMode="External"/><Relationship Id="rId725" Type="http://schemas.openxmlformats.org/officeDocument/2006/relationships/hyperlink" Target="https://www.google.com/maps/place/Sentra+Wisata+Kuliner+Karah/data=!4m7!3m6!1s0x2dd7fb7e454cd07f:0xaa34624d82b54c19!8m2!3d-7.3094548!4d112.7196133!16s%2Fg%2F1jgm4c3s7!19sChIJf9BMRX771y0RGUy1gk1iNKo?authuser=0&amp;hl=zh-TW&amp;rclk=1" TargetMode="External"/><Relationship Id="rId724" Type="http://schemas.openxmlformats.org/officeDocument/2006/relationships/hyperlink" Target="https://www.google.com/maps/place/Sari+Laut+Cak+San/data=!4m7!3m6!1s0x2dd7f96d0879c041:0x3de7d26005f4af15!8m2!3d-7.248906!4d112.748794!16s%2Fg%2F11gbzc5c5t!19sChIJQcB5CG351y0RFa_0BWDS5z0?authuser=0&amp;hl=zh-TW&amp;rclk=1" TargetMode="External"/><Relationship Id="rId69" Type="http://schemas.openxmlformats.org/officeDocument/2006/relationships/hyperlink" Target="https://www.google.com/maps/place/Monumen+Tugu+Pahlawan+dan+Museum+Sepuluh+Nopember+Surabaya/data=!4m7!3m6!1s0x2dd7f93fc001bc5d:0x110e38d8a6c23fbe!8m2!3d-7.245555!4d112.7378627!16s%2Fg%2F11f01txlq2!19sChIJXbwBwD_51y0Rvj_Cptg4DhE?authuser=0&amp;hl=zh-TW&amp;rclk=1" TargetMode="External"/><Relationship Id="rId51" Type="http://schemas.openxmlformats.org/officeDocument/2006/relationships/hyperlink" Target="https://www.google.com/maps/place/Kopitagram+-+Tenggilis/data=!4m7!3m6!1s0x2dd7fb461c410641:0xa2dea7517df8c426!8m2!3d-7.3200278!4d112.7552781!16s%2Fg%2F11sfbb4yg0!19sChIJQQZBHEb71y0RJsT4fVGn3qI?authuser=0&amp;hl=zh-TW&amp;rclk=1" TargetMode="External"/><Relationship Id="rId50" Type="http://schemas.openxmlformats.org/officeDocument/2006/relationships/hyperlink" Target="https://www.google.com/maps/place/Warung+NOW/data=!4m7!3m6!1s0x2dd7f9650fb0f459:0x8ac0313d2d88db48!8m2!3d-7.2583138!4d112.7486017!16s%2Fg%2F11g9jgv5_x!19sChIJWfSwD2X51y0RSNuILT0xwIo?authuser=0&amp;hl=zh-TW&amp;rclk=1" TargetMode="External"/><Relationship Id="rId53" Type="http://schemas.openxmlformats.org/officeDocument/2006/relationships/hyperlink" Target="https://www.google.com/maps/place/Pangsit+Mie+Ayam+Jakarta+Anugerah+Jaya+CAK+RUL/data=!4m7!3m6!1s0x2dd7fdaf528c91e9:0x64222e18a4f5e156!8m2!3d-7.3359633!4d112.6996374!16s%2Fg%2F11gnt99f51!19sChIJ6ZGMUq_91y0RVuH1pBguImQ?authuser=0&amp;hl=zh-TW&amp;rclk=1" TargetMode="External"/><Relationship Id="rId52" Type="http://schemas.openxmlformats.org/officeDocument/2006/relationships/hyperlink" Target="https://www.google.com/maps/place/Bakso+Pajero+Surabaya/data=!4m7!3m6!1s0x2dd7fb0be360f129:0x57bbdd344fd6388d!8m2!3d-7.2721265!4d112.7562419!16s%2Fg%2F11n4xhr2zs!19sChIJKfFg4wv71y0RjTjWTzTdu1c?authuser=0&amp;hl=zh-TW&amp;rclk=1" TargetMode="External"/><Relationship Id="rId55" Type="http://schemas.openxmlformats.org/officeDocument/2006/relationships/hyperlink" Target="https://www.google.com/maps/place/Bakso+Dumbo+Surabaya/data=!4m7!3m6!1s0x2dd7fbc56202d9f1:0xf47975510c1e42a7!8m2!3d-7.2987308!4d112.7319486!16s%2Fg%2F11ys1636px!19sChIJ8dkCYsX71y0Rp0IeDFF1efQ?authuser=0&amp;hl=zh-TW&amp;rclk=1" TargetMode="External"/><Relationship Id="rId54" Type="http://schemas.openxmlformats.org/officeDocument/2006/relationships/hyperlink" Target="https://www.google.com/maps/place/Rawon+Pak+Pangat/data=!4m7!3m6!1s0x2dd7fb6646d42f51:0x402f071492005ab4!8m2!3d-7.3246861!4d112.7254193!16s%2Fg%2F1hm36f846!19sChIJUS_URmb71y0RtFoAkhQHL0A?authuser=0&amp;hl=zh-TW&amp;rclk=1" TargetMode="External"/><Relationship Id="rId57" Type="http://schemas.openxmlformats.org/officeDocument/2006/relationships/hyperlink" Target="https://www.google.com/maps/place/Warong+penyetan+Ponorogo/data=!4m7!3m6!1s0x2dd7f9cef1788629:0xf5aa9baf14db4427!8m2!3d-7.2625496!4d112.7354527!16s%2Fg%2F11jbntxx1t!19sChIJKYZ48c751y0RJ0TbFK-bqvU?authuser=0&amp;hl=zh-TW&amp;rclk=1" TargetMode="External"/><Relationship Id="rId56" Type="http://schemas.openxmlformats.org/officeDocument/2006/relationships/hyperlink" Target="https://www.google.com/maps/place/Warung+Pak+Ghofar/data=!4m7!3m6!1s0x2dd7fc23e72ee2d3:0x4ea46a0214682904!8m2!3d-7.2752225!4d112.6867139!16s%2Fg%2F11btxc_0wc!19sChIJ0-Iu5yP81y0RBCloFAJqpE4?authuser=0&amp;hl=zh-TW&amp;rclk=1" TargetMode="External"/><Relationship Id="rId719" Type="http://schemas.openxmlformats.org/officeDocument/2006/relationships/hyperlink" Target="https://www.google.com/maps/place/Cafe+Olympus+Surabaya+Barat/data=!4m7!3m6!1s0x2e7801bcfb88ba61:0x4d3f9f4af4ffeb91!8m2!3d-7.2292662!4d112.6157369!16s%2Fg%2F11tnbhtyv9!19sChIJYbqI-7wBeC4Rkev_9EqfP00?authuser=0&amp;hl=zh-TW&amp;rclk=1" TargetMode="External"/><Relationship Id="rId718" Type="http://schemas.openxmlformats.org/officeDocument/2006/relationships/hyperlink" Target="https://www.google.com/maps/place/Taman+Angsa/data=!4m7!3m6!1s0x2dd7fc4c9027e23f:0xe0a548aae9a5a27a!8m2!3d-7.2921284!4d112.6693617!16s%2Fg%2F11fxccnn1s!19sChIJP-InkEz81y0ReqKl6apIpeA?authuser=0&amp;hl=zh-TW&amp;rclk=1" TargetMode="External"/><Relationship Id="rId717" Type="http://schemas.openxmlformats.org/officeDocument/2006/relationships/hyperlink" Target="https://www.google.com/maps/place/Sentra+Wisata+Kuliner+Taman+Prestasi/data=!4m7!3m6!1s0x2dd7f961583842c3:0xc37d54c83b94a6d8!8m2!3d-7.2624706!4d112.7447097!16s%2Fg%2F11g6bld2wl!19sChIJw0I4WGH51y0R2KaUO8hUfcM?authuser=0&amp;hl=zh-TW&amp;rclk=1" TargetMode="External"/><Relationship Id="rId712" Type="http://schemas.openxmlformats.org/officeDocument/2006/relationships/hyperlink" Target="https://www.google.com/maps/place/Warung+Dewi/data=!4m7!3m6!1s0x2dd7fbbdc90d2a67:0xeb51cb5298d2c77e!8m2!3d-7.2933357!4d112.7416048!16s%2Fg%2F11b6hy70nm!19sChIJZyoNyb371y0RfsfSmFLLUes?authuser=0&amp;hl=zh-TW&amp;rclk=1" TargetMode="External"/><Relationship Id="rId711" Type="http://schemas.openxmlformats.org/officeDocument/2006/relationships/hyperlink" Target="https://www.google.com/maps/place/Kedinding+Playground/data=!4m7!3m6!1s0x2dd7f85329bf93df:0xa9744a3f1319c6a1!8m2!3d-7.2247451!4d112.7717239!16s%2Fg%2F11f11g9tjx!19sChIJ35O_KVP41y0RocYZEz9KdKk?authuser=0&amp;hl=zh-TW&amp;rclk=1" TargetMode="External"/><Relationship Id="rId710" Type="http://schemas.openxmlformats.org/officeDocument/2006/relationships/hyperlink" Target="https://www.google.com/maps/place/Kenjeran+Park/data=!4m7!3m6!1s0x2dd7f9efbb9ec3d5:0x671745ebef4daa!8m2!3d-7.2525912!4d112.7969305!16s%2Fg%2F11g68_jjk_!19sChIJ1cOeu-_51y0Rqk3v60UXZwA?authuser=0&amp;hl=zh-TW&amp;rclk=1" TargetMode="External"/><Relationship Id="rId716" Type="http://schemas.openxmlformats.org/officeDocument/2006/relationships/hyperlink" Target="https://www.google.com/maps/place/Rawon+Mojopahit/data=!4m7!3m6!1s0x2dd7e6d28e5dc6a1:0x8f663658a7dd715!8m2!3d-7.460179!4d112.7176703!16s%2Fg%2F11c4bpwlxp!19sChIJocZdjtLm1y0RFdd9imVj9gg?authuser=0&amp;hl=zh-TW&amp;rclk=1" TargetMode="External"/><Relationship Id="rId715" Type="http://schemas.openxmlformats.org/officeDocument/2006/relationships/hyperlink" Target="https://www.google.com/maps/place/Es+Teler+Pacarkeling+dan+Bakso+Pak+No/data=!4m7!3m6!1s0x2dd7f97bb4ed519b:0x8450ace7ed19b5d0!8m2!3d-7.2588342!4d112.7552786!16s%2Fg%2F11b6dg1jdw!19sChIJm1HttHv51y0R0LUZ7eesUIQ?authuser=0&amp;hl=zh-TW&amp;rclk=1" TargetMode="External"/><Relationship Id="rId714" Type="http://schemas.openxmlformats.org/officeDocument/2006/relationships/hyperlink" Target="https://www.google.com/maps/place/Makan+Kitchen+Surabaya/data=!4m7!3m6!1s0x2dd7f90ad1df2373:0x25deb57115e7d4f6!8m2!3d-7.2569375!4d112.7365341!16s%2Fg%2F11n0rt2d9n!19sChIJcyPf0Qr51y0R9tTnFXG13iU?authuser=0&amp;hl=zh-TW&amp;rclk=1" TargetMode="External"/><Relationship Id="rId713" Type="http://schemas.openxmlformats.org/officeDocument/2006/relationships/hyperlink" Target="https://www.google.com/maps/place/Pangsit+Mie+Ayam+Tuban+Pak+Suci/data=!4m7!3m6!1s0x2dd7f93befb867d7:0x572a6b1f074f401e!8m2!3d-7.24158!4d112.7322633!16s%2Fg%2F11b6t7wpld!19sChIJ12e47zv51y0RHkBPBx9rKlc?authuser=0&amp;hl=zh-TW&amp;rclk=1" TargetMode="External"/><Relationship Id="rId59" Type="http://schemas.openxmlformats.org/officeDocument/2006/relationships/hyperlink" Target="https://www.google.com/maps/place/Layar+Seafood+KH+Abdul+Wahab+Siamin/data=!4m7!3m6!1s0x2dd7fc7a4e47c44d:0x4daf76d21ed7ac8e!8m2!3d-7.2937027!4d112.707384!16s%2Fg%2F1hm5d8pc0!19sChIJTcRHTnr81y0RjqzXHtJ2r00?authuser=0&amp;hl=zh-TW&amp;rclk=1" TargetMode="External"/><Relationship Id="rId58" Type="http://schemas.openxmlformats.org/officeDocument/2006/relationships/hyperlink" Target="https://www.google.com/maps/place/Wisata+Kuliner+Pasar+Genteng/data=!4m7!3m6!1s0x2dd7f949d317e533:0x911d84da2720187e!8m2!3d-7.2588538!4d112.7416521!16s%2Fg%2F11f6ycry0k!19sChIJM-UX00n51y0RfhggJ9qEHZE?authuser=0&amp;hl=zh-TW&amp;rclk=1" TargetMode="External"/><Relationship Id="rId590" Type="http://schemas.openxmlformats.org/officeDocument/2006/relationships/hyperlink" Target="https://www.google.com/maps/place/Bebek+Goreng+H.+Slamet,+Ngagel+Surabaya+by+Assalam+Group/data=!4m7!3m6!1s0x2dd7fbb708a088d9:0x769bf44d663ffdf0!8m2!3d-7.2892522!4d112.7531971!16s%2Fg%2F11c7t0rxt3!19sChIJ2YigCLf71y0R8P0_Zk30m3Y?authuser=0&amp;hl=zh-TW&amp;rclk=1" TargetMode="External"/><Relationship Id="rId107" Type="http://schemas.openxmlformats.org/officeDocument/2006/relationships/hyperlink" Target="https://www.google.com/maps/place/Kudos+Cafe+-+Pakuwon+Square/@-7.2948389,112.6752565,17z/data=!3m1!4b1!4m6!3m5!1s0x2dd7fc49d6eaaaab:0x37c978891819367f!8m2!3d-7.2948389!4d112.6752565!16s%2Fg%2F11bx4bhk3w?entry=ttu&amp;g_ep=EgoyMDI2MDYyOS4wIKXMDSoASAFQAw%3D%3D" TargetMode="External"/><Relationship Id="rId349" Type="http://schemas.openxmlformats.org/officeDocument/2006/relationships/hyperlink" Target="https://www.google.com/maps/place/Bakso+Tetelan+Pak+Kam/data=!4m7!3m6!1s0x2dd7f92387b7f0af:0x59ad3ab7407ce96e!8m2!3d-7.2585592!4d112.7426142!16s%2Fg%2F11n5r0k7y6!19sChIJr_C3hyP51y0Rbul8QLc6rVk?authuser=0&amp;hl=zh-TW&amp;rclk=1" TargetMode="External"/><Relationship Id="rId106" Type="http://schemas.openxmlformats.org/officeDocument/2006/relationships/hyperlink" Target="https://www.google.com/maps/place/Soto+Ayam+cak+di+Lamongan/data=!4m7!3m6!1s0x2dd7fa3e2e1b31bb:0x8e6852ffb8b240df!8m2!3d-7.2818924!4d112.7860041!16s%2Fg%2F11n6_1km3y!19sChIJuzEbLj761y0R30CyuP9SaI4?authuser=0&amp;hl=zh-TW&amp;rclk=1" TargetMode="External"/><Relationship Id="rId348" Type="http://schemas.openxmlformats.org/officeDocument/2006/relationships/hyperlink" Target="https://www.google.com/maps/place/Warung+Lesehan+Rumadi/data=!4m7!3m6!1s0x2dd7fdaea0d1c151:0xb5c356bc47b3e26c!8m2!3d-7.3053905!4d112.6613282!16s%2Fg%2F1hm463zwt!19sChIJUcHRoK791y0RbOKzR7xWw7U?authuser=0&amp;hl=zh-TW&amp;rclk=1" TargetMode="External"/><Relationship Id="rId105" Type="http://schemas.openxmlformats.org/officeDocument/2006/relationships/hyperlink" Target="https://www.google.com/maps/place/VISMA+%7C+Coffee,+Art+%26+Co+-+Working+Space/data=!4m7!3m6!1s0x2dd7f95f961b3a21:0x937a6a39480a3e32!8m2!3d-7.265988!4d112.738307!16s%2Fg%2F11ckvdmd8s!19sChIJITobll_51y0RMj4KSDlqepM?authuser=0&amp;hl=zh-TW&amp;rclk=1" TargetMode="External"/><Relationship Id="rId347" Type="http://schemas.openxmlformats.org/officeDocument/2006/relationships/hyperlink" Target="https://www.google.com/maps/place/Bebek+Cabbhi+Surabaya+Kayoon/data=!4m7!3m6!1s0x2dd7fb396cde2223:0xc4016a00c37d874a!8m2!3d-7.2670486!4d112.7495918!16s%2Fg%2F11nbhmmv3f!19sChIJIyLebDn71y0RSod9wwBqAcQ?authuser=0&amp;hl=zh-TW&amp;rclk=1" TargetMode="External"/><Relationship Id="rId589" Type="http://schemas.openxmlformats.org/officeDocument/2006/relationships/hyperlink" Target="https://www.google.com/maps/place/Depot+Bu+Rudy+-+Dharmahusada/@-7.2674503,112.7700431,17z/data=!3m2!4b1!5s0x2dd7fa2900070f67:0x7b3b78cfbe660a0!4m6!3m5!1s0x2dd7f9fdfa4dc9cd:0x73513935dae2989e!8m2!3d-7.2674503!4d112.7700431!16s%2Fg%2F1hd_3mf8w?entry=ttu&amp;g_ep=EgoyMDI2MDYyOS4wIKXMDSoASAFQAw%3D%3D" TargetMode="External"/><Relationship Id="rId104" Type="http://schemas.openxmlformats.org/officeDocument/2006/relationships/hyperlink" Target="https://www.google.com/maps/place/Taman+Hutan+Raya+Lempung/data=!4m7!3m6!1s0x2dd7fffae6291fcb:0x8328cb2b3f0e2d0e!8m2!3d-7.2650126!4d112.6731242!16s%2Fg%2F11qnt91yrp!19sChIJyx8p5vr_1y0RDi0OPyvLKIM?authuser=0&amp;hl=zh-TW&amp;rclk=1" TargetMode="External"/><Relationship Id="rId346" Type="http://schemas.openxmlformats.org/officeDocument/2006/relationships/hyperlink" Target="https://www.google.com/maps/place/Dopamine+Bakehouse+%26+Caf%C3%A9/data=!4m7!3m6!1s0x2dd7fb20f7787911:0xc7d894b13eb0563d!8m2!3d-7.3320121!4d112.7840762!16s%2Fg%2F11vrjhl06n!19sChIJEXl49yD71y0RPVawPrGU2Mc?authuser=0&amp;hl=zh-TW&amp;rclk=1" TargetMode="External"/><Relationship Id="rId588" Type="http://schemas.openxmlformats.org/officeDocument/2006/relationships/hyperlink" Target="https://www.google.com/maps/place/Bebek+Goreng+Papin/data=!4m7!3m6!1s0x2dd7f96d0610ebcd:0xbb0e320f86f44a04!8m2!3d-7.2482689!4d112.7471493!16s%2Fg%2F1hc79tvl0!19sChIJzesQBm351y0RBEr0hg8yDrs?authuser=0&amp;hl=zh-TW&amp;rclk=1" TargetMode="External"/><Relationship Id="rId109" Type="http://schemas.openxmlformats.org/officeDocument/2006/relationships/hyperlink" Target="https://www.google.com/maps/place/Pangsit+Mie+Ayam+Jakarta+Kaisar/data=!4m7!3m6!1s0x2dd7f950d26c73b5:0x956e89d4e34797cd!8m2!3d-7.262635!4d112.7248143!16s%2Fg%2F11b6c8x1rq!19sChIJtXNs0lD51y0RzZdH49SJbpU?authuser=0&amp;hl=zh-TW&amp;rclk=1" TargetMode="External"/><Relationship Id="rId108" Type="http://schemas.openxmlformats.org/officeDocument/2006/relationships/hyperlink" Target="https://www.google.com/maps/place/TaoHuaYuan+Restaurant/data=!4m7!3m6!1s0x2dd7fd4abffa0a4f:0xb85380abd14e9c24!8m2!3d-7.2882098!4d112.7007817!16s%2Fg%2F11y98kl8tt!19sChIJTwr6v0r91y0RJJxO0auAU7g?authuser=0&amp;hl=zh-TW&amp;rclk=1" TargetMode="External"/><Relationship Id="rId341" Type="http://schemas.openxmlformats.org/officeDocument/2006/relationships/hyperlink" Target="https://www.google.com/maps/place/Nasi+Cumi+Pasar+Atom+Ibu+Atun/data=!4m2!3m1!1s0x2dd7f916c0386219:0x6208b23019ab88c5?sa=X&amp;ved=1t:242&amp;ictx=111" TargetMode="External"/><Relationship Id="rId583" Type="http://schemas.openxmlformats.org/officeDocument/2006/relationships/hyperlink" Target="https://www.google.com/maps/place/Ria+Galeria/data=!4m7!3m6!1s0x2dd7fbda310daff1:0xe4dd00b11c394757!8m2!3d-7.2725329!4d112.748591!16s%2Fg%2F1pzrxnvs6!19sChIJ8a8NMdr71y0RV0c5HLEA3eQ?authuser=0&amp;hl=zh-TW&amp;rclk=1" TargetMode="External"/><Relationship Id="rId340" Type="http://schemas.openxmlformats.org/officeDocument/2006/relationships/hyperlink" Target="https://www.google.com/maps/place/KAPTEN+SEAFOOD+SURABAYA+UTARA/data=!4m7!3m6!1s0x2dd7f9c9683575db:0xd9989894944b9109!8m2!3d-7.2459183!4d112.7339189!16s%2Fg%2F11y207lckt!19sChIJ23U1aMn51y0RCZFLlJSYmNk?authuser=0&amp;hl=zh-TW&amp;rclk=1" TargetMode="External"/><Relationship Id="rId582" Type="http://schemas.openxmlformats.org/officeDocument/2006/relationships/hyperlink" Target="https://www.google.com/maps/place/Sate+Posang/data=!4m7!3m6!1s0x2dd7fc067066bb4d:0xe1d48e4f15acc2fc!8m2!3d-7.2769269!4d112.7098654!16s%2Fg%2F11f3nm42_f!19sChIJTbtmcAb81y0R_MKsFU-O1OE?authuser=0&amp;hl=zh-TW&amp;rclk=1" TargetMode="External"/><Relationship Id="rId581" Type="http://schemas.openxmlformats.org/officeDocument/2006/relationships/hyperlink" Target="https://www.google.com/maps/place/De+Javasche+Bank/data=!4m7!3m6!1s0x2dd7f922ef7a959d:0xddbdd454fd8f7afc!8m2!3d-7.2353939!4d112.7367646!16s%2Fm%2F012w498d!19sChIJnZV67yL51y0R_HqP_VTUvd0?authuser=0&amp;hl=zh-TW&amp;rclk=1" TargetMode="External"/><Relationship Id="rId580" Type="http://schemas.openxmlformats.org/officeDocument/2006/relationships/hyperlink" Target="https://www.google.com/maps/place/Botanika+-+Kertajaya+Indah/data=!4m7!3m6!1s0x2dd7fa3a005a3f37:0xa8d07d36e28a1151!8m2!3d-7.2801373!4d112.7749205!16s%2Fg%2F11d_bsnb1_!19sChIJNz9aADr61y0RURGK4jZ90Kg?authuser=0&amp;hl=zh-TW&amp;rclk=1" TargetMode="External"/><Relationship Id="rId103" Type="http://schemas.openxmlformats.org/officeDocument/2006/relationships/hyperlink" Target="https://www.google.com/maps/place/Penyetan+Cok+PTC/data=!4m7!3m6!1s0x2dd7fda7a85b9155:0x12901a5ff579aa6b!8m2!3d-7.2907677!4d112.6736724!16s%2Fg%2F11y448yg1z!19sChIJVZFbqKf91y0Ra6p59V8akBI?authuser=0&amp;hl=zh-TW&amp;rclk=1" TargetMode="External"/><Relationship Id="rId345" Type="http://schemas.openxmlformats.org/officeDocument/2006/relationships/hyperlink" Target="https://www.google.com/maps/place/RUIHE+Citraland+chinese+%26+seafood+%28%E7%91%9E%E5%92%8C%EF%BC%89/data=!4m7!3m6!1s0x2dd7fc1b555048f1:0xc1fd019baf4ebfd9!8m2!3d-7.2755925!4d112.6459812!16s%2Fg%2F11dfk8qm_5!19sChIJ8UhQVRv81y0R2b9Or5sB_cE?authuser=0&amp;hl=zh-TW&amp;rclk=1" TargetMode="External"/><Relationship Id="rId587" Type="http://schemas.openxmlformats.org/officeDocument/2006/relationships/hyperlink" Target="https://www.google.com/maps/place/Mohen+Coffee+%26Eatery/@-7.260247,112.744649,17z/data=!3m1!4b1!4m6!3m5!1s0x2dd7f900731de4cd:0x1cb9510f3e3f3e69!8m2!3d-7.260247!4d112.744649!16s%2Fg%2F11mt562435?entry=ttu&amp;g_ep=EgoyMDI2MDYyOS4wIKXMDSoASAFQAw%3D%3D" TargetMode="External"/><Relationship Id="rId102" Type="http://schemas.openxmlformats.org/officeDocument/2006/relationships/hyperlink" Target="https://www.google.com/maps/place/Eco+Wisata+-+Susur+Sungai+Kejawan+Putih+Tambak/data=!4m7!3m6!1s0x2dd7fb037e40def1:0x901b288d43057665!8m2!3d-7.2842452!4d112.805911!16s%2Fg%2F11s7vmb7tq!19sChIJ8d5AfgP71y0RZXYFQ40oG5A?authuser=0&amp;hl=zh-TW&amp;rclk=1" TargetMode="External"/><Relationship Id="rId344" Type="http://schemas.openxmlformats.org/officeDocument/2006/relationships/hyperlink" Target="https://www.google.com/maps/place/Sentra+Wisata+Kuliner+Sukomanunggal/data=!4m7!3m6!1s0x2dd7fea15484ffff:0x7807438fad97b056!8m2!3d-7.2643434!4d112.6970826!16s%2Fg%2F11bwm70gy4!19sChIJ__-EVKH-1y0RVrCXrY9DB3g?authuser=0&amp;hl=zh-TW&amp;rclk=1" TargetMode="External"/><Relationship Id="rId586" Type="http://schemas.openxmlformats.org/officeDocument/2006/relationships/hyperlink" Target="https://www.google.com/maps/place/%22Soto+Mie+Bogor%22+Warung+Makan+AA+%28WMA%29/data=!4m7!3m6!1s0x2dd7fb322baab54d:0x9d367d800aa7f651!8m2!3d-7.2661046!4d112.7642002!16s%2Fg%2F11gsmtnnvq!19sChIJTbWqKzL71y0RUfanCoB9Np0?authuser=0&amp;hl=zh-TW&amp;rclk=1" TargetMode="External"/><Relationship Id="rId101" Type="http://schemas.openxmlformats.org/officeDocument/2006/relationships/hyperlink" Target="https://www.google.com/maps/place/Mie+Ayam+Sido+Kangen/data=!4m7!3m6!1s0x2dd7f932f0b6b623:0x63ab48a455a7e591!8m2!3d-7.2397297!4d112.7177921!16s%2Fg%2F11cls6cf26!19sChIJI7a28DL51y0RkeWnVaRIq2M?authuser=0&amp;hl=zh-TW&amp;rclk=1" TargetMode="External"/><Relationship Id="rId343" Type="http://schemas.openxmlformats.org/officeDocument/2006/relationships/hyperlink" Target="https://www.google.com/maps/place/Seafood+Pak+Rejo+Pindahan+Depan+Makam/data=!4m7!3m6!1s0x2dd7fafea2131a9f:0xd0038b551b4f956b!8m2!3d-7.3107822!4d112.7674218!16s%2Fg%2F11hb657z6f!19sChIJnxoTov761y0Ra5VPG1WLA9A?authuser=0&amp;hl=zh-TW&amp;rclk=1" TargetMode="External"/><Relationship Id="rId585" Type="http://schemas.openxmlformats.org/officeDocument/2006/relationships/hyperlink" Target="https://www.google.com/maps/place/Penyetan+Bu+Yeni/data=!4m7!3m6!1s0x2dd7fd000bac57f9:0xd3c7e98dac07d08b!8m2!3d-7.296549!4d112.6527154!16s%2Fg%2F11y791rn4l!19sChIJ-VesCwD91y0Ri9AHrI3px9M?authuser=0&amp;hl=zh-TW&amp;rclk=1" TargetMode="External"/><Relationship Id="rId100" Type="http://schemas.openxmlformats.org/officeDocument/2006/relationships/hyperlink" Target="https://www.google.com/maps/place/Sate+Taichan+Nyot+Nyot/data=!4m7!3m6!1s0x2dd7fbcdffc52ecd:0x343a0798ffc06d34!8m2!3d-7.2792099!4d112.7560165!16s%2Fg%2F11fhr7nfjg!19sChIJzS7F_8371y0RNG3A_5gHOjQ?authuser=0&amp;hl=zh-TW&amp;rclk=1" TargetMode="External"/><Relationship Id="rId342" Type="http://schemas.openxmlformats.org/officeDocument/2006/relationships/hyperlink" Target="https://www.google.com/maps/place/Nasi+Campur+Mbah+Cikrak/data=!4m7!3m6!1s0x2dd7f92b42a6bc09:0x7a3a14ab415f10f5!8m2!3d-7.2527298!4d112.7450101!16s%2Fg%2F11jy3hzbcl!19sChIJCbymQiv51y0R9RBfQasUOno?authuser=0&amp;hl=zh-TW&amp;rclk=1" TargetMode="External"/><Relationship Id="rId584" Type="http://schemas.openxmlformats.org/officeDocument/2006/relationships/hyperlink" Target="https://www.google.com/maps/place/Restoran+Citrus+Lee/data=!4m7!3m6!1s0x2dd7fb944220534d:0x7fb6cb85ce824e99!8m2!3d-7.2906763!4d112.7348857!16s%2Fg%2F1wfp65gj!19sChIJTVMgQpT71y0RmU6CzoXLtn8?authuser=0&amp;hl=zh-TW&amp;rclk=1" TargetMode="External"/><Relationship Id="rId338" Type="http://schemas.openxmlformats.org/officeDocument/2006/relationships/hyperlink" Target="https://www.google.com/maps/place/Bebek+Kondang+Rasa/data=!4m7!3m6!1s0x2dd7fa39c8202ab1:0x317d35d0d275571e!8m2!3d-7.2823057!4d112.7762625!16s%2Fg%2F11fy4lp9kd!19sChIJsSogyDn61y0RHld10tA1fTE?authuser=0&amp;hl=zh-TW&amp;rclk=1" TargetMode="External"/><Relationship Id="rId337" Type="http://schemas.openxmlformats.org/officeDocument/2006/relationships/hyperlink" Target="https://www.google.com/maps/place/Bebek+Goreng+Purnama+%22Asli%22/data=!4m7!3m6!1s0x2dd7fbc3134f6d9b:0x6d12f0d35cb328bc!8m2!3d-7.2786158!4d112.7433738!16s%2Fg%2F11cst07kpb!19sChIJm21PE8P71y0RvCizXNPwEm0?authuser=0&amp;hl=zh-TW&amp;rclk=1" TargetMode="External"/><Relationship Id="rId579" Type="http://schemas.openxmlformats.org/officeDocument/2006/relationships/hyperlink" Target="http://google.com/maps/place/Second+Cup+Coffee+-+Dharmahusada+Indah+Timur/@-7.2664116,112.7714516,17z/data=!4m6!3m5!1s0x2dd7fbf682798bbf:0xc5cb7f64d78ee70c!8m2!3d-7.2726221!4d112.7821647!16s%2Fg%2F11kr99yx0b?entry=ttu&amp;g_ep=EgoyMDI2MDYyOS4wIKXMDSoASAFQAw%3D%3D" TargetMode="External"/><Relationship Id="rId336" Type="http://schemas.openxmlformats.org/officeDocument/2006/relationships/hyperlink" Target="https://www.google.com/maps/place/Rawon+IGA+Masbro/data=!4m7!3m6!1s0x2dd7f9a5be3b0675:0x3bd5f3afc7562f17!8m2!3d-7.2263367!4d112.7308383!16s%2Fg%2F11rwq56w0y!19sChIJdQY7vqX51y0RFy9Wx6_z1Ts?authuser=0&amp;hl=zh-TW&amp;rclk=1" TargetMode="External"/><Relationship Id="rId578" Type="http://schemas.openxmlformats.org/officeDocument/2006/relationships/hyperlink" Target="https://www.google.com/maps/place/KOPI+BUJEND/@-7.2664116,112.7714516,17z/data=!3m1!4b1!4m6!3m5!1s0x2dd7fb7cf9a0d44d:0x58c384e76774f49e!8m2!3d-7.2664116!4d112.7714516!16s%2Fg%2F11rydjpsr0?entry=ttu&amp;g_ep=EgoyMDI2MDYyOS4wIKXMDSoASAFQAw%3D%3D" TargetMode="External"/><Relationship Id="rId335" Type="http://schemas.openxmlformats.org/officeDocument/2006/relationships/hyperlink" Target="https://www.google.com/maps/place/Rawon+Balungan/data=!4m7!3m6!1s0x2dd7fda14a679cc5:0x1435dfb37894cd0!8m2!3d-7.2982602!4d112.6344974!16s%2Fg%2F11f634_s91!19sChIJxZxnSqH91y0R0EyJN_tdQwE?authuser=0&amp;hl=zh-TW&amp;rclk=1" TargetMode="External"/><Relationship Id="rId577" Type="http://schemas.openxmlformats.org/officeDocument/2006/relationships/hyperlink" Target="https://www.google.com/maps/place/Sate+Ayam+Ponorogo+Pak+Pandi/data=!4m7!3m6!1s0x2dd7fbce1a26ff39:0x776933aaf0b0191e!8m2!3d-7.2765687!4d112.7547232!16s%2Fg%2F11bxf_tv8w!19sChIJOf8mGs771y0RHhmw8KozaXc?authuser=0&amp;hl=zh-TW&amp;rclk=1" TargetMode="External"/><Relationship Id="rId339" Type="http://schemas.openxmlformats.org/officeDocument/2006/relationships/hyperlink" Target="https://www.google.com/maps/place/Atho+Pangsit+Mie+Ayam+Sumatera+Bangka+-+Klampis+Anom/data=!4m7!3m6!1s0x2dd7fa4604091339:0xfbe7b9765c565466!8m2!3d-7.2901395!4d112.7750973!16s%2Fg%2F11bzq3mksl!19sChIJORMJBEb61y0RZlRWXHa55_s?authuser=0&amp;hl=zh-TW&amp;rclk=1" TargetMode="External"/><Relationship Id="rId330" Type="http://schemas.openxmlformats.org/officeDocument/2006/relationships/hyperlink" Target="https://www.google.com/maps/place/Nagano+Japanese+Restaurant/data=!4m7!3m6!1s0x2dd7fda3987dff3b:0x3c6d6d22d372fa78!8m2!3d-7.2862214!4d112.6992139!16s%2Fg%2F11kq3nx3lf!19sChIJO_99mKP91y0RePpy0yJtbTw?authuser=0&amp;hl=zh-TW&amp;rclk=1" TargetMode="External"/><Relationship Id="rId572" Type="http://schemas.openxmlformats.org/officeDocument/2006/relationships/hyperlink" Target="https://www.google.com/maps/place/Devon+Cafe+Surabaya/data=!4m7!3m6!1s0x2dd7fd005c64affd:0x4e357ecd5effe0bd!8m2!3d-7.2898536!4d112.6753665!16s%2Fg%2F11x5hj44dn!19sChIJ_a9kXAD91y0RveD_Xs1-NU4?authuser=0&amp;hl=zh-TW&amp;rclk=1" TargetMode="External"/><Relationship Id="rId571" Type="http://schemas.openxmlformats.org/officeDocument/2006/relationships/hyperlink" Target="https://www.google.com/maps/place/Taman+Tugu+Pahlawan+Alun+Alun+Contong/@-7.246103,112.7377625,17z/data=!3m1!4b1!4m6!3m5!1s0x2dd7f93220ff8eb9:0x27c3aed41c24af72!8m2!3d-7.246103!4d112.7377625!16s%2Fg%2F11g1lm_v0j?entry=ttu&amp;g_ep=EgoyMDI2MDYyOS4wIKXMDSoASAFQAw%3D%3D" TargetMode="External"/><Relationship Id="rId570" Type="http://schemas.openxmlformats.org/officeDocument/2006/relationships/hyperlink" Target="https://www.google.com/maps/place/Kosaku+Coffee+Lab/data=!4m7!3m6!1s0x2dd7fb6183804d03:0x6ba31702694d3eaf!8m2!3d-7.2784189!4d112.7649477!16s%2Fg%2F11jzmp5kdt!19sChIJA02Ag2H71y0Rrz5NaQIXo2s?authuser=0&amp;hl=zh-TW&amp;rclk=1" TargetMode="External"/><Relationship Id="rId334" Type="http://schemas.openxmlformats.org/officeDocument/2006/relationships/hyperlink" Target="https://www.google.com/maps/place/Bakso+Super+Daging+Sapi/data=!4m7!3m6!1s0x2dd7fc08e0faffd3:0xed501d05f25698d3!8m2!3d-7.2809598!4d112.7109435!16s%2Fg%2F11bwq68rn8!19sChIJ0__64Aj81y0R05hW8gUdUO0?authuser=0&amp;hl=zh-TW&amp;rclk=1" TargetMode="External"/><Relationship Id="rId576" Type="http://schemas.openxmlformats.org/officeDocument/2006/relationships/hyperlink" Target="https://www.google.com/maps/place/Taman+Mundu/data=!4m7!3m6!1s0x2dd7f9717b3e06b7:0x597ce3c7f0c8762e!8m2!3d-7.2516046!4d112.7545983!16s%2Fg%2F11b6p30wtr!19sChIJtwY-e3H51y0RLnbI8MfjfFk?authuser=0&amp;hl=zh-TW&amp;rclk=1" TargetMode="External"/><Relationship Id="rId333" Type="http://schemas.openxmlformats.org/officeDocument/2006/relationships/hyperlink" Target="http://google.com/maps/place/Historica+Coffee+%26+Kitchen/data=!4m2!3m1!1s0x2dd7fbd9b663ee29:0x901e6ae85676211f?sa=X&amp;ved=1t:242&amp;ictx=111" TargetMode="External"/><Relationship Id="rId575" Type="http://schemas.openxmlformats.org/officeDocument/2006/relationships/hyperlink" Target="https://www.google.com/maps/place/Hanamasa+Gubeng+Surabaya/data=!4m7!3m6!1s0x2dd7fbd9bc33de5b:0xb451f4017cc04153!8m2!3d-7.2658483!4d112.7514572!16s%2Fg%2F1tjwl1bf!19sChIJW94zvNn71y0RU0HAfAH0UbQ?authuser=0&amp;hl=zh-TW&amp;rclk=1" TargetMode="External"/><Relationship Id="rId332" Type="http://schemas.openxmlformats.org/officeDocument/2006/relationships/hyperlink" Target="https://www.google.com/maps/place/Seafood.ku+Surabaya/data=!4m7!3m6!1s0x2dd7fd7444b348c3:0x8cd38da2eb1ea26e!8m2!3d-7.3057304!4d112.6755197!16s%2Fg%2F11j1ks7wrj!19sChIJw0izRHT91y0RbqIe66KN04w?authuser=0&amp;hl=zh-TW&amp;rclk=1" TargetMode="External"/><Relationship Id="rId574" Type="http://schemas.openxmlformats.org/officeDocument/2006/relationships/hyperlink" Target="https://www.google.com/maps/place/Nasi+Pecel+dan+Rawon+Bu+Yati/data=!4m7!3m6!1s0x2dd7fbae810d63c9:0xe8982272a294fd04!8m2!3d-7.296886!4d112.759711!16s%2Fg%2F11b6nk_j20!19sChIJyWMNga771y0RBP2UonIimOg?authuser=0&amp;hl=zh-TW&amp;rclk=1" TargetMode="External"/><Relationship Id="rId331" Type="http://schemas.openxmlformats.org/officeDocument/2006/relationships/hyperlink" Target="https://www.google.com/maps/place/Depot+Ampel/data=!4m7!3m6!1s0x2dd7f9669dd3c591:0x616bcf6a4c9ce9a6!8m2!3d-7.2600771!4d112.7449758!16s%2Fg%2F1hm5q15bm!19sChIJkcXTnWb51y0RpumcTGrPa2E?authuser=0&amp;hl=zh-TW&amp;rclk=1" TargetMode="External"/><Relationship Id="rId573" Type="http://schemas.openxmlformats.org/officeDocument/2006/relationships/hyperlink" Target="https://www.google.com/maps/place/The+Good+Press+and+Co/data=!4m7!3m6!1s0x2dd7fba8c2046ad3:0x2b9373b132d8be13!8m2!3d-7.266841!4d112.7491922!16s%2Fg%2F11tspjm9j1!19sChIJ02oEwqj71y0RE77YMrFzkys?authuser=0&amp;hl=zh-TW&amp;rclk=1" TargetMode="External"/><Relationship Id="rId370" Type="http://schemas.openxmlformats.org/officeDocument/2006/relationships/hyperlink" Target="https://www.google.com/maps/place/Penyetan+Mama+E+Acah/data=!4m7!3m6!1s0x2dd7fb767733904f:0x948cc70ae161dc10!8m2!3d-7.3096635!4d112.7327652!16s%2Fg%2F11c52sqld3!19sChIJT5Azd3b71y0RENxh4QrHjJQ?authuser=0&amp;hl=zh-TW&amp;rclk=1" TargetMode="External"/><Relationship Id="rId129" Type="http://schemas.openxmlformats.org/officeDocument/2006/relationships/hyperlink" Target="https://www.google.com/maps/place/Bakso+Solo+Kedungdoro/data=!4m7!3m6!1s0x2dd7f959662a4f5b:0xb5036d1b36e2f968!8m2!3d-7.263238!4d112.7314625!16s%2Fg%2F11cs9yh2w4!19sChIJW08qZln51y0RaPniNhttA7U?authuser=0&amp;hl=zh-TW&amp;rclk=1" TargetMode="External"/><Relationship Id="rId128" Type="http://schemas.openxmlformats.org/officeDocument/2006/relationships/hyperlink" Target="https://www.google.com/maps/place/Hermier+Coffee+Inc/data=!4m7!3m6!1s0x2dd7f993b119248b:0x6b00a477068e6626!8m2!3d-7.2667879!4d112.7492584!16s%2Fg%2F11j8n3v1dt!19sChIJiyQZsZP51y0RJmaOBnekAGs?authuser=0&amp;hl=zh-TW&amp;rclk=1" TargetMode="External"/><Relationship Id="rId127" Type="http://schemas.openxmlformats.org/officeDocument/2006/relationships/hyperlink" Target="https://www.google.com/maps/place/Taman+Kalongan/data=!4m7!3m6!1s0x2dd7f93bf638087d:0x1cae5626ee8bfa57!8m2!3d-7.2412318!4d112.7327648!16s%2Fg%2F11cjj6pnkk!19sChIJfQg49jv51y0RV_qL7iZWrhw?authuser=0&amp;hl=zh-TW&amp;rclk=1" TargetMode="External"/><Relationship Id="rId369" Type="http://schemas.openxmlformats.org/officeDocument/2006/relationships/hyperlink" Target="https://www.google.com/maps/place/BAKSO+TETELAN+SAPI+PAKNO/data=!4m7!3m6!1s0x2dd7fbd0f0d83c0f:0x206d3a13d5884ad1!8m2!3d-7.2736224!4d112.7531454!16s%2Fg%2F11b6dz93c0!19sChIJDzzY8ND71y0R0UqI1RM6bSA?authuser=0&amp;hl=zh-TW&amp;rclk=1" TargetMode="External"/><Relationship Id="rId126" Type="http://schemas.openxmlformats.org/officeDocument/2006/relationships/hyperlink" Target="https://www.google.com/maps/place/Sate+Gule+Cak+Wit/data=!4m7!3m6!1s0x2dd7fbd4e4544487:0xe5be9d92baec707d!8m2!3d-7.2690352!4d112.7609644!16s%2Fg%2F11cm0mljf8!19sChIJh0RU5NT71y0RfXDsupKdvuU?authuser=0&amp;hl=zh-TW&amp;rclk=1" TargetMode="External"/><Relationship Id="rId368" Type="http://schemas.openxmlformats.org/officeDocument/2006/relationships/hyperlink" Target="https://www.google.com/maps/place/Ayam+Kremes+%26+Soto+Suroboyo/data=!4m7!3m6!1s0x2dd7fbcdfdb1ee0d:0xd59a31db9b2cdd83!8m2!3d-7.276653!4d112.757084!16s%2Fg%2F11cnpjnjx_!19sChIJDe6x_c371y0Rg90sm9sxmtU?authuser=0&amp;hl=zh-TW&amp;rclk=1" TargetMode="External"/><Relationship Id="rId121" Type="http://schemas.openxmlformats.org/officeDocument/2006/relationships/hyperlink" Target="https://www.google.com/maps/place/Warung+Mie+Ayam+%26+Bakso+Mitra/data=!4m7!3m6!1s0x2dd7fb07188843a1:0xcb7f7057ca90ac99!8m2!3d-7.3086339!4d112.7553513!16s%2Fg%2F11c3v6hs43!19sChIJoUOIGAf71y0RmayQyldwf8s?authuser=0&amp;hl=zh-TW&amp;rclk=1" TargetMode="External"/><Relationship Id="rId363" Type="http://schemas.openxmlformats.org/officeDocument/2006/relationships/hyperlink" Target="https://www.google.com/maps/place/Tuju+Dermaga+Seafood+Resto/data=!4m7!3m6!1s0x2dd7fd05e0d4956f:0xba3c1a98fb67997b!8m2!3d-7.2822095!4d112.7068828!16s%2Fg%2F11yjtwjs9z!19sChIJb5XU4AX91y0Re5ln-5gaPLo?authuser=0&amp;hl=zh-TW&amp;rclk=1" TargetMode="External"/><Relationship Id="rId120" Type="http://schemas.openxmlformats.org/officeDocument/2006/relationships/hyperlink" Target="https://www.google.com/maps/place/Spesial+Pangsit+Mie+Acong/data=!4m7!3m6!1s0x2dd7fc1736d644dd:0x3beb504b40201be5!8m2!3d-7.2809473!4d112.6967711!16s%2Fg%2F11b6_tpmml!19sChIJ3UTWNhf81y0R5RsgQEtQ6zs?authuser=0&amp;hl=zh-TW&amp;rclk=1" TargetMode="External"/><Relationship Id="rId362" Type="http://schemas.openxmlformats.org/officeDocument/2006/relationships/hyperlink" Target="https://www.google.com/maps/place/Pondok+Sate+Ibu+Nizam+%28Sentra+PKL+Indrapura%29/data=!4m7!3m6!1s0x2dd7f93e5a8aad51:0xae8ebb78bcb6206b!8m2!3d-7.243881!4d112.73663!16s%2Fg%2F11clhq0_2g!19sChIJUa2KWj751y0RayC2vHi7jq4?authuser=0&amp;hl=zh-TW&amp;rclk=1" TargetMode="External"/><Relationship Id="rId361" Type="http://schemas.openxmlformats.org/officeDocument/2006/relationships/hyperlink" Target="https://www.google.com/maps/place/warung+penyetan+murah+meriah/data=!4m7!3m6!1s0x2dd7fc09aaaac465:0xe469e3345a734720!8m2!3d-7.2810419!4d112.71209!16s%2Fg%2F11bw3dnjq6!19sChIJZcSqqgn81y0RIEdzWjTjaeQ?authuser=0&amp;hl=zh-TW&amp;rclk=1" TargetMode="External"/><Relationship Id="rId360" Type="http://schemas.openxmlformats.org/officeDocument/2006/relationships/hyperlink" Target="https://www.google.com/maps/place/Ha.ve+Coffee/data=!4m7!3m6!1s0x2dd7f9019179fe65:0x1668096b8e5ce107!8m2!3d-7.258356!4d112.7487797!16s%2Fg%2F11x105jxcz!19sChIJZf55kQH51y0RB-FcjmsJaBY?authuser=0&amp;hl=zh-TW&amp;rclk=1" TargetMode="External"/><Relationship Id="rId125" Type="http://schemas.openxmlformats.org/officeDocument/2006/relationships/hyperlink" Target="https://www.google.com/maps/place/Chao+Phraya+Thai+Fine+Cuisine/data=!4m7!3m6!1s0x2dd7fb8874747b85:0xc20940d4a20405d2!8m2!3d-7.2848692!4d112.7349052!16s%2Fg%2F11h7kb3t_r!19sChIJhXt0dIj71y0R0gUEotRACcI?authuser=0&amp;hl=zh-TW&amp;rclk=1" TargetMode="External"/><Relationship Id="rId367" Type="http://schemas.openxmlformats.org/officeDocument/2006/relationships/hyperlink" Target="https://www.google.com/maps/place/Taman+Hutan+Kota+Jeruk/data=!4m7!3m6!1s0x2dd7fdeee355ce69:0x34ec73c3bcde432f!8m2!3d-7.3065335!4d112.6384352!16s%2Fg%2F11hdqjy39l!19sChIJac5V4-791y0RL0PevMNz7DQ?authuser=0&amp;hl=zh-TW&amp;rclk=1" TargetMode="External"/><Relationship Id="rId124" Type="http://schemas.openxmlformats.org/officeDocument/2006/relationships/hyperlink" Target="https://www.google.com/maps/place/Soto+Ayam+CJDW+Cak+Nawir/data=!4m7!3m6!1s0x2dd7fb95fba271ff:0x7902c186192942be!8m2!3d-7.2918293!4d112.7382472!16s%2Fg%2F1hm50j_vp!19sChIJ_3Gi-5X71y0RvkIpGYbBAnk?authuser=0&amp;hl=zh-TW&amp;rclk=1" TargetMode="External"/><Relationship Id="rId366" Type="http://schemas.openxmlformats.org/officeDocument/2006/relationships/hyperlink" Target="https://www.google.com/maps/place/Rawon+Setan+-+Embong+Malang/data=!4m7!3m6!1s0x2dd7f9675f5ab153:0xd7718efb5cb01015!8m2!3d-7.2590943!4d112.7352172!16s%2Fg%2F1hm1z3ll5!19sChIJU7FaX2f51y0RFRCwXPuOcdc?authuser=0&amp;hl=zh-TW&amp;rclk=1" TargetMode="External"/><Relationship Id="rId123" Type="http://schemas.openxmlformats.org/officeDocument/2006/relationships/hyperlink" Target="https://www.google.com/maps/place/Rawon+Gajah+Mada+Surabaya/data=!4m7!3m6!1s0x2dd7fb69e39ad605:0x7b49ab2d4b840db1!8m2!3d-7.3276807!4d112.7320592!16s%2Fg%2F11b7q3y3vr!19sChIJBdaa42n71y0RsQ2ESy2rSXs?authuser=0&amp;hl=zh-TW&amp;rclk=1" TargetMode="External"/><Relationship Id="rId365" Type="http://schemas.openxmlformats.org/officeDocument/2006/relationships/hyperlink" Target="https://www.google.com/maps/place/Taman+Ngagel/data=!4m7!3m6!1s0x2dd7fbbf34a24f79:0xf9fe0d9402f0ddc7!8m2!3d-7.2884801!4d112.7449226!16s%2Fg%2F11dxdc9394!19sChIJeU-iNL_71y0Rx93wApQN_vk?authuser=0&amp;hl=zh-TW&amp;rclk=1" TargetMode="External"/><Relationship Id="rId122" Type="http://schemas.openxmlformats.org/officeDocument/2006/relationships/hyperlink" Target="https://www.google.com/maps/place/Taman+Menggapai+Cakrawala+%28Sculpture%29/data=!4m7!3m6!1s0x2dd7fa099a8e86bf:0x387e7e034c2df12!8m2!3d-7.277788!4d112.8082338!16s%2Fg%2F11c1rfwr8_!19sChIJv4aOmgn61y0REt_CNODnhwM?authuser=0&amp;hl=zh-TW&amp;rclk=1" TargetMode="External"/><Relationship Id="rId364" Type="http://schemas.openxmlformats.org/officeDocument/2006/relationships/hyperlink" Target="https://www.google.com/maps/place/Bakso+Kotak+Remaja+Cak+Budi/data=!4m7!3m6!1s0x2dd7fc7f844310e3:0x2f951fbb082a7d87!8m2!3d-7.3066403!4d112.7146159!16s%2Fg%2F11j4svq0km!19sChIJ4xBDhH_81y0Rh30qCLsflS8?authuser=0&amp;hl=zh-TW&amp;rclk=1" TargetMode="External"/><Relationship Id="rId95" Type="http://schemas.openxmlformats.org/officeDocument/2006/relationships/hyperlink" Target="https://www.google.com/maps/place/Bebek+Petemon/data=!4m7!3m6!1s0x2dd7fea9969e7f2d:0x3f45ac100a69e575!8m2!3d-7.2671405!4d112.7079655!16s%2Fg%2F11gbz3bjzj!19sChIJLX-elqn-1y0RdeVpChCsRT8?authuser=0&amp;hl=zh-TW&amp;rclk=1" TargetMode="External"/><Relationship Id="rId94" Type="http://schemas.openxmlformats.org/officeDocument/2006/relationships/hyperlink" Target="https://www.google.com/maps/place/BEBEK+BOOM/data=!4m7!3m6!1s0x2dd7fe7eabc24cfb:0x7da2023118d6727e!8m2!3d-7.2680745!4d112.6619873!16s%2Fg%2F11fy4jx_9q!19sChIJ-0zCq37-1y0RfnLWGDECon0?authuser=0&amp;hl=zh-TW&amp;rclk=1" TargetMode="External"/><Relationship Id="rId97" Type="http://schemas.openxmlformats.org/officeDocument/2006/relationships/hyperlink" Target="https://www.google.com/maps/place/Soto+Ayam+%22Cak+To%22+Undaan+Wetan/data=!4m7!3m6!1s0x2dd7f96bff179693:0x9c1040bc8458c28b!8m2!3d-7.2549963!4d112.7444317!16s%2Fg%2F1pzpngr1h!19sChIJk5YX_2v51y0Ri8JYhLxAEJw?authuser=0&amp;hl=zh-TW&amp;rclk=1" TargetMode="External"/><Relationship Id="rId96" Type="http://schemas.openxmlformats.org/officeDocument/2006/relationships/hyperlink" Target="https://www.google.com/maps/place/Surabaya+North+Quay/data=!4m7!3m6!1s0x2e778f2099fd4fa9:0xc1c1d0cff4cc2710!8m2!3d-7.1969273!4d112.7322829!16s%2Fg%2F11clycmn5j!19sChIJqU_9mSCPdy4RECfM9M_QwcE?authuser=0&amp;hl=zh-TW&amp;rclk=1" TargetMode="External"/><Relationship Id="rId99" Type="http://schemas.openxmlformats.org/officeDocument/2006/relationships/hyperlink" Target="https://www.google.com/maps/place/Bunbee+Korean+Bakery+and+Cafe/@-7.288463,112.6612952,12z/data=!4m10!1m2!2m1!1sBunbee+Korean+Bakery+and+Cafe!3m6!1s0x2dd7fb3fea9269c7:0xe5998872582d503a!8m2!3d-7.288463!4d112.731333!15sCh1CdW5iZWUgS29yZWFuIEJha2VyeSBhbmQgQ2FmZVofIh1idW5iZWUga29yZWFuIGJha2VyeSBhbmQgY2FmZZIBEWtvcmVhbl9yZXN0YXVyYW50mgEjQ2haRFNVaE5NRzluUzBWSlEwRm5TVU01YWxwNWFVWjNFQUXgAQD6AQQIABBA!16s%2Fg%2F11qp4ml4c_?entry=ttu&amp;g_ep=EgoyMDI2MDYyOS4wIKXMDSoASAFQAw%3D%3D" TargetMode="External"/><Relationship Id="rId98" Type="http://schemas.openxmlformats.org/officeDocument/2006/relationships/hyperlink" Target="https://www.google.com/maps/place/Bebek+Sinjay/data=!4m7!3m6!1s0x2dd80576c84a54d3:0xfb25a1b85558795c!8m2!3d-7.0382696!4d112.7684461!16s%2Fg%2F11c3j5c4_1!19sChIJ01RKyHYF2C0RXHlYVbihJfs?authuser=0&amp;hl=zh-TW&amp;rclk=1" TargetMode="External"/><Relationship Id="rId91" Type="http://schemas.openxmlformats.org/officeDocument/2006/relationships/hyperlink" Target="https://www.google.com/maps/place/Threelogy+Coffee+-+Mojopahit/data=!4m7!3m6!1s0x2dd7fbc229dfbcbf:0x49390c3a3758eacf!8m2!3d-7.2819229!4d112.7415054!16s%2Fg%2F11d_z77p6v!19sChIJv7zfKcL71y0Rz-pYNzoMOUk?authuser=0&amp;hl=zh-TW&amp;rclk=1" TargetMode="External"/><Relationship Id="rId90" Type="http://schemas.openxmlformats.org/officeDocument/2006/relationships/hyperlink" Target="https://www.google.com/maps/place/HUE+Coffee/data=!4m7!3m6!1s0x2dd7ff4f1b4bb1db:0x223e99809f70c585!8m2!3d-7.2648523!4d112.6874236!16s%2Fg%2F11r_nsd_vz!19sChIJ27FLG0__1y0RhcVwn4CZPiI?authuser=0&amp;hl=zh-TW&amp;rclk=1" TargetMode="External"/><Relationship Id="rId93" Type="http://schemas.openxmlformats.org/officeDocument/2006/relationships/hyperlink" Target="https://www.google.com/maps/place/KEBON+KOTA+TROPICAL+GARDEN+RESTAURANT+%26+HALL/data=!4m7!3m6!1s0x2dd7feb5c0be9709:0x82bc9a88a308143c!8m2!3d-7.3126739!4d112.7048741!16s%2Fg%2F1hm3k2g3r!19sChIJCZe-wLX-1y0RPBQIo4iavII?authuser=0&amp;hl=zh-TW&amp;rclk=1" TargetMode="External"/><Relationship Id="rId92" Type="http://schemas.openxmlformats.org/officeDocument/2006/relationships/hyperlink" Target="https://www.google.com/maps/place/Rawon+Legendaris+Pak+Pangat+%28Pusat%29/data=!4m7!3m6!1s0x2dd7fb98b7c333f3:0x3496c6df71f6f6ac!8m2!3d-7.301804!4d112.73748!16s%2Fg%2F11fxw18qj2!19sChIJ8zPDt5j71y0RrPb2cd_GljQ?authuser=0&amp;hl=zh-TW&amp;rclk=1" TargetMode="External"/><Relationship Id="rId118" Type="http://schemas.openxmlformats.org/officeDocument/2006/relationships/hyperlink" Target="https://www.google.com/maps/place/Atlantis+Land/data=!4m7!3m6!1s0x2dd7f9c325b22d9d:0x8699df8a60e7c5a2!8m2!3d-7.2525951!4d112.8023063!16s%2Fg%2F11gfd6q90s!19sChIJnS2yJcP51y0RosXnYIrfmYY?authuser=0&amp;hl=zh-TW&amp;rclk=1" TargetMode="External"/><Relationship Id="rId117" Type="http://schemas.openxmlformats.org/officeDocument/2006/relationships/hyperlink" Target="https://www.google.com/maps/place/Sentra+Wisata+Kuliner+%28SWK%29+PEGIRIAN/data=!4m7!3m6!1s0x2dd7f9d207616671:0x7701b927a73ded41!8m2!3d-7.2287568!4d112.7456364!16s%2Fg%2F11hzm043g6!19sChIJcWZhB9L51y0RQe09pye5AXc?authuser=0&amp;hl=zh-TW&amp;rclk=1" TargetMode="External"/><Relationship Id="rId359" Type="http://schemas.openxmlformats.org/officeDocument/2006/relationships/hyperlink" Target="https://www.google.com/maps/place/Pangsit+Mie+Ayam+Jakarta/data=!4m7!3m6!1s0x2dd7fa47f211cedf:0xc78fd11f5b1573f5!8m2!3d-7.2860144!4d112.7757481!16s%2Fg%2F11f5jpxdr5!19sChIJ384R8kf61y0R9XMVWx_Rj8c?authuser=0&amp;hl=zh-TW&amp;rclk=1" TargetMode="External"/><Relationship Id="rId116" Type="http://schemas.openxmlformats.org/officeDocument/2006/relationships/hyperlink" Target="https://www.google.com/maps/place/Sate+Asin+Garuda+Kedungsari/data=!4m7!3m6!1s0x2dd7fb5051e065ef:0x2c2ab618aee58f80!8m2!3d-7.2680661!4d112.73461!16s%2Fg%2F11vw_55qvl!19sChIJ72XgUVD71y0RgI_lrhi2Kiw?authuser=0&amp;hl=zh-TW&amp;rclk=1" TargetMode="External"/><Relationship Id="rId358" Type="http://schemas.openxmlformats.org/officeDocument/2006/relationships/hyperlink" Target="https://www.google.com/maps/place/Warung+Rawon+%22Subedo%22/data=!4m7!3m6!1s0x2dd7feaa98d9169f:0xccf92afb12678db0!8m2!3d-7.2681114!4d112.7134857!16s%2Fg%2F11c5hhyxpn!19sChIJnxbZmKr-1y0RsI1nEvsq-cw?authuser=0&amp;hl=zh-TW&amp;rclk=1" TargetMode="External"/><Relationship Id="rId115" Type="http://schemas.openxmlformats.org/officeDocument/2006/relationships/hyperlink" Target="https://www.google.com/maps/place/Marshal+Brew+Coffee+Surabaya/data=!4m7!3m6!1s0x2dd7fd295ea62707:0xbc8200af97740421!8m2!3d-7.2748483!4d112.6598294!16s%2Fg%2F11p7737wnq!19sChIJByemXin91y0RIQR0l68Agrw?authuser=0&amp;hl=zh-TW&amp;rclk=1" TargetMode="External"/><Relationship Id="rId357" Type="http://schemas.openxmlformats.org/officeDocument/2006/relationships/hyperlink" Target="https://www.google.com/maps/place/Demandailing+Cafe+%26+Eatery+-+MERR/data=!4m7!3m6!1s0x2dd7fb6f37973cd1:0x36b75e038efbb4aa!8m2!3d-7.3204521!4d112.7806905!16s%2Fg%2F11jdnpw5ty!19sChIJ0TyXN2_71y0RqrT7jgNetzY?authuser=0&amp;hl=zh-TW&amp;rclk=1" TargetMode="External"/><Relationship Id="rId599" Type="http://schemas.openxmlformats.org/officeDocument/2006/relationships/hyperlink" Target="https://www.google.com/maps/place/Warung+Kuliner+Hijau+%28food+Court%29/data=!4m7!3m6!1s0x2dd7f976a3d876d7:0x6ef8def676495a36!8m2!3d-7.265323!4d112.7270665!16s%2Fg%2F11j5hsybn5!19sChIJ13bYo3b51y0RNlpJdvbe-G4?authuser=0&amp;hl=zh-TW&amp;rclk=1" TargetMode="External"/><Relationship Id="rId119" Type="http://schemas.openxmlformats.org/officeDocument/2006/relationships/hyperlink" Target="https://www.google.com/maps/place/Warung+Nona+Surabaya/data=!4m7!3m6!1s0x2dd7fd41bbdb8119:0x7263be405788efff!8m2!3d-7.2787062!4d112.6959712!16s%2Fg%2F11v5v2l15s!19sChIJGYHbu0H91y0R_--IV0C-Y3I?authuser=0&amp;hl=zh-TW&amp;rclk=1" TargetMode="External"/><Relationship Id="rId110" Type="http://schemas.openxmlformats.org/officeDocument/2006/relationships/hyperlink" Target="https://www.google.com/maps/place/Pangsit+Mie+Ayam+Jakarta+Mandiri+II/data=!4m7!3m6!1s0x2dd7fde5b53967d5:0x361d4db5b945b3d2!8m2!3d-7.2801337!4d112.6361065!16s%2Fg%2F11f15m81my!19sChIJ1Wc5teX91y0R0rNFubVNHTY?authuser=0&amp;hl=zh-TW&amp;rclk=1" TargetMode="External"/><Relationship Id="rId352" Type="http://schemas.openxmlformats.org/officeDocument/2006/relationships/hyperlink" Target="https://www.google.com/maps/place/Depot+Rawon+Malang+%22MM%22/data=!4m7!3m6!1s0x2dd7fbe48962cc8f:0xe056df81de360f26!8m2!3d-7.2785359!4d112.7319792!16s%2Fg%2F11gjn8jl0q!19sChIJj8xiieT71y0RJg823oHfVuA?authuser=0&amp;hl=zh-TW&amp;rclk=1" TargetMode="External"/><Relationship Id="rId594" Type="http://schemas.openxmlformats.org/officeDocument/2006/relationships/hyperlink" Target="https://www.google.com/maps/place/Taman+Mozaik/@-7.3148799,112.6899537,17z/data=!3m1!4b1!4m6!3m5!1s0x2dd7fd0d9be2bb81:0x95eabfcee4bd8013!8m2!3d-7.3148799!4d112.6899537!16s%2Fg%2F11h7_7fw_c?entry=ttu&amp;g_ep=EgoyMDI2MDYyOS4wIKXMDSoASAFQAw%3D%3D" TargetMode="External"/><Relationship Id="rId351" Type="http://schemas.openxmlformats.org/officeDocument/2006/relationships/hyperlink" Target="https://www.google.com/maps/place/Rawon+%26+Pecel+Joko+Dolog+surabaya/data=!4m7!3m6!1s0x2dd7f90037de5175:0xf084c9a730c48370!8m2!3d-7.2652778!4d112.7425!16s%2Fg%2F11z4xfclns!19sChIJdVHeNwD51y0RcIPEMKfJhPA?authuser=0&amp;hl=zh-TW&amp;rclk=1" TargetMode="External"/><Relationship Id="rId593" Type="http://schemas.openxmlformats.org/officeDocument/2006/relationships/hyperlink" Target="https://www.google.com/maps/place/Bakso+Malang+35+Cak+To/data=!4m7!3m6!1s0x2dd7fb11b9bb958f:0xefe901dbc5eca275!8m2!3d-7.2833795!4d112.7158772!16s%2Fg%2F11gxnw0kk5!19sChIJj5W7uRH71y0RdaLsxdsB6e8?authuser=0&amp;hl=zh-TW&amp;rclk=1" TargetMode="External"/><Relationship Id="rId350" Type="http://schemas.openxmlformats.org/officeDocument/2006/relationships/hyperlink" Target="https://www.google.com/maps/place/Rawon+Kampung/data=!4m7!3m6!1s0x2dd7fd6116a76b09:0x443667326cc6eeb6!8m2!3d-7.2838798!4d112.6930989!16s%2Fg%2F11ttb9rw3v!19sChIJCWunFmH91y0Rtu7GbDJnNkQ?authuser=0&amp;hl=zh-TW&amp;rclk=1" TargetMode="External"/><Relationship Id="rId592" Type="http://schemas.openxmlformats.org/officeDocument/2006/relationships/hyperlink" Target="https://www.google.com/maps/place/%E7%A3%90%E7%9F%B3%E5%9D%8A/data=!4m7!3m6!1s0x3442aa331fe2f86d:0xb0fdd4ef45d6ec3e!8m2!3d25.0280665!4d121.5512797!16s%2Fg%2F1thk6fhm!19sChIJbfjiHzOqQjQRPuzWRe_U_bA?authuser=0&amp;hl=zh-TW&amp;rclk=1" TargetMode="External"/><Relationship Id="rId591" Type="http://schemas.openxmlformats.org/officeDocument/2006/relationships/hyperlink" Target="https://www.google.com/maps/place/SPILL+Cafe/data=!4m7!3m6!1s0x2dd7fb3342ea5dc5:0x277e2ad7bd674179!8m2!3d-7.2918455!4d112.8123006!16s%2Fg%2F11yyzxm87x!19sChIJxV3qQjP71y0ReUFnvdcqfic?authuser=0&amp;hl=zh-TW&amp;rclk=1" TargetMode="External"/><Relationship Id="rId114" Type="http://schemas.openxmlformats.org/officeDocument/2006/relationships/hyperlink" Target="https://www.google.com/maps/place/Taman+Gantung+Tunjungan/@-7.2568213,112.7375173,17z/data=!3m1!4b1!4m6!3m5!1s0x2dd7f942b589b0dd:0x6ae866db0b415b93!8m2!3d-7.2568213!4d112.7375173!16s%2Fg%2F11f54rfcj_?entry=ttu&amp;g_ep=EgoyMDI2MDYyOS4wIKXMDSoASAFQAw%3D%3D" TargetMode="External"/><Relationship Id="rId356" Type="http://schemas.openxmlformats.org/officeDocument/2006/relationships/hyperlink" Target="https://www.google.com/maps/place/Soto+Ayam+Kampung+Pak+Mat/data=!4m7!3m6!1s0x2dd7fb2de1b1fedb:0xfd32f71a28b28ab8!8m2!3d-7.2782833!4d112.714501!16s%2Fg%2F11h5frk5gs!19sChIJ2_6x4S371y0RuIqyKBr3Mv0?authuser=0&amp;hl=zh-TW&amp;rclk=1" TargetMode="External"/><Relationship Id="rId598" Type="http://schemas.openxmlformats.org/officeDocument/2006/relationships/hyperlink" Target="https://www.google.com/maps/place/Aluama+Coffee+Bar/data=!4m7!3m6!1s0x2dd7f979d17fbd23:0xd550a4b94fc1aee2!8m2!3d-7.2526441!4d112.7446897!16s%2Fg%2F11mpv8qr24!19sChIJI71_0Xn51y0R4q7BT7mkUNU?authuser=0&amp;hl=zh-TW&amp;rclk=1" TargetMode="External"/><Relationship Id="rId113" Type="http://schemas.openxmlformats.org/officeDocument/2006/relationships/hyperlink" Target="https://www.google.com/maps/place/Taman+Barunawati/data=!4m7!3m6!1s0x2dd7f8dbe21fd6e7:0x3c62c2a288e92d0b!8m2!3d-7.2220559!4d112.7319967!16s%2Fg%2F11b6dpg7t_!19sChIJ59Yf4tv41y0RCy3piKLCYjw?authuser=0&amp;hl=zh-TW&amp;rclk=1" TargetMode="External"/><Relationship Id="rId355" Type="http://schemas.openxmlformats.org/officeDocument/2006/relationships/hyperlink" Target="https://www.google.com/maps/place/Soto+Ayam+Lamongan+CAK+HAR+%28Main+Branch%29/data=!4m7!3m6!1s0x2dd7fbe16672e41f:0xc547d13f4969db6a!8m2!3d-7.2897292!4d112.7832073!16s%2Fg%2F11sgcxdrff!19sChIJH-RyZuH71y0RattpST_RR8U?authuser=0&amp;hl=zh-TW&amp;rclk=1" TargetMode="External"/><Relationship Id="rId597" Type="http://schemas.openxmlformats.org/officeDocument/2006/relationships/hyperlink" Target="https://www.google.com/maps/place/The+Gentlepig+Porchetta+Boss+-+Loop+Graha+Famili/data=!4m7!3m6!1s0x2dd7fd56073b0a73:0xe364faf364f95e0b!8m2!3d-7.2936891!4d112.6761626!16s%2Fg%2F11m1c4h6kf!19sChIJcwo7B1b91y0RC175ZPP6ZOM?authuser=0&amp;hl=zh-TW&amp;rclk=1" TargetMode="External"/><Relationship Id="rId112" Type="http://schemas.openxmlformats.org/officeDocument/2006/relationships/hyperlink" Target="https://www.google.com/maps/place/Percent+BLACK+%25+Speciality+Coffee+Roastery+%26+Bar/data=!4m7!3m6!1s0x2dd7fa29afeb2fc9:0x16de258b29369173!8m2!3d-7.2673827!4d112.7712047!16s%2Fg%2F11hd7ft6yn!19sChIJyS_rryn61y0Rc5E2KYsl3hY?authuser=0&amp;hl=zh-TW&amp;rclk=1" TargetMode="External"/><Relationship Id="rId354" Type="http://schemas.openxmlformats.org/officeDocument/2006/relationships/hyperlink" Target="https://www.google.com/maps/place/Bakso+Prasmanan+%28Cak+Dar%29/data=!4m7!3m6!1s0x2dd7f964cc409383:0x3fca189030bf9482!8m2!3d-7.2599169!4d112.750682!16s%2Fg%2F11hbtj7nxh!19sChIJg5NAzGT51y0RgpS_MJAYyj8?authuser=0&amp;hl=zh-TW&amp;rclk=1" TargetMode="External"/><Relationship Id="rId596" Type="http://schemas.openxmlformats.org/officeDocument/2006/relationships/hyperlink" Target="https://www.google.com/maps/place/Nasi+Bebek+Cak+Sandy/data=!4m7!3m6!1s0x2dd7f9653c152d59:0xb443716d0b236020!8m2!3d-7.2590294!4d112.7504043!16s%2Fg%2F11g6xs9w9f!19sChIJWS0VPGX51y0RIGAjC21xQ7Q?authuser=0&amp;hl=zh-TW&amp;rclk=1" TargetMode="External"/><Relationship Id="rId111" Type="http://schemas.openxmlformats.org/officeDocument/2006/relationships/hyperlink" Target="https://www.google.com/maps/place/Piting+Kerang/data=!4m7!3m6!1s0x2dd7f9bc10b4364f:0xce7bad0d43091c00!8m2!3d-7.2536537!4d112.7824638!16s%2Fg%2F11h5655dsv!19sChIJTza0ELz51y0RABwJQw2te84?authuser=0&amp;hl=zh-TW&amp;rclk=1" TargetMode="External"/><Relationship Id="rId353" Type="http://schemas.openxmlformats.org/officeDocument/2006/relationships/hyperlink" Target="https://www.google.com/maps/place/Kenjeran+Park/data=!4m7!3m6!1s0x2dd7f9c4f53b233f:0x147a117a35d5f080!8m2!3d-7.2380652!4d112.7956011!16s%2Fg%2F1hm5t2vbq!19sChIJPyM79cT51y0RgPDVNXoRehQ?authuser=0&amp;hl=zh-TW&amp;rclk=1" TargetMode="External"/><Relationship Id="rId595" Type="http://schemas.openxmlformats.org/officeDocument/2006/relationships/hyperlink" Target="https://www.google.com/maps/place/KAPTEN+SEAFOOD+SURABAYA+BARAT/data=!4m7!3m6!1s0x2dd7fdec341f426b:0x9077fd5b7aeebcf0!8m2!3d-7.3341376!4d112.7047365!16s%2Fg%2F11ryqyq3yp!19sChIJa0IfNOz91y0R8Lzuelv9d5A?authuser=0&amp;hl=zh-TW&amp;rclk=1" TargetMode="External"/><Relationship Id="rId305" Type="http://schemas.openxmlformats.org/officeDocument/2006/relationships/hyperlink" Target="https://www.google.com/maps/place/Soto+Madura+Gubeng+Pojok+Asli/data=!4m7!3m6!1s0x2dd7fbda2cc55f43:0x29c3881d8e2ee00f!8m2!3d-7.2722468!4d112.7479611!16s%2Fg%2F11b6bw_wyj!19sChIJQ1_FLNr71y0RD-Aujh2Iwyk?authuser=0&amp;hl=zh-TW&amp;rclk=1" TargetMode="External"/><Relationship Id="rId547" Type="http://schemas.openxmlformats.org/officeDocument/2006/relationships/hyperlink" Target="https://www.google.com/maps/place/Moon+Cafe+Surabaya/data=!4m7!3m6!1s0x2dd7fb09920c0cb5:0x1de63fa8d4f2ed4b!8m2!3d-7.3440274!4d112.7800794!16s%2Fg%2F11rcx1dmwh!19sChIJtQwMkgn71y0RS-3y1Kg_5h0?authuser=0&amp;hl=zh-TW&amp;rclk=1" TargetMode="External"/><Relationship Id="rId789" Type="http://schemas.openxmlformats.org/officeDocument/2006/relationships/hyperlink" Target="https://www.google.com/maps/place/Depot+%22MIE+HAKKA%22/@-7.2544184,112.7781209,17z/data=!3m1!4b1!4m6!3m5!1s0x2dd7fa1cfeb05b47:0xec24efd7a18d90e6!8m2!3d-7.2544184!4d112.7781209!16s%2Fg%2F11css0b3qp?entry=ttu&amp;g_ep=EgoyMDI2MDYyOS4wIKXMDSoASAFQAw%3D%3D" TargetMode="External"/><Relationship Id="rId304" Type="http://schemas.openxmlformats.org/officeDocument/2006/relationships/hyperlink" Target="https://www.google.com/maps/place/Bakso+FAKHRI/data=!4m7!3m6!1s0x2dd7fb77e82380f1:0x7f9ca3604b09720a!8m2!3d-7.3033703!4d112.7498347!16s%2Fg%2F11ddwzb3x3!19sChIJ8YAj6Hf71y0RCnIJS2CjnH8?authuser=0&amp;hl=zh-TW&amp;rclk=1" TargetMode="External"/><Relationship Id="rId546" Type="http://schemas.openxmlformats.org/officeDocument/2006/relationships/hyperlink" Target="https://www.google.com/maps/place/Handayani+Garden/data=!4m7!3m6!1s0x2dd7fb0463db3855:0xf278576ae90ad61e!8m2!3d-7.314033!4d112.756009!16s%2Fg%2F1tf138vp!19sChIJVTjbYwT71y0RHtYK6WpXePI?authuser=0&amp;hl=zh-TW&amp;rclk=1" TargetMode="External"/><Relationship Id="rId788" Type="http://schemas.openxmlformats.org/officeDocument/2006/relationships/hyperlink" Target="https://www.google.com/maps/place/HOHO+Coffee+-+Tunjungan/@-7.2596594,112.7389009,17z/data=!3m1!4b1!4m6!3m5!1s0x2dd7f934e95ee58f:0xb492e21d29203648!8m2!3d-7.2596594!4d112.7389009!16s%2Fg%2F11hgdzxdlr?entry=ttu&amp;g_ep=EgoyMDI2MDYyOS4wIKXMDSoASAFQAw%3D%3D" TargetMode="External"/><Relationship Id="rId303" Type="http://schemas.openxmlformats.org/officeDocument/2006/relationships/hyperlink" Target="https://www.google.com/maps/place/Kafe+Bromo/data=!4m7!3m6!1s0x2dd7f95de34fc8fd:0x839ba953e7c613c0!8m2!3d-7.262976!4d112.7380948!16s%2Fg%2F11cfbkq9t!19sChIJ_chP41351y0RwBPG51Opm4M?authuser=0&amp;hl=zh-TW&amp;rclk=1" TargetMode="External"/><Relationship Id="rId545" Type="http://schemas.openxmlformats.org/officeDocument/2006/relationships/hyperlink" Target="https://www.google.com/maps/place/Taman+Keputran/data=!4m7!3m6!1s0x2dd7fbdc6d18b9e1:0xb65ab72ac77ca66a!8m2!3d-7.2732153!4d112.744102!16s%2Fg%2F11g9qh8fd1!19sChIJ4bkYbdz71y0RaqZ8xyq3WrY?authuser=0&amp;hl=zh-TW&amp;rclk=1" TargetMode="External"/><Relationship Id="rId787" Type="http://schemas.openxmlformats.org/officeDocument/2006/relationships/hyperlink" Target="https://www.google.com/maps/place/Museum+Etnografi+dan+Pusat+Kajian+Kematian+Universitas+Airlangga/@-7.2725396,112.7595644,17z/data=!3m1!4b1!4m6!3m5!1s0x2dd7fbd41261934f:0xe258fac5ac2188a6!8m2!3d-7.2725396!4d112.7595644!16s%2Fg%2F1pzv3k65h?entry=ttu&amp;g_ep=EgoyMDI2MDYyOS4wIKXMDSoASAFQAw%3D%3D" TargetMode="External"/><Relationship Id="rId302" Type="http://schemas.openxmlformats.org/officeDocument/2006/relationships/hyperlink" Target="https://www.google.com/maps/place/Rawon+Kalkulator/data=!4m7!3m6!1s0x2dd7fbbe23d5a7e1:0xd3486fa5af94b650!8m2!3d-7.2918496!4d112.7401047!16s%2Fg%2F1pzrq3qkb!19sChIJ4afVI7771y0RULaUr6VvSNM?authuser=0&amp;hl=zh-TW&amp;rclk=1" TargetMode="External"/><Relationship Id="rId544" Type="http://schemas.openxmlformats.org/officeDocument/2006/relationships/hyperlink" Target="https://www.google.com/maps/place/Rawon+Pak+Pangat+Puri+Mas/data=!4m7!3m6!1s0x2dd7fb1bc081efb5:0x72823df3ece311cc!8m2!3d-7.3328464!4d112.7854082!16s%2Fg%2F11k642lbp4!19sChIJte-BwBv71y0RzBHj7PM9gnI?authuser=0&amp;hl=zh-TW&amp;rclk=1" TargetMode="External"/><Relationship Id="rId786" Type="http://schemas.openxmlformats.org/officeDocument/2006/relationships/hyperlink" Target="https://www.google.com/maps/place/Kopi+Calf+Signature+Tunjungan+Surabaya/@-7.2672692,112.7457654,17z/data=!3m1!4b1!4m6!3m5!1s0x2dd7fb34c2ca4047:0x1434efb9ce6345e0!8m2!3d-7.2672692!4d112.7457654!16s%2Fg%2F11y4lr38hd?entry=ttu&amp;g_ep=EgoyMDI2MDYyOS4wIKXMDSoASAFQAw%3D%3D" TargetMode="External"/><Relationship Id="rId309" Type="http://schemas.openxmlformats.org/officeDocument/2006/relationships/hyperlink" Target="https://www.google.com/maps/place/Taman+Krembangan/data=!4m7!3m6!1s0x2dd7f9234b2d9ccb:0x101a2921c6c11681!8m2!3d-7.2371504!4d112.7343491!16s%2Fg%2F11c6zw8jlv!19sChIJy5wtSyP51y0RgRbBxiEpGhA?authuser=0&amp;hl=zh-TW&amp;rclk=1" TargetMode="External"/><Relationship Id="rId308" Type="http://schemas.openxmlformats.org/officeDocument/2006/relationships/hyperlink" Target="https://www.google.com/maps/place/Depot+Bebek+Tiga+Putri/data=!4m7!3m6!1s0x2dd7fb6a06e03881:0x62d54c3d8a5a72eb!8m2!3d-7.3276464!4d112.733565!16s%2Fg%2F11clsdlpq1!19sChIJgTjgBmr71y0R63Jaij1M1WI?authuser=0&amp;hl=zh-TW&amp;rclk=1" TargetMode="External"/><Relationship Id="rId307" Type="http://schemas.openxmlformats.org/officeDocument/2006/relationships/hyperlink" Target="https://www.google.com/maps/place/Warung+Joyo+Spesial+Rawon+%26+Krengsengan/data=!4m7!3m6!1s0x2dd7f95da8a69f0d:0x6ffd729e2d669d1f!8m2!3d-7.2600551!4d112.7371985!16s%2Fg%2F11gfjs4yk5!19sChIJDZ-mqF351y0RH51mLZ5y_W8?authuser=0&amp;hl=zh-TW&amp;rclk=1" TargetMode="External"/><Relationship Id="rId549" Type="http://schemas.openxmlformats.org/officeDocument/2006/relationships/hyperlink" Target="https://www.google.com/maps/place/Pangsit+Mie+Ayam+Jakarta+57/data=!4m7!3m6!1s0x2dd7fbfd419060fb:0xa6de00da25b67064!8m2!3d-7.2688324!4d112.7258082!16s%2Fg%2F11b6vd_bcx!19sChIJ-2CQQf371y0RZHC2JdoA3qY?authuser=0&amp;hl=zh-TW&amp;rclk=1" TargetMode="External"/><Relationship Id="rId306" Type="http://schemas.openxmlformats.org/officeDocument/2006/relationships/hyperlink" Target="https://www.google.com/maps/place/Aneka+Penyetan+Cak+Mat/data=!4m7!3m6!1s0x2dd7fa4acf5e8b43:0x75ca83b5e63d97ba!8m2!3d-7.287597!4d112.7636441!16s%2Fg%2F11f5hds2fw!19sChIJQ4tez0r61y0Rupc95rWDynU?authuser=0&amp;hl=zh-TW&amp;rclk=1" TargetMode="External"/><Relationship Id="rId548" Type="http://schemas.openxmlformats.org/officeDocument/2006/relationships/hyperlink" Target="https://www.google.com/maps/place/Steak+Hut+-+Manyar+Kertoarjo/@-7.2805581,112.7688904,17z/data=!3m1!4b1!4m6!3m5!1s0x2dd7fa33fe284d53:0x9a47414476a6b583!8m2!3d-7.2805581!4d112.7688904!16s%2Fg%2F1jkxfg17t?entry=ttu&amp;g_ep=EgoyMDI2MDYyOS4wIKXMDSoASAFQAw%3D%3D" TargetMode="External"/><Relationship Id="rId781" Type="http://schemas.openxmlformats.org/officeDocument/2006/relationships/hyperlink" Target="https://www.google.com/maps/place/Depot+Bedjo/@-7.2885376,112.7485623,14z/data=!4m10!1m2!2m1!1sepot+bedjo!3m6!1s0x2dd7fa2420623557:0xe1366472af68dcba!8m2!3d-7.2665312!4d112.7672008!15sCgplcG90IGJlZGpvWgwiCmVwb3QgYmVkam-SARJjaGluZXNlX3Jlc3RhdXJhbnSaAURDaTlEUVVsUlFVTnZaRU5vZEhsalJqbHZUMjVHUlU5Rk1XeFdiVkV5V1RBeFMxTXlNVTlUTUd4b1pWUkdXRll3UlJBQuABAPoBBQiIAxAT!16s%2Fg%2F1hc3jphnf?entry=ttu&amp;g_ep=EgoyMDI2MDYyOS4wIKXMDSoASAFQAw%3D%3D" TargetMode="External"/><Relationship Id="rId780" Type="http://schemas.openxmlformats.org/officeDocument/2006/relationships/hyperlink" Target="https://www.google.com/maps/place/Cocari+-+Indragiri/@-7.2895816,112.7312155,17z/data=!3m1!4b1!4m6!3m5!1s0x2dd7fb931279f64d:0x977f710c4438a4ac!8m2!3d-7.2895816!4d112.7312155!16s%2Fg%2F1tdv38xz?entry=ttu&amp;g_ep=EgoyMDI2MDYyOS4wIKXMDSoASAFQAw%3D%3D" TargetMode="External"/><Relationship Id="rId301" Type="http://schemas.openxmlformats.org/officeDocument/2006/relationships/hyperlink" Target="https://www.google.com/maps/place/Kwasong+Cafe/data=!4m7!3m6!1s0x2dd7f9cbf04c640b:0x6a174f878cdc8569!8m2!3d-7.283174!4d112.6581025!16s%2Fg%2F11pdrtf3gz!19sChIJC2RM8Mv51y0RaYXcjIdPF2o?authuser=0&amp;hl=zh-TW&amp;rclk=1" TargetMode="External"/><Relationship Id="rId543" Type="http://schemas.openxmlformats.org/officeDocument/2006/relationships/hyperlink" Target="https://www.google.com/maps/place/Mie+Pangsit+Arjuna/data=!4m7!3m6!1s0x2dd7fb6d128e37d5:0xdce2a53816b629a8!8m2!3d-7.3180665!4d112.7377257!16s%2Fg%2F11t5zqnng9!19sChIJ1TeOEm371y0RqCm2Fjil4tw?authuser=0&amp;hl=zh-TW&amp;rclk=1" TargetMode="External"/><Relationship Id="rId785" Type="http://schemas.openxmlformats.org/officeDocument/2006/relationships/hyperlink" Target="https://www.google.com/maps/place/Museum+Olahraga+Surabaya/@-7.2867965,112.7310669,17z/data=!3m1!4b1!4m6!3m5!1s0x2dd7fb4ee430e3ab:0x79f8833b1326b969!8m2!3d-7.2867965!4d112.7310669!16s%2Fg%2F11rfdk4_56?entry=ttu&amp;g_ep=EgoyMDI2MDYyOS4wIKXMDSoASAFQAw%3D%3D" TargetMode="External"/><Relationship Id="rId300" Type="http://schemas.openxmlformats.org/officeDocument/2006/relationships/hyperlink" Target="https://www.google.com/maps/place/Vibe+Restaurant/data=!4m7!3m6!1s0x2dd7fb1b86181527:0xf5b8e445755ba65f!8m2!3d-7.2756043!4d112.8042503!16s%2Fg%2F11xn8v5yb2!19sChIJJxUYhhv71y0RX6ZbdUXkuPU?authuser=0&amp;hl=zh-TW&amp;rclk=1" TargetMode="External"/><Relationship Id="rId542" Type="http://schemas.openxmlformats.org/officeDocument/2006/relationships/hyperlink" Target="https://www.google.com/maps/place/Bebek+Palupi/data=!4m7!3m6!1s0x2dd7fac497ef51ff:0x87ae64621dad830c!8m2!3d-7.3313568!4d112.777815!16s%2Fg%2F1hf6yycnw!19sChIJ_1Hvl8T61y0RDIOtHWJkroc?authuser=0&amp;hl=zh-TW&amp;rclk=1" TargetMode="External"/><Relationship Id="rId784" Type="http://schemas.openxmlformats.org/officeDocument/2006/relationships/hyperlink" Target="https://www.google.com/maps/place/ESSEL+SURABAYA/@-7.2904054,112.6551446,17z/data=!3m1!4b1!4m6!3m5!1s0x2dd7fd7dcb6a97e3:0xb81b0999627ec9d9!8m2!3d-7.2904054!4d112.6551446!16s%2Fg%2F11wvlkxf3z?entry=ttu&amp;g_ep=EgoyMDI2MDYyOS4wIKXMDSoASAFQAw%3D%3D" TargetMode="External"/><Relationship Id="rId541" Type="http://schemas.openxmlformats.org/officeDocument/2006/relationships/hyperlink" Target="https://www.google.com/maps/place/Pangsit+Mie+Ayam+Tuban+%28Sentra+PKL+Indrapura%29/data=!4m7!3m6!1s0x2dd7f93e507fdb37:0x99e169e619ecd731!8m2!3d-7.2437987!4d112.7364346!16s%2Fg%2F11ckkr6f_2!19sChIJN9t_UD751y0RMdfsGeZp4Zk?authuser=0&amp;hl=zh-TW&amp;rclk=1" TargetMode="External"/><Relationship Id="rId783" Type="http://schemas.openxmlformats.org/officeDocument/2006/relationships/hyperlink" Target="http://google.com/maps/place/Ceker+Pedas+Cocote+Tonggo/@-7.2678911,112.7342831,17z/data=!4m6!3m5!1s0x2dd7fba354d87ea5:0xc51155bbfa508ac7!8m2!3d-7.2687905!4d112.7381996!16s%2Fg%2F11jpt_h84w?entry=ttu&amp;g_ep=EgoyMDI2MDYyOS4wIKXMDSoASAFQAw%3D%3D" TargetMode="External"/><Relationship Id="rId540" Type="http://schemas.openxmlformats.org/officeDocument/2006/relationships/hyperlink" Target="https://www.google.com/maps/place/Pangsit+Mie+Ayam+Mila/data=!4m7!3m6!1s0x2dd7fbf6677a1d39:0xac122a9420e054e0!8m2!3d-7.2820461!4d112.7176963!16s%2Fg%2F11bwf7gfwq!19sChIJOR16Z_b71y0R4FTgIJQqEqw?authuser=0&amp;hl=zh-TW&amp;rclk=1" TargetMode="External"/><Relationship Id="rId782" Type="http://schemas.openxmlformats.org/officeDocument/2006/relationships/hyperlink" Target="https://www.google.com/maps/place/Bubur+Ayam+Mang+Endut/@-7.2678911,112.7342831,17z/data=!3m1!4b1!4m6!3m5!1s0x2dd7fbe1fd31f577:0x605778c583a60034!8m2!3d-7.2678911!4d112.7342831!16s%2Fg%2F11c534yr8w?entry=ttu&amp;g_ep=EgoyMDI2MDYyOS4wIKXMDSoASAFQAw%3D%3D" TargetMode="External"/><Relationship Id="rId536" Type="http://schemas.openxmlformats.org/officeDocument/2006/relationships/hyperlink" Target="https://www.google.com/maps/place/Spesial+Belut+Surabaya+-+H.+Poer/data=!4m7!3m6!1s0x2dd7fa1d06582eff:0xb46f0cc6f11bdd65!8m2!3d-7.2730234!4d112.7812138!16s%2Fg%2F1hm6c7x23!19sChIJ_y5YBh361y0RZd0b8cYMb7Q?authuser=0&amp;hl=zh-TW&amp;rclk=1" TargetMode="External"/><Relationship Id="rId778" Type="http://schemas.openxmlformats.org/officeDocument/2006/relationships/hyperlink" Target="https://www.google.com/maps/place/Nasi+Mandhi+Bosgil+Ampel+Surabaya/@-7.2311735,112.7409681,17z/data=!3m1!4b1!4m6!3m5!1s0x2dd7f93a638d9185:0xdbf2e98715388c37!8m2!3d-7.2311735!4d112.7409681!16s%2Fg%2F11v3pmqyzl?entry=ttu&amp;g_ep=EgoyMDI2MDYyOS4wIKXMDSoASAFQAw%3D%3D" TargetMode="External"/><Relationship Id="rId535" Type="http://schemas.openxmlformats.org/officeDocument/2006/relationships/hyperlink" Target="https://www.google.com/maps/place/The+Gade+Coffee+%26+Gold+Surabaya/@-7.2834071,112.7463577,17z/data=!3m1!4b1!4m6!3m5!1s0x2dd7fb511fe5f48b:0x8a0303b1679bdccc!8m2!3d-7.2834071!4d112.7463577!16s%2Fg%2F11gy3hx2s5?entry=ttu&amp;g_ep=EgoyMDI2MDYyOS4wIKXMDSoASAFQAw%3D%3D" TargetMode="External"/><Relationship Id="rId777" Type="http://schemas.openxmlformats.org/officeDocument/2006/relationships/hyperlink" Target="https://www.google.com/maps/place/Rujak+Cingur+dan+Sop+Buntut+Genteng+Durasim/@-7.2577148,112.7405479,17z/data=!3m2!4b1!5s0x2dd7f967e826b2f9:0xaa5ec3e355ca151d!4m6!3m5!1s0x2dd7f967dd290603:0x636770e38d3152c8!8m2!3d-7.2577148!4d112.7405479!16s%2Fg%2F1hdzccp2y?entry=ttu&amp;g_ep=EgoyMDI2MDYyOS4wIKXMDSoASAFQAw%3D%3D" TargetMode="External"/><Relationship Id="rId534" Type="http://schemas.openxmlformats.org/officeDocument/2006/relationships/hyperlink" Target="https://www.google.com/maps/place/Cw+Coffee+%26+Eatery+Surabaya/@-7.2689088,112.4583689,10z/data=!4m10!1m2!2m1!1scw+coffee!3m6!1s0x2dd7fb004f7274eb:0x1954f84eea9f98d0!8m2!3d-7.2689088!4d112.7385203!15sCgljdyBjb2ZmZWVaCyIJY3cgY29mZmVlkgELY29mZmVlX3Nob3CaASRDaGREU1VoTk1HOW5TMFZKUTBGblNVTklkbVIyWm05UlJSQULgAQD6AQQIcxA9!16s%2Fg%2F11w1qg_4st?entry=ttu&amp;g_ep=EgoyMDI2MDYyOS4wIKXMDSoASAFQAw%3D%3D" TargetMode="External"/><Relationship Id="rId776" Type="http://schemas.openxmlformats.org/officeDocument/2006/relationships/hyperlink" Target="https://www.google.com/maps/place/Bakso+Ambon+Nginden/@-7.30387,112.766254,17z/data=!3m1!4b1!4m6!3m5!1s0x2dd7fa55a8aec12b:0xc20c373b7213b6a2!8m2!3d-7.30387!4d112.766254!16s%2Fg%2F11fy_6c9wt?entry=ttu&amp;g_ep=EgoyMDI2MDYyOS4wIKXMDSoASAFQAw%3D%3D" TargetMode="External"/><Relationship Id="rId533" Type="http://schemas.openxmlformats.org/officeDocument/2006/relationships/hyperlink" Target="https://www.google.com/maps/place/Seafood+Rock+n+Roll/data=!4m7!3m6!1s0x2dd7f9bd28907755:0xefeaaf3a0637d044!8m2!3d-7.2596792!4d112.717104!16s%2Fg%2F11m60dc_fj!19sChIJVXeQKL351y0RRNA3Bjqv6u8?authuser=0&amp;hl=zh-TW&amp;rclk=1" TargetMode="External"/><Relationship Id="rId775" Type="http://schemas.openxmlformats.org/officeDocument/2006/relationships/hyperlink" Target="https://www.google.com/maps/place/Plaza+Surabaya,+Embong+Kaliasin,+Kec.+Genteng,+Surabaya,+Jawa+Timur/@-7.2648774,112.7485448,17z/data=!3m1!4b1!4m6!3m5!1s0x2dd7f962f04afc1b:0x7715dd8149b0875d!8m2!3d-7.2648774!4d112.7485448!16s%2Fg%2F1q64f3z71?entry=ttu&amp;g_ep=EgoyMDI2MDYyOS4wIKXMDSoASAFQAw%3D%3D" TargetMode="External"/><Relationship Id="rId539" Type="http://schemas.openxmlformats.org/officeDocument/2006/relationships/hyperlink" Target="https://www.google.com/maps/place/Sate+Asin+Merapi+Ngagel/data=!4m7!3m6!1s0x2dd7fba0fbcddb23:0x78af841af86f91c0!8m2!3d-7.281022!4d112.746797!16s%2Fg%2F11rtsm50xj!19sChIJI9vN-6D71y0RwJFv-BqEr3g?authuser=0&amp;hl=zh-TW&amp;rclk=1" TargetMode="External"/><Relationship Id="rId538" Type="http://schemas.openxmlformats.org/officeDocument/2006/relationships/hyperlink" Target="https://www.google.com/maps/place/Pusat+Oleh-oleh+Bu+Rudy/data=!4m7!3m6!1s0x2dd7fbc4094feab7:0x70ff179b409f816a!8m2!3d-7.2674232!4d112.7700636!16s%2Fg%2F11flv8d1xz!19sChIJt-pPCcT71y0RaoGfQJsX_3A?authuser=0&amp;hl=zh-TW&amp;rclk=1" TargetMode="External"/><Relationship Id="rId537" Type="http://schemas.openxmlformats.org/officeDocument/2006/relationships/hyperlink" Target="https://www.google.com/maps/place/Tahu+Campur+H.+ABD.+Mahfud+Asli+Kalasan/data=!4m7!3m6!1s0x2dd7f9797f4ba83f:0xec4587e11bcf800a!8m2!3d-7.258714!4d112.7573433!16s%2Fg%2F11b69v7p5p!19sChIJP6hLf3n51y0RCoDPG-GHRew?authuser=0&amp;hl=zh-TW&amp;rclk=1" TargetMode="External"/><Relationship Id="rId779" Type="http://schemas.openxmlformats.org/officeDocument/2006/relationships/hyperlink" Target="https://www.google.com/maps/place/Phermitage,+Pantrysserie+%26+Coffee+House/@-7.2576761,112.7376914,17z/data=!3m1!4b1!4m6!3m5!1s0x2dd7f990413b6ddb:0xa136050c48e7bcef!8m2!3d-7.2576761!4d112.7376914!16s%2Fg%2F11rznnbqfl?entry=ttu&amp;g_ep=EgoyMDI2MDYyOS4wIKXMDSoASAFQAw%3D%3D" TargetMode="External"/><Relationship Id="rId770" Type="http://schemas.openxmlformats.org/officeDocument/2006/relationships/hyperlink" Target="https://www.google.com/maps/place/Kawasan+Pecinan+Surabaya/@-7.2368678,112.7391065,17z/data=!3m1!4b1!4m6!3m5!1s0x2dd7f9178e34764d:0x3aca6b0e54d9e5d4!8m2!3d-7.2368678!4d112.7391065!16s%2Fg%2F120phfdf?entry=ttu&amp;g_ep=EgoyMDI2MDYyOS4wIKXMDSoASAFQAw%3D%3D" TargetMode="External"/><Relationship Id="rId532" Type="http://schemas.openxmlformats.org/officeDocument/2006/relationships/hyperlink" Target="https://www.google.com/maps/place/Mie+Ayam+Cak+AL+Suroboyo/data=!4m7!3m6!1s0x2dd7f999d2a66677:0xdfeecf31983ee8a7!8m2!3d-7.24932!4d112.7311548!16s%2Fg%2F11sg68jf5g!19sChIJd2am0pn51y0Rp-g-mDHP7t8?authuser=0&amp;hl=zh-TW&amp;rclk=1" TargetMode="External"/><Relationship Id="rId774" Type="http://schemas.openxmlformats.org/officeDocument/2006/relationships/hyperlink" Target="https://www.google.com/maps/place/Pavilion+Restaurant+at+JW+Marriott+Surabaya/@-7.2595865,112.7350547,17z/data=!3m1!4b1!4m6!3m5!1s0x2dd7f95cf4375601:0x4a94f51675f8d8ad!8m2!3d-7.2595865!4d112.7350547!16s%2Fg%2F1pztwwk6g?entry=ttu&amp;g_ep=EgoyMDI2MDYyOS4wIKXMDSoASAFQAw%3D%3D" TargetMode="External"/><Relationship Id="rId531" Type="http://schemas.openxmlformats.org/officeDocument/2006/relationships/hyperlink" Target="https://www.google.com/maps/place/Coste+Coffee/@-7.2862409,112.7561595,17z/data=!3m1!4b1!4m6!3m5!1s0x2dd7fbae16ba6159:0xb106b6dc19401000!8m2!3d-7.2862409!4d112.7561595!16s%2Fg%2F11rzgwj_bd?entry=ttu&amp;g_ep=EgoyMDI2MDYyOS4wIKXMDSoASAFQAw%3D%3D" TargetMode="External"/><Relationship Id="rId773" Type="http://schemas.openxmlformats.org/officeDocument/2006/relationships/hyperlink" Target="http://google.com/maps/place/Galaxy+Mall+3/@-7.2755008,112.7814488,17z/data=!3m1!5s0x2dd7fa3b6771b933:0xd3c42d771036b0b9!4m6!3m5!1s0x2dd7fba7c21aba85:0xe63dd66f7ec7d384!8m2!3d-7.2761716!4d112.7802211!16s%2Fg%2F11fktvdtvg?entry=ttu&amp;g_ep=EgoyMDI2MDYyOS4wIKXMDSoASAFQAw%3D%3D" TargetMode="External"/><Relationship Id="rId530" Type="http://schemas.openxmlformats.org/officeDocument/2006/relationships/hyperlink" Target="https://www.google.com/maps/place/Kenjeran+Park+Outbound/@-7.2473195,112.8017382,17z/data=!3m1!4b1!4m6!3m5!1s0x2dd7f9e46123ab51:0xdb1a1fc07205073!8m2!3d-7.2473195!4d112.8017382!16s%2Fg%2F11c6f5gfcr?entry=ttu&amp;g_ep=EgoyMDI2MDYyOS4wIKXMDSoASAFQAw%3D%3D" TargetMode="External"/><Relationship Id="rId772" Type="http://schemas.openxmlformats.org/officeDocument/2006/relationships/hyperlink" Target="https://www.google.com/maps/place/Tunjungan+Plaza/@-7.2631711,112.7400711,17z/data=!3m1!4b1!4m6!3m5!1s0x2dd7f960aee9a64d:0xaa9e2f2c4ed67175!8m2!3d-7.2631711!4d112.7400711!16s%2Fm%2F03nn8x_?entry=ttu&amp;g_ep=EgoyMDI2MDYyOS4wIKXMDSoASAFQAw%3D%3D" TargetMode="External"/><Relationship Id="rId771" Type="http://schemas.openxmlformats.org/officeDocument/2006/relationships/hyperlink" Target="https://www.google.com/maps/place/Gedung+Cak+Durasim/@-7.2567315,112.7396144,17z/data=!3m1!4b1!4m6!3m5!1s0x2dd7f97d349c4d7d:0xc51c4e012d92fdb8!8m2!3d-7.2567315!4d112.7396144!16s%2Fg%2F11l3ccbw06?entry=ttu&amp;g_ep=EgoyMDI2MDYyOS4wIKXMDSoASAFQAw%3D%3D" TargetMode="External"/><Relationship Id="rId327" Type="http://schemas.openxmlformats.org/officeDocument/2006/relationships/hyperlink" Target="https://www.google.com/maps/place/Bakso+So%27un+dan+Mie+Ayam+Mojopahit/data=!4m7!3m6!1s0x2dd7f958b4642b75:0xa26b58692bad8b05!8m2!3d-7.259215!4d112.7316017!16s%2Fg%2F11bw2_gs28!19sChIJdStktFj51y0RBYutK2lYa6I?authuser=0&amp;hl=zh-TW&amp;rclk=1" TargetMode="External"/><Relationship Id="rId569" Type="http://schemas.openxmlformats.org/officeDocument/2006/relationships/hyperlink" Target="https://www.google.com/maps/place/Magnolia+Restaurant+At+Westin+Surabaya/data=!4m7!3m6!1s0x2dd7fdde0a5f0723:0x19bfe1288733e697!8m2!3d-7.2901625!4d112.6751242!16s%2Fg%2F11qqf9vnt1!19sChIJIwdfCt791y0Rl-Yzhyjhvxk?authuser=0&amp;hl=zh-TW&amp;rclk=1" TargetMode="External"/><Relationship Id="rId326" Type="http://schemas.openxmlformats.org/officeDocument/2006/relationships/hyperlink" Target="https://www.google.com/maps/place/Rumah+Wafat+Wage+Rudolf+Supratman/data=!4m7!3m6!1s0x2dd7f90a58b20643:0x228668e7ab001bd!8m2!3d-7.2506354!4d112.7537695!16s%2Fg%2F11fk1jxcqh!19sChIJQwayWAr51y0RvQGweo5mKAI?authuser=0&amp;hl=zh-TW&amp;rclk=1" TargetMode="External"/><Relationship Id="rId568" Type="http://schemas.openxmlformats.org/officeDocument/2006/relationships/hyperlink" Target="https://www.google.com/maps/place/G+-+WALK+Citraland+Surabaya/@-7.2920822,112.6544154,17z/data=!3m1!4b1!4m6!3m5!1s0x2dd7fdc7d4229af3:0x1bd7b8a45f57d063!8m2!3d-7.2920822!4d112.6544154!16s%2Fg%2F11b6xgh6ds?entry=ttu&amp;g_ep=EgoyMDI2MDYyOS4wIKXMDSoASAFQAw%3D%3D" TargetMode="External"/><Relationship Id="rId325" Type="http://schemas.openxmlformats.org/officeDocument/2006/relationships/hyperlink" Target="https://www.google.com/maps/place/Spread+Cafe+by+Tootoomoo/data=!4m7!3m6!1s0x2dd7fb9fdcc83a8d:0x16a4c447d48bbd04!8m2!3d-7.2896458!4d112.7348815!16s%2Fg%2F11sjlqx6yw!19sChIJjTrI3J_71y0RBL2L1EfEpBY?authuser=0&amp;hl=zh-TW&amp;rclk=1" TargetMode="External"/><Relationship Id="rId567" Type="http://schemas.openxmlformats.org/officeDocument/2006/relationships/hyperlink" Target="https://www.google.com/maps/place/Soto+Ayam+Ambengan+Pak+Sadi/data=!4m7!3m6!1s0x2dd7fc143dbf4af5:0x618e4ded1b465a42!8m2!3d-7.2855718!4d112.6956815!16s%2Fg%2F1hf6h3rbt!19sChIJ9Uq_PRT81y0RQlpGG-1NjmE?authuser=0&amp;hl=zh-TW&amp;rclk=1" TargetMode="External"/><Relationship Id="rId324" Type="http://schemas.openxmlformats.org/officeDocument/2006/relationships/hyperlink" Target="https://www.google.com/maps/place/Suro+and+Boyo+Statue/data=!4m7!3m6!1s0x2dd7fb97dde14831:0x9e68091c03f959fb!8m2!3d-7.2960492!4d112.7387012!16s%2Fg%2F1230v9vx!19sChIJMUjh3Zf71y0R-1n5AxwJaJ4?authuser=0&amp;hl=zh-TW&amp;rclk=1" TargetMode="External"/><Relationship Id="rId566" Type="http://schemas.openxmlformats.org/officeDocument/2006/relationships/hyperlink" Target="https://www.google.com/maps/place/Titik+Koma+Tenggilis/data=!4m7!3m6!1s0x2dd7fbbdc215908f:0x2d074f2a6fe416ae!8m2!3d-7.3203757!4d112.7663575!16s%2Fg%2F11cn9lrgqf!19sChIJj5AVwr371y0RrhbkbypPBy0?authuser=0&amp;hl=zh-TW&amp;rclk=1" TargetMode="External"/><Relationship Id="rId329" Type="http://schemas.openxmlformats.org/officeDocument/2006/relationships/hyperlink" Target="https://www.google.com/maps/place/Spesial+Belut+Surabaya+H.+Poer/data=!4m7!3m6!1s0x2dd7fbfe61eabd33:0xd5893654a3c3d2cc!8m2!3d-7.2705095!4d112.7199703!16s%2Fg%2F11b6xdws2s!19sChIJM73qYf771y0RzNLDo1Q2idU?authuser=0&amp;hl=zh-TW&amp;rclk=1" TargetMode="External"/><Relationship Id="rId328" Type="http://schemas.openxmlformats.org/officeDocument/2006/relationships/hyperlink" Target="https://www.google.com/maps/place/Pangsit+Mie+Ayam+Tenda+Biru/data=!4m7!3m6!1s0x2dd7fbd9486e747f:0x50149c558bb1d472!8m2!3d-7.2710167!4d112.7459099!16s%2Fg%2F11hd6mwzvx!19sChIJf3RuSNn71y0RctSxi1WcFFA?authuser=0&amp;hl=zh-TW&amp;rclk=1" TargetMode="External"/><Relationship Id="rId561" Type="http://schemas.openxmlformats.org/officeDocument/2006/relationships/hyperlink" Target="https://www.google.com/maps/place/Sate+kambing+muda+Balibul/data=!4m7!3m6!1s0x2dd7fb002bde1aa3:0xde153d8078209144!8m2!3d-7.2922352!4d112.7333777!16s%2Fg%2F11vyxpmxgn!19sChIJoxreKwD71y0RRJEgeIA9Fd4?authuser=0&amp;hl=zh-TW&amp;rclk=1" TargetMode="External"/><Relationship Id="rId560" Type="http://schemas.openxmlformats.org/officeDocument/2006/relationships/hyperlink" Target="https://www.google.com/maps/place/Eicy+Cafe/@-7.2945429,112.768385,17z/data=!3m1!4b1!4m6!3m5!1s0x2dd7fbfe9188ab43:0x23ce9195cd20d25d!8m2!3d-7.2945429!4d112.768385!16s%2Fg%2F11qh449_hp?entry=ttu&amp;g_ep=EgoyMDI2MDYyOS4wIKXMDSoASAFQAw%3D%3D" TargetMode="External"/><Relationship Id="rId323" Type="http://schemas.openxmlformats.org/officeDocument/2006/relationships/hyperlink" Target="https://www.google.com/maps/place/Spesial+Soto+Boyolali+%28SSb%29+Hj+Hesti,+Cabang+Anjasmoro,+Surabaya/data=!4m7!3m6!1s0x2dd7f9001a40c2b1:0xdc6228eda9b425d6!8m2!3d-7.2591037!4d112.7304809!16s%2Fg%2F11m_6x1z79!19sChIJscJAGgD51y0R1iW0qe0oYtw?authuser=0&amp;hl=zh-TW&amp;rclk=1" TargetMode="External"/><Relationship Id="rId565" Type="http://schemas.openxmlformats.org/officeDocument/2006/relationships/hyperlink" Target="https://www.google.com/maps/place/Bakso+Pak+Sarjuk/data=!4m7!3m6!1s0x2dd7fb5b6887fd95:0xdf896540584d3528!8m2!3d-7.2983287!4d112.7554751!16s%2Fg%2F11qq5rf1tt!19sChIJlf2HaFv71y0RKDVNWEBlid8?authuser=0&amp;hl=zh-TW&amp;rclk=1" TargetMode="External"/><Relationship Id="rId322" Type="http://schemas.openxmlformats.org/officeDocument/2006/relationships/hyperlink" Target="https://www.google.com/maps/place/Aiola+Eatery+-+Slamet/data=!4m7!3m6!1s0x2dd7f9652618dd89:0x44d789bb4b69e7bf!8m2!3d-7.258743!4d112.7502734!16s%2Fg%2F11b69vppl0!19sChIJid0YJmX51y0Rv-dpS7uJ10Q?authuser=0&amp;hl=zh-TW&amp;rclk=1" TargetMode="External"/><Relationship Id="rId564" Type="http://schemas.openxmlformats.org/officeDocument/2006/relationships/hyperlink" Target="https://www.google.com/maps/place/Penyetan+mbak+yun/data=!4m7!3m6!1s0x2dd7fbe425ec001d:0xb61168c6fc53fbe4!8m2!3d-7.2974453!4d112.7628114!16s%2Fg%2F11lrn_2dbq!19sChIJHQDsJeT71y0R5PtT_MZoEbY?authuser=0&amp;hl=zh-TW&amp;rclk=1" TargetMode="External"/><Relationship Id="rId321" Type="http://schemas.openxmlformats.org/officeDocument/2006/relationships/hyperlink" Target="https://www.google.com/maps/place/SAS+Cafe+N+Resto/data=!4m7!3m6!1s0x2dd7fa1b34a93411:0x3eb563bd94c331eb!8m2!3d-7.2702897!4d112.7986384!16s%2Fg%2F11g_yml87!19sChIJETSpNBv61y0R6zHDlL1jtT4?authuser=0&amp;hl=zh-TW&amp;rclk=1" TargetMode="External"/><Relationship Id="rId563" Type="http://schemas.openxmlformats.org/officeDocument/2006/relationships/hyperlink" Target="https://www.google.com/maps/place/fourspace/data=!4m2!3m1!1s0x2dd7fb00391f4fb5:0x7b65914ecaea0cff?sa=X&amp;ved=1t:242&amp;ictx=111" TargetMode="External"/><Relationship Id="rId320" Type="http://schemas.openxmlformats.org/officeDocument/2006/relationships/hyperlink" Target="https://www.google.com/maps/place/Apsari+Park/data=!4m7!3m6!1s0x2dd7f96110f3ae31:0xa8ae5d0ff49d3ece!8m2!3d-7.2637501!4d112.7428529!16s%2Fg%2F11csqvx0mp!19sChIJMa7zEGH51y0Rzj6d9A9drqg?authuser=0&amp;hl=zh-TW&amp;rclk=1" TargetMode="External"/><Relationship Id="rId562" Type="http://schemas.openxmlformats.org/officeDocument/2006/relationships/hyperlink" Target="https://www.google.com/maps/place/Korean+Friendship+Park/data=!4m7!3m6!1s0x2dd7fbebcb512fef:0x2907ee34926ba62d!8m2!3d-7.2830626!4d112.7366007!16s%2Fg%2F11cn3sxnvn!19sChIJ7y9Ry-v71y0RLaZrkjTuByk?authuser=0&amp;hl=zh-TW&amp;rclk=1" TargetMode="External"/><Relationship Id="rId316" Type="http://schemas.openxmlformats.org/officeDocument/2006/relationships/hyperlink" Target="https://www.google.com/maps/place/Penyetan+Songolas+Ngagel+Rejo/data=!4m7!3m6!1s0x2dd7fbbb738b6bb9:0x79239990ca332549!8m2!3d-7.2947962!4d112.7461299!16s%2Fg%2F11h9x3pn8j!19sChIJuWuLc7v71y0RSSUzypCZI3k?authuser=0&amp;hl=zh-TW&amp;rclk=1" TargetMode="External"/><Relationship Id="rId558" Type="http://schemas.openxmlformats.org/officeDocument/2006/relationships/hyperlink" Target="https://www.google.com/maps/place/Kurnia+Seafood+Surabaya/data=!4m7!3m6!1s0x2dd7fbc72fb4fd67:0x980039fa230d3f4c!8m2!3d-7.2684478!4d112.7400955!16s%2Fg%2F11w7c8y746!19sChIJZ_20L8f71y0RTD8NI_o5AJg?authuser=0&amp;hl=zh-TW&amp;rclk=1" TargetMode="External"/><Relationship Id="rId315" Type="http://schemas.openxmlformats.org/officeDocument/2006/relationships/hyperlink" Target="https://www.google.com/maps/place/Kokkili+Cafe/data=!4m7!3m6!1s0x2dd7fd94a77ef4d7:0x797a6211d005c15e!8m2!3d-7.2873325!4d112.655854!16s%2Fg%2F11k58312j2!19sChIJ1_R-p5T91y0RXsEF0BFienk?authuser=0&amp;hl=zh-TW&amp;rclk=1" TargetMode="External"/><Relationship Id="rId557" Type="http://schemas.openxmlformats.org/officeDocument/2006/relationships/hyperlink" Target="https://www.google.com/maps/place/Star+Seafood+Surabaya/data=!4m7!3m6!1s0x2dd7ff75fe4d7305:0xe01aa48e09a1ea66!8m2!3d-7.2592654!4d112.809289!16s%2Fg%2F11wfs4phkg!19sChIJBXNN_nX_1y0RZuqhCY6kGuA?authuser=0&amp;hl=zh-TW&amp;rclk=1" TargetMode="External"/><Relationship Id="rId314" Type="http://schemas.openxmlformats.org/officeDocument/2006/relationships/hyperlink" Target="https://www.google.com/maps/place/Pakal+Forest+Park/data=!4m7!3m6!1s0x2dd7fe2a88d4904d:0x798cb8df8dcedfad!8m2!3d-7.2352346!4d112.6207765!16s%2Fg%2F11bw4lmmvz!19sChIJTZDUiCr-1y0Rrd_Ojd-4jHk?authuser=0&amp;hl=zh-TW&amp;rclk=1" TargetMode="External"/><Relationship Id="rId556" Type="http://schemas.openxmlformats.org/officeDocument/2006/relationships/hyperlink" Target="https://www.google.com/maps/place/Hutan+Kota+Balas+Krumprik/@-7.32967,112.6912506,17z/data=!3m1!4b1!4m6!3m5!1s0x2dd7fceaa8fe41db:0xd46fb7b1208444a4!8m2!3d-7.32967!4d112.6912506!16s%2Fg%2F11bw2gz604?entry=ttu&amp;g_ep=EgoyMDI2MDYyOS4wIKXMDSoASAFQAw%3D%3D" TargetMode="External"/><Relationship Id="rId798" Type="http://schemas.openxmlformats.org/officeDocument/2006/relationships/drawing" Target="../drawings/drawing1.xml"/><Relationship Id="rId313" Type="http://schemas.openxmlformats.org/officeDocument/2006/relationships/hyperlink" Target="https://www.google.com/maps/place/Nasi+Bebek+Sambal+Pencit+Sambal+Ijo+Pak+Umar+2/data=!4m7!3m6!1s0x2dd7fbd3c7efdc9f:0x7dea0216b0e8c332!8m2!3d-7.3007829!4d112.7373966!16s%2Fg%2F11xn60cpr7!19sChIJn9zvx9P71y0RMsPosBYC6n0?authuser=0&amp;hl=zh-TW&amp;rclk=1" TargetMode="External"/><Relationship Id="rId555" Type="http://schemas.openxmlformats.org/officeDocument/2006/relationships/hyperlink" Target="https://www.google.com/maps/place/Bungkul+Park/data=!4m7!3m6!1s0x2dd7fbbe1837258d:0x6de4060b6596563f!8m2!3d-7.2913468!4d112.7398218!16s%2Fg%2F121_bvsv!19sChIJjSU3GL771y0RP1aWZQsG5G0?authuser=0&amp;hl=zh-TW&amp;rclk=1" TargetMode="External"/><Relationship Id="rId797" Type="http://schemas.openxmlformats.org/officeDocument/2006/relationships/hyperlink" Target="https://www.google.com/maps/place/Taman+Sejarah+dan+Museum+Hidup+Kota+Lama+Surabaya/@-7.2361058,112.7378073,17z/data=!3m1!4b1!4m6!3m5!1s0x2dd7f92218534b13:0x8f19b844ebcac285!8m2!3d-7.2361058!4d112.7378073!16s%2Fg%2F11dzt6cd3b?entry=ttu&amp;g_ep=EgoyMDI2MDYyOS4wIKXMDSoASAFQAw%3D%3D" TargetMode="External"/><Relationship Id="rId319" Type="http://schemas.openxmlformats.org/officeDocument/2006/relationships/hyperlink" Target="https://www.google.com/maps/place/Rawon+Bu+Soepinah/data=!4m7!3m6!1s0x2dd7fbfcabf1f293:0x83c801626c4a0785!8m2!3d-7.2721005!4d112.7279788!16s%2Fg%2F1pzrhlpx0!19sChIJk_Lxq_z71y0RhQdKbGIByIM?authuser=0&amp;hl=zh-TW&amp;rclk=1" TargetMode="External"/><Relationship Id="rId318" Type="http://schemas.openxmlformats.org/officeDocument/2006/relationships/hyperlink" Target="https://www.google.com/maps/place/Pangsit+Mie+Ayam+Jakarta+Pak+No/data=!4m7!3m6!1s0x2dd7fbca8b1802cb:0x632c24ec408011b4!8m2!3d-7.2861422!4d112.7601868!16s%2Fg%2F11b6bwpd_t!19sChIJywIYi8r71y0RtBGAQOwkLGM?authuser=0&amp;hl=zh-TW&amp;rclk=1" TargetMode="External"/><Relationship Id="rId317" Type="http://schemas.openxmlformats.org/officeDocument/2006/relationships/hyperlink" Target="https://www.google.com/maps/place/Warung+Bu+Warni+Surabaya+%28+Nasi+Petis-Specialist+Cumi+Hitam%29/data=!4m7!3m6!1s0x2dd7fb9041803d21:0x4e3fe8ae280d3d2d!8m2!3d-7.300215!4d112.7729171!16s%2Fg%2F11l_8pgj__!19sChIJIT2AQZD71y0RLT0NKK7oP04?authuser=0&amp;hl=zh-TW&amp;rclk=1" TargetMode="External"/><Relationship Id="rId559" Type="http://schemas.openxmlformats.org/officeDocument/2006/relationships/hyperlink" Target="https://www.google.com/maps/place/Bubur+Ayam+Mang+Dudung/data=!4m7!3m6!1s0x2dd7f95be8d390f5:0x3700bb19fbf1d6ab!8m2!3d-7.2617327!4d112.7319957!16s%2Fg%2F11btwvfcjl!19sChIJ9ZDT6Fv51y0Rq9bx-xm7ADc?authuser=0&amp;hl=zh-TW&amp;rclk=1" TargetMode="External"/><Relationship Id="rId550" Type="http://schemas.openxmlformats.org/officeDocument/2006/relationships/hyperlink" Target="https://www.google.com/maps/place/Kebun+Bibit+Wonorejo/data=!4m7!3m6!1s0x2dd7fa8cf321a5d3:0xa20235fc28e1ca1a!8m2!3d-7.3123075!4d112.7891727!16s%2Fg%2F11b75nr3gh!19sChIJ06Uh84z61y0RGsrhKPw1AqI?authuser=0&amp;hl=zh-TW&amp;rclk=1" TargetMode="External"/><Relationship Id="rId792" Type="http://schemas.openxmlformats.org/officeDocument/2006/relationships/hyperlink" Target="https://www.google.com/maps/place/Tahu+Tek+Pak+Nur+Villa+Kalijudan+Indah/@-7.260627,112.7771057,17z/data=!3m1!4b1!4m6!3m5!1s0x2dd7f988da1baf31:0x66266e117c303639!8m2!3d-7.260627!4d112.7771057!16s%2Fg%2F11d_8gg7hp?entry=ttu&amp;g_ep=EgoyMDI2MDYyOS4wIKXMDSoASAFQAw%3D%3D" TargetMode="External"/><Relationship Id="rId791" Type="http://schemas.openxmlformats.org/officeDocument/2006/relationships/hyperlink" Target="https://www.google.com/maps/place/Lagoon+Avenue+Mall+Sungkono/@-7.2898778,112.7064354,17z/data=!3m1!4b1!4m6!3m5!1s0x2dd7fd75060c03fd:0xb1b866cbf154c739!8m2!3d-7.2898778!4d112.7064354!16s%2Fg%2F11nn4j3qt3?entry=ttu&amp;g_ep=EgoyMDI2MDYyOS4wIKXMDSoASAFQAw%3D%3D" TargetMode="External"/><Relationship Id="rId790" Type="http://schemas.openxmlformats.org/officeDocument/2006/relationships/hyperlink" Target="http://google.com/maps/place/Depot+Kalijudan+Chinese+Food+Halal/@-7.2544184,112.7781209,17z/data=!4m6!3m5!1s0x2dd7f9d2896a7d4f:0x47fee0e46f8426b7!8m2!3d-7.2576697!4d112.7784895!16s%2Fg%2F11ssdnv6s_?entry=ttu&amp;g_ep=EgoyMDI2MDYyOS4wIKXMDSoASAFQAw%3D%3D" TargetMode="External"/><Relationship Id="rId312" Type="http://schemas.openxmlformats.org/officeDocument/2006/relationships/hyperlink" Target="https://www.google.com/maps/place/Hutan+Cemara+Mangrove/data=!4m7!3m6!1s0x2dd7f10cde0dba6d:0x132ee8095e646d0b!8m2!3d-7.3077843!4d112.8160651!16s%2Fg%2F11k4ypr8pn!19sChIJbboN3gzx1y0RC21kXgnoLhM?authuser=0&amp;hl=zh-TW&amp;rclk=1" TargetMode="External"/><Relationship Id="rId554" Type="http://schemas.openxmlformats.org/officeDocument/2006/relationships/hyperlink" Target="https://www.google.com/maps/place/Pangsit+Mie+Ayam+Jakarta+Pak+Indra/data=!4m7!3m6!1s0x2dd7f94ceb3161eb:0x7a0b5cd604aa4ab0!8m2!3d-7.2544212!4d112.716809!16s%2Fg%2F1pztd4q6p!19sChIJ62Ex60z51y0RsEqqBNZcC3o?authuser=0&amp;hl=zh-TW&amp;rclk=1" TargetMode="External"/><Relationship Id="rId796" Type="http://schemas.openxmlformats.org/officeDocument/2006/relationships/hyperlink" Target="https://www.google.com/maps/place/Taman+Bhinneka+(Nusantara+Creativity+Center)/@-7.3025473,112.7995274,17z/data=!3m1!4b1!4m6!3m5!1s0x2dd7fbf1fe18c411:0x7a5b54f79a30b082!8m2!3d-7.3025473!4d112.7995274!16s%2Fg%2F11yf7s41wc?entry=ttu&amp;g_ep=EgoyMDI2MDYyOS4wIKXMDSoASAFQAw%3D%3D" TargetMode="External"/><Relationship Id="rId311" Type="http://schemas.openxmlformats.org/officeDocument/2006/relationships/hyperlink" Target="https://www.google.com/maps/place/Rawon+Nguling+Kendangsari/data=!4m7!3m6!1s0x2dd7fb3d2ea4c4f7:0x7dbf671e378fa4d7!8m2!3d-7.329177!4d112.7462533!16s%2Fg%2F1pzsjnpy3!19sChIJ98SkLj371y0R16SPNx5nv30?authuser=0&amp;hl=zh-TW&amp;rclk=1" TargetMode="External"/><Relationship Id="rId553" Type="http://schemas.openxmlformats.org/officeDocument/2006/relationships/hyperlink" Target="https://www.google.com/maps/place/Ronggolawe+Pangsit+Mie+Ayam+Jakarta/data=!4m7!3m6!1s0x2dd7fbcc8c8fd9c9:0x3a4c83fed30812c0!8m2!3d-7.347493!4d112.729714!16s%2Fg%2F11g19r00xc!19sChIJydmPjMz71y0RwBII0_6DTDo?authuser=0&amp;hl=zh-TW&amp;rclk=1" TargetMode="External"/><Relationship Id="rId795" Type="http://schemas.openxmlformats.org/officeDocument/2006/relationships/hyperlink" Target="https://www.google.com/maps/place/BARA+CAFE/@-7.335074,112.6812639,13z/data=!4m10!1m2!2m1!1sBARA+COFFEE!3m6!1s0x2dd7fbda3ed8ac23:0x8dcb4a4ad028ba75!8m2!3d-7.335074!4d112.7162828!15sCgtCQVJBIENPRkZFRVoNIgtiYXJhIGNvZmZlZZIBBGNhZmWaAURDaTlEUVVsUlFVTnZaRU5vZEhsalJqbHZUMnM1YUZVd01IcGpXR1JOWTFkV2VGVnVXa3RXUlZab1pGUkNNMkZ0WXhBQuABAPoBBAgAECk!16s%2Fg%2F11q1c_mhg2?entry=ttu&amp;g_ep=EgoyMDI2MDYyOS4wIKXMDSoASAFQAw%3D%3D" TargetMode="External"/><Relationship Id="rId310" Type="http://schemas.openxmlformats.org/officeDocument/2006/relationships/hyperlink" Target="https://www.google.com/maps/place/Sentra+Wisata+Kuliner+Siola/data=!4m7!3m6!1s0x2dd7f9dfcca59d89:0x6881dc0eb4303946!8m2!3d-7.2567686!4d112.7376015!16s%2Fg%2F11hr641hgv!19sChIJiZ2lzN_51y0RRjkwtA7cgWg?authuser=0&amp;hl=zh-TW&amp;rclk=1" TargetMode="External"/><Relationship Id="rId552" Type="http://schemas.openxmlformats.org/officeDocument/2006/relationships/hyperlink" Target="https://www.google.com/maps/place/Nasi+Bebek+Pak+Sayeki/data=!4m7!3m6!1s0x2dd7fa2a822f695b:0x929acb77de3c2dc2!8m2!3d-7.2659794!4d112.7663705!16s%2Fg%2F11byp6gg5n!19sChIJW2kvgir61y0Rwi083nfLmpI?authuser=0&amp;hl=zh-TW&amp;rclk=1" TargetMode="External"/><Relationship Id="rId794" Type="http://schemas.openxmlformats.org/officeDocument/2006/relationships/hyperlink" Target="https://www.google.com/maps/place/Park+Shanghai-+Pakuwon+City/@-7.2771449,112.8073719,17z/data=!3m1!4b1!4m6!3m5!1s0x2dd7fb708d1d495d:0xabf87debf35240ca!8m2!3d-7.2771449!4d112.8073719!16s%2Fg%2F11vbq47h_b?entry=ttu&amp;g_ep=EgoyMDI2MDYyOS4wIKXMDSoASAFQAw%3D%3D" TargetMode="External"/><Relationship Id="rId551" Type="http://schemas.openxmlformats.org/officeDocument/2006/relationships/hyperlink" Target="https://www.google.com/maps/place/Bakso+Goyang+Lidah+Cak+Su%27in/data=!4m7!3m6!1s0x2dd7fbf255555555:0xcf38eef7d617d3bb!8m2!3d-7.288167!4d112.7201709!16s%2Fg%2F1pzs_vc9f!19sChIJVVVVVfL71y0Ru9MX1vfuOM8?authuser=0&amp;hl=zh-TW&amp;rclk=1" TargetMode="External"/><Relationship Id="rId793" Type="http://schemas.openxmlformats.org/officeDocument/2006/relationships/hyperlink" Target="https://www.google.com/maps/place/Coto+Makassar+Daeng+Kulle/@-7.255543,112.742331,17z/data=!3m1!4b1!4m6!3m5!1s0x2dd7f968f40a5e21:0x820f8c116669e9a0!8m2!3d-7.255543!4d112.742331!16s%2Fg%2F1w8g3hlr?entry=ttu&amp;g_ep=EgoyMDI2MDYyOS4wIKXMDSoASAFQAw%3D%3D" TargetMode="External"/><Relationship Id="rId297" Type="http://schemas.openxmlformats.org/officeDocument/2006/relationships/hyperlink" Target="https://www.google.com/maps/place/Brew+and+Else+Coffee/data=!4m2!3m1!1s0x2dd7fdabd5e5f719:0x9cd496f4fdbff681?sa=X&amp;ved=1t:242&amp;ictx=111" TargetMode="External"/><Relationship Id="rId296" Type="http://schemas.openxmlformats.org/officeDocument/2006/relationships/hyperlink" Target="https://www.google.com/maps/place/Wisata+Taman+Gazebo+Bambu/data=!4m7!3m6!1s0x2dd7fa7a71c08b6b:0xcb0fdd5efeaad1b9!8m2!3d-7.2945069!4d112.8026249!16s%2Fg%2F11f0kvg8bk!19sChIJa4vAcXr61y0RudGq_l7dD8s?authuser=0&amp;hl=zh-TW&amp;rclk=1" TargetMode="External"/><Relationship Id="rId295" Type="http://schemas.openxmlformats.org/officeDocument/2006/relationships/hyperlink" Target="https://www.google.com/maps/place/Cafe+Teko+-+Menanggal/data=!4m7!3m6!1s0x2dd7fba292ae7755:0x9573375d6799d06d!8m2!3d-7.3423267!4d112.724097!16s%2Fg%2F11j7f_g4zp!19sChIJVXeukqL71y0RbdCZZ103c5U?authuser=0&amp;hl=zh-TW&amp;rclk=1" TargetMode="External"/><Relationship Id="rId294" Type="http://schemas.openxmlformats.org/officeDocument/2006/relationships/hyperlink" Target="https://www.google.com/maps/place/Pecel+%26+Rawon+Mbok+Denok+-+Tunjungan/data=!4m7!3m6!1s0x2dd7f900756d1017:0x65c6142821b4f4b9!8m2!3d-7.2596372!4d112.7392767!16s%2Fg%2F11w_lxhstj!19sChIJFxBtdQD51y0RufS0ISgUxmU?authuser=0&amp;hl=zh-TW&amp;rclk=1" TargetMode="External"/><Relationship Id="rId299" Type="http://schemas.openxmlformats.org/officeDocument/2006/relationships/hyperlink" Target="https://www.google.com/maps/place/PANGSIT+MIE+AYAM+JAKARTA+%22CAK+SUR%22/data=!4m7!3m6!1s0x2dd7fbd2b482fc57:0x9691cd0ca54fae57!8m2!3d-7.2749618!4d112.7626265!16s%2Fg%2F11c5h_nhch!19sChIJV_yCtNL71y0RV65PpQzNkZY?authuser=0&amp;hl=zh-TW&amp;rclk=1" TargetMode="External"/><Relationship Id="rId298" Type="http://schemas.openxmlformats.org/officeDocument/2006/relationships/hyperlink" Target="https://www.google.com/maps/place/Rumah+Makan+Rawon+Nguling/data=!4m7!3m6!1s0x2dd7fb9411f0620f:0x937f39a40ddde314!8m2!3d-7.291566!4d112.7339316!16s%2Fg%2F1jkz4lkp0!19sChIJD2LwEZT71y0RFOPdDaQ5f5M?authuser=0&amp;hl=zh-TW&amp;rclk=1" TargetMode="External"/><Relationship Id="rId271" Type="http://schemas.openxmlformats.org/officeDocument/2006/relationships/hyperlink" Target="https://www.google.com/maps/place/Spesial+Soto+Boyolali+%28SSb%29+Hj.+Hesti,+Cabang+Kenjeran,+Kota+Surabaya/data=!4m7!3m6!1s0x2dd7f90054223a31:0x768f113b5b6908c7!8m2!3d-7.2434796!4d112.7630824!16s%2Fg%2F11zbh0bsvk!19sChIJMToiVAD51y0RxwhpWzsRj3Y?authuser=0&amp;hl=zh-TW&amp;rclk=1" TargetMode="External"/><Relationship Id="rId270" Type="http://schemas.openxmlformats.org/officeDocument/2006/relationships/hyperlink" Target="https://www.google.com/maps/place/Nasi+Bebek+Pak+Janggut+-+PTC+Surabaya/data=!4m7!3m6!1s0x2dd7fd508c3afa09:0x2dc41e77d75b1b34!8m2!3d-7.2910512!4d112.6736914!16s%2Fg%2F11f612d5vv!19sChIJCfo6jFD91y0RNBtb13cexC0?authuser=0&amp;hl=zh-TW&amp;rclk=1" TargetMode="External"/><Relationship Id="rId269" Type="http://schemas.openxmlformats.org/officeDocument/2006/relationships/hyperlink" Target="https://www.google.com/maps/place/Warung+Nasi+Bebek+Tower+Umik+Sahar/data=!4m7!3m6!1s0x2dd7feb467d5d815:0x8c6902543b7af977!8m2!3d-7.2522686!4d112.7115343!16s%2Fg%2F11clsvsyt7!19sChIJFdjVZ7T-1y0Rd_l6O1QCaYw?authuser=0&amp;hl=zh-TW&amp;rclk=1" TargetMode="External"/><Relationship Id="rId264" Type="http://schemas.openxmlformats.org/officeDocument/2006/relationships/hyperlink" Target="https://www.google.com/maps/place/Kayanna+Restaurant/data=!4m7!3m6!1s0x2dd7fbe9e37e81b5:0xa250c4c9d19b4986!8m2!3d-7.2815035!4d112.739176!16s%2Fg%2F11gbf63r7d!19sChIJtYF-4-n71y0Rhkmb0cnEUKI?authuser=0&amp;hl=zh-TW&amp;rclk=1" TargetMode="External"/><Relationship Id="rId263" Type="http://schemas.openxmlformats.org/officeDocument/2006/relationships/hyperlink" Target="https://www.google.com/maps/place/Rumah+Makan+Nam+Cheong/data=!4m7!3m6!1s0x2dd7f940313b26cb:0x198efe56557b8262!8m2!3d-7.2490728!4d112.7382161!16s%2Fg%2F1hm5qjfmd!19sChIJyyY7MUD51y0RYoJ7VVb-jhk?authuser=0&amp;hl=zh-TW&amp;rclk=1" TargetMode="External"/><Relationship Id="rId262" Type="http://schemas.openxmlformats.org/officeDocument/2006/relationships/hyperlink" Target="https://www.google.com/maps/place/Bakso+Kepala+Sapi/data=!4m7!3m6!1s0x2dd7fa39b647f08f:0x862bc80b617de7a9!8m2!3d-7.28232!4d112.7763487!16s%2Fg%2F1hm2934lj!19sChIJj_BHtjn61y0Rqed9YQvIK4Y?authuser=0&amp;hl=zh-TW&amp;rclk=1" TargetMode="External"/><Relationship Id="rId261" Type="http://schemas.openxmlformats.org/officeDocument/2006/relationships/hyperlink" Target="https://www.google.com/maps/place/Ayam+Tulang+Lunak+Malioboro/data=!4m7!3m6!1s0x2dd7fb63d9713df7:0xa823ceb1d9d4b650!8m2!3d-7.3229757!4d112.7454674!16s%2Fg%2F11f6mphn9c!19sChIJ9z1x2WP71y0RULbU2bHOI6g?authuser=0&amp;hl=zh-TW&amp;rclk=1" TargetMode="External"/><Relationship Id="rId268" Type="http://schemas.openxmlformats.org/officeDocument/2006/relationships/hyperlink" Target="https://www.google.com/maps/place/Kapulogo+-+Soto+Ayam+Kampung/data=!4m7!3m6!1s0x2dd7fb7fd65d0e37:0x501646c40f587536!8m2!3d-7.295663!4d112.759744!16s%2Fg%2F11kqtjczrw!19sChIJNw5d1n_71y0RNnVYD8RGFlA?authuser=0&amp;hl=zh-TW&amp;rclk=1" TargetMode="External"/><Relationship Id="rId267" Type="http://schemas.openxmlformats.org/officeDocument/2006/relationships/hyperlink" Target="https://www.google.com/maps/place/Shisha+Boss+Cafe+Surabaya/data=!4m7!3m6!1s0x2dd7fb9369fada09:0x5f54f0073c2d47ca!8m2!3d-7.2790442!4d112.7373881!16s%2Fg%2F11ll_4bl0w!19sChIJCdr6aZP71y0RykctPAfwVF8?authuser=0&amp;hl=zh-TW&amp;rclk=1" TargetMode="External"/><Relationship Id="rId266" Type="http://schemas.openxmlformats.org/officeDocument/2006/relationships/hyperlink" Target="https://www.google.com/maps/place/Wisata+Batas+Kampung+Sejuk+Alami+Surabaya/data=!4m2!3m1!1s0x2dd7fdc1f4802829:0xb8822ebba714daac?sa=X&amp;ved=1t:155783&amp;ictx=111" TargetMode="External"/><Relationship Id="rId265" Type="http://schemas.openxmlformats.org/officeDocument/2006/relationships/hyperlink" Target="https://www.google.com/maps/place/Wisata+Air+Taman+Prestasi/data=!4m7!3m6!1s0x2dd7f96134b178a1:0x3ea035154009924a!8m2!3d-7.2618767!4d112.7432029!16s%2Fg%2F11f0kr9tz8!19sChIJoXixNGH51y0RSpIJQBU1oD4?authuser=0&amp;hl=zh-TW&amp;rclk=1" TargetMode="External"/><Relationship Id="rId260" Type="http://schemas.openxmlformats.org/officeDocument/2006/relationships/hyperlink" Target="https://www.google.com/maps/place/Surabaya+Kuliner/data=!4m7!3m6!1s0x2dd7fbc2a3dde06f:0x461de4242ae2f35c!8m2!3d-7.29851!4d112.7323421!16s%2Fg%2F11tcq1hc5c!19sChIJb-Ddo8L71y0RXPPiKiTkHUY?authuser=0&amp;hl=zh-TW&amp;rclk=1" TargetMode="External"/><Relationship Id="rId259" Type="http://schemas.openxmlformats.org/officeDocument/2006/relationships/hyperlink" Target="https://www.google.com/maps/place/Produsen+Mie+Basah+%26+Depot+Mie+Ayam+RATU+Cabang+Kendal+Sari/data=!4m7!3m6!1s0x2dd7fb72f66db0f3:0xea2cc8aefaaf688e!8m2!3d-7.315728!4d112.7841529!16s%2Fg%2F11q94kbqpn!19sChIJ87Bt9nL71y0Rjmiv-q7ILOo?authuser=0&amp;hl=zh-TW&amp;rclk=1" TargetMode="External"/><Relationship Id="rId258" Type="http://schemas.openxmlformats.org/officeDocument/2006/relationships/hyperlink" Target="https://www.google.com/maps/place/Pangsit+mie+ayam+Jakarta/data=!4m7!3m6!1s0x2dd7fd59dbdb9a1f:0x9ec2c41d51369a1c!8m2!3d-7.2874367!4d112.6554882!16s%2Fg%2F11n62n74n3!19sChIJH5rb21n91y0RHJo2UR3Ewp4?authuser=0&amp;hl=zh-TW&amp;rclk=1" TargetMode="External"/><Relationship Id="rId253" Type="http://schemas.openxmlformats.org/officeDocument/2006/relationships/hyperlink" Target="https://www.google.com/maps/place/Taman+Air+Mancur+Menari+Kenjeran/data=!4m7!3m6!1s0x2dd7f9c4fb73a6d3:0x3f849d545ee0ea29!8m2!3d-7.2356933!4d112.7955234!16s%2Fg%2F11cly1qhkp!19sChIJ06Zz-8T51y0RKergXlSdhD8?authuser=0&amp;hl=zh-TW&amp;rclk=1" TargetMode="External"/><Relationship Id="rId495" Type="http://schemas.openxmlformats.org/officeDocument/2006/relationships/hyperlink" Target="https://www.google.com/maps/place/Coffeetorium+Cafe+%26+Roastwork/data=!4m7!3m6!1s0x2dd7fb4d3d086167:0xd800f58b606fcb68!8m2!3d-7.3214809!4d112.7737687!16s%2Fg%2F11wg94yy_v!19sChIJZ2EIPU371y0RaMtvYIv1ANg?authuser=0&amp;hl=zh-TW&amp;rclk=1" TargetMode="External"/><Relationship Id="rId252" Type="http://schemas.openxmlformats.org/officeDocument/2006/relationships/hyperlink" Target="https://www.google.com/maps/place/Hasil+Bagus+Indonusantara/data=!4m7!3m6!1s0x2dd7f97341d886d3:0xadda959bab99eed8!8m2!3d-7.2473613!4d112.7556799!16s%2Fg%2F1pzq3l6wv!19sChIJ04bYQXP51y0R2O6Zq5uV2q0?authuser=0&amp;hl=zh-TW&amp;rclk=1" TargetMode="External"/><Relationship Id="rId494" Type="http://schemas.openxmlformats.org/officeDocument/2006/relationships/hyperlink" Target="https://www.google.com/maps/place/Depot+Soto+Banjar+Achmad+Jais/data=!4m7!3m6!1s0x2dd7f968f4382329:0x1fa090f0238b6351!8m2!3d-7.2554039!4d112.7423416!16s%2Fg%2F1hc8gf32r!19sChIJKSM49Gj51y0RUWOLI_CQoB8?authuser=0&amp;hl=zh-TW&amp;rclk=1" TargetMode="External"/><Relationship Id="rId251" Type="http://schemas.openxmlformats.org/officeDocument/2006/relationships/hyperlink" Target="https://www.google.com/maps/place/RAWON+KUNCORO/data=!4m7!3m6!1s0x2dd7fd5026206f4d:0x572cc29225791412!8m2!3d-7.3227366!4d112.7094309!16s%2Fg%2F11gh9qhkyn!19sChIJTW8gJlD91y0REhR5JZLCLFc?authuser=0&amp;hl=zh-TW&amp;rclk=1" TargetMode="External"/><Relationship Id="rId493" Type="http://schemas.openxmlformats.org/officeDocument/2006/relationships/hyperlink" Target="https://www.google.com/maps/place/Layar+Seafood+Manyar+Kertoarjo/data=!4m7!3m6!1s0x2dd7fbd2330b9919:0x9b82ea9e3b785a9a!8m2!3d-7.2794916!4d112.7665996!16s%2Fg%2F11rfcvqdl3!19sChIJGZkLM9L71y0Rmlp4O57qgps?authuser=0&amp;hl=zh-TW&amp;rclk=1" TargetMode="External"/><Relationship Id="rId250" Type="http://schemas.openxmlformats.org/officeDocument/2006/relationships/hyperlink" Target="https://www.google.com/maps/place/Nasi+Bebek+Goreng+Sayang+Anak+Cak+Yudi+%28Pusat%29/data=!4m7!3m6!1s0x2dd7f8dbcfe9f637:0x1e60d55fadcea033!8m2!3d-7.2216162!4d112.7309727!16s%2Fg%2F1hc0sg018!19sChIJN_bpz9v41y0RM6DOrV_VYB4?authuser=0&amp;hl=zh-TW&amp;rclk=1" TargetMode="External"/><Relationship Id="rId492" Type="http://schemas.openxmlformats.org/officeDocument/2006/relationships/hyperlink" Target="https://www.google.com/maps/place/WARUNG+SEAFOOD/data=!4m7!3m6!1s0x2dd7f9710889466d:0xa5c711a2cc8f434d!8m2!3d-7.2565761!4d112.7957716!16s%2Fg%2F11nfmg8fyh!19sChIJbUaJCHH51y0RTUOPzKIRx6U?authuser=0&amp;hl=zh-TW&amp;rclk=1" TargetMode="External"/><Relationship Id="rId257" Type="http://schemas.openxmlformats.org/officeDocument/2006/relationships/hyperlink" Target="https://www.google.com/maps/place/Soto+Ayam+Lamongan+Cak+Yadi/data=!4m7!3m6!1s0x2dd7fbcb45982b91:0xa8c5ac2ac127730!8m2!3d-7.2818578!4d112.7620586!16s%2Fg%2F11b6jc5g93!19sChIJkSuYRcv71y0RMHcSrMJajAo?authuser=0&amp;hl=zh-TW&amp;rclk=1" TargetMode="External"/><Relationship Id="rId499" Type="http://schemas.openxmlformats.org/officeDocument/2006/relationships/hyperlink" Target="https://www.google.com/maps/place/ETC+%28Entertainment+Town+Center%29/data=!4m7!3m6!1s0x2dd7fc868ee38c89:0xbcb1affdceae7e38!8m2!3d-7.3129219!4d112.7067429!16s%2Fg%2F11fd72c34_!19sChIJiYzjjob81y0ROH6uzv2vsbw?authuser=0&amp;hl=zh-TW&amp;rclk=1" TargetMode="External"/><Relationship Id="rId256" Type="http://schemas.openxmlformats.org/officeDocument/2006/relationships/hyperlink" Target="https://www.google.com/maps/place/BAKSO+CAK+TOHA+Cab.+Malang/data=!4m7!3m6!1s0x2dd7fb19e4c585fb:0xf462cf1dc5cf0c7c!8m2!3d-7.3127971!4d112.7561228!16s%2Fg%2F11t5wtkw_r!19sChIJ-4XF5Bn71y0RfAzPxR3PYvQ?authuser=0&amp;hl=zh-TW&amp;rclk=1" TargetMode="External"/><Relationship Id="rId498" Type="http://schemas.openxmlformats.org/officeDocument/2006/relationships/hyperlink" Target="https://www.google.com/maps/place/Taman+Surya/@-7.2600797,112.7468615,17z/data=!3m1!4b1!4m6!3m5!1s0x2dd7f92df3b563db:0x1b4e0c7350f21299!8m2!3d-7.2600797!4d112.7468615!16s%2Fg%2F11fgj63frd?entry=ttu&amp;g_ep=EgoyMDI2MDYyOS4wIKXMDSoASAFQAw%3D%3D" TargetMode="External"/><Relationship Id="rId255" Type="http://schemas.openxmlformats.org/officeDocument/2006/relationships/hyperlink" Target="https://www.google.com/maps/place/Rawon+Nguling+-+SUB+Rajawali/data=!4m7!3m6!1s0x2dd7f925db755d45:0x4670aa398685b302!8m2!3d-7.2325843!4d112.7291453!16s%2Fg%2F1hfbnyzqh!19sChIJRV112yX51y0RArOFhjmqcEY?authuser=0&amp;hl=zh-TW&amp;rclk=1" TargetMode="External"/><Relationship Id="rId497" Type="http://schemas.openxmlformats.org/officeDocument/2006/relationships/hyperlink" Target="https://www.google.com/maps/place/Soto+Banjar+Alalak+Surabaya/data=!4m7!3m6!1s0x2dd7fb42a3ea3db7:0x6c6c8ab31e57fb3c!8m2!3d-7.2775233!4d112.7527633!16s%2Fg%2F11h9h8vnhf!19sChIJtz3qo0L71y0RPPtXHrOKbGw?authuser=0&amp;hl=zh-TW&amp;rclk=1" TargetMode="External"/><Relationship Id="rId254" Type="http://schemas.openxmlformats.org/officeDocument/2006/relationships/hyperlink" Target="https://www.google.com/maps/place/Arca+Joko+Dolog/data=!4m2!3m1!1s0x2dd7f961a57a4b0d:0x7c5d77f90348e9b4?sa=X&amp;ved=1t:155783&amp;ictx=111" TargetMode="External"/><Relationship Id="rId496" Type="http://schemas.openxmlformats.org/officeDocument/2006/relationships/hyperlink" Target="https://www.google.com/maps/place/Food+Court+Pasar+Atom/data=!4m7!3m6!1s0x2dd7f916b9f87cdb:0x1c4a50704b54d551!8m2!3d-7.240779!4d112.7442568!16s%2Fg%2F11g8y12vw6!19sChIJ23z4uRb51y0RUdVUS3BQShw?authuser=0&amp;hl=zh-TW&amp;rclk=1" TargetMode="External"/><Relationship Id="rId293" Type="http://schemas.openxmlformats.org/officeDocument/2006/relationships/hyperlink" Target="https://www.google.com/maps/place/Djaman+Doeloe+Resto+%26+Bar/data=!4m7!3m6!1s0x2dd7fd4d7e7f695d:0x95a7ad65a78a1d15!8m2!3d-7.2886365!4d112.6763465!16s%2Fg%2F11fs03x7yx!19sChIJXWl_fk391y0RFR2Kp2Wtp5U?authuser=0&amp;hl=zh-TW&amp;rclk=1" TargetMode="External"/><Relationship Id="rId292" Type="http://schemas.openxmlformats.org/officeDocument/2006/relationships/hyperlink" Target="https://www.google.com/maps/place/Tous+Les+Jours+Cafe+-+Kartini+Surabaya/data=!4m7!3m6!1s0x2dd7fb00144393f5:0xad1e2318244c1495!8m2!3d-7.278275!4d112.7314453!16s%2Fg%2F11yrv05bs6!19sChIJ9ZNDFAD71y0RlRRMJBgjHq0?authuser=0&amp;hl=zh-TW&amp;rclk=1" TargetMode="External"/><Relationship Id="rId291" Type="http://schemas.openxmlformats.org/officeDocument/2006/relationships/hyperlink" Target="https://www.google.com/maps/place/Penyetan+Artomoro+Surabaya/data=!4m7!3m6!1s0x2dd7fb22808b07ff:0xc01e95964c9b46e9!8m2!3d-7.2682919!4d112.7711725!16s%2Fg%2F11xmjrx50g!19sChIJ_weLgCL71y0R6UabTJaVHsA?authuser=0&amp;hl=zh-TW&amp;rclk=1" TargetMode="External"/><Relationship Id="rId290" Type="http://schemas.openxmlformats.org/officeDocument/2006/relationships/hyperlink" Target="https://www.google.com/maps/place/Taman+Buah+Undaan/data=!4m7!3m6!1s0x2dd7f968ebee6195:0xfcccf4b68a659912!8m2!3d-7.255299!4d112.7432214!16s%2Fg%2F11g69hqw9z!19sChIJlWHu62j51y0REpllirb0zPw?authuser=0&amp;hl=zh-TW&amp;rclk=1" TargetMode="External"/><Relationship Id="rId286" Type="http://schemas.openxmlformats.org/officeDocument/2006/relationships/hyperlink" Target="https://www.google.com/maps/place/Bakso+Solo+Goyang+Lidah/data=!4m7!3m6!1s0x2dd7fa50ae1c19e3:0xe857f02e4a2418fe!8m2!3d-7.3000866!4d112.7740735!16s%2Fg%2F11cn0mfl_t!19sChIJ4xkcrlD61y0R_hgkSi7wV-g?authuser=0&amp;hl=zh-TW&amp;rclk=1" TargetMode="External"/><Relationship Id="rId285" Type="http://schemas.openxmlformats.org/officeDocument/2006/relationships/hyperlink" Target="https://www.google.com/maps/place/Sentra+Wisata+Kuliner+Bratang+Binangun/data=!4m7!3m6!1s0x2dd7fbad7223083d:0xad919c035d6d60df!8m2!3d-7.297318!4d112.760383!16s%2Fg%2F11cmxv7xqz!19sChIJPQgjcq371y0R32BtXQOcka0?authuser=0&amp;hl=zh-TW&amp;rclk=1" TargetMode="External"/><Relationship Id="rId284" Type="http://schemas.openxmlformats.org/officeDocument/2006/relationships/hyperlink" Target="https://www.google.com/maps/place/Bebek+Goreng+Mesra+Surabaya/data=!4m7!3m6!1s0x2dd7f112486f216d:0x19cef406c87619a!8m2!3d-7.2881729!4d112.8147329!16s%2Fg%2F11j11dnr6b!19sChIJbSFvSBLx1y0RmmGHbEDvnAE?authuser=0&amp;hl=zh-TW&amp;rclk=1" TargetMode="External"/><Relationship Id="rId283" Type="http://schemas.openxmlformats.org/officeDocument/2006/relationships/hyperlink" Target="https://www.google.com/maps/place/Bakso+Cak+Salam/data=!4m7!3m6!1s0x2dd7f986001053b3:0x3f8133bdf226f257!8m2!3d-7.2602468!4d112.7747509!16s%2Fg%2F11b6dcwxnl!19sChIJs1MQAIb51y0RV_Im8r0zgT8?authuser=0&amp;hl=zh-TW&amp;rclk=1" TargetMode="External"/><Relationship Id="rId289" Type="http://schemas.openxmlformats.org/officeDocument/2006/relationships/hyperlink" Target="https://www.google.com/maps/place/Bakso+Super+Pak+De/data=!4m7!3m6!1s0x2dd7fc49fd0602dd:0x79ebda6ffa967750!8m2!3d-7.2907828!4d112.6740784!16s%2Fg%2F11cn691136!19sChIJ3QIG_Un81y0RUHeW-m_a63k?authuser=0&amp;hl=zh-TW&amp;rclk=1" TargetMode="External"/><Relationship Id="rId288" Type="http://schemas.openxmlformats.org/officeDocument/2006/relationships/hyperlink" Target="https://www.google.com/maps/place/RAWON+GREGET/data=!4m7!3m6!1s0x2dd7f94ed14413b7:0x8e109580ff30928!8m2!3d-7.2404722!4d112.7487752!16s%2Fg%2F11h_bxhykm!19sChIJtxNE0U751y0RKAnzD1gJ4Qg?authuser=0&amp;hl=zh-TW&amp;rclk=1" TargetMode="External"/><Relationship Id="rId287" Type="http://schemas.openxmlformats.org/officeDocument/2006/relationships/hyperlink" Target="https://www.google.com/maps/place/Brain+Coffee+Surabaya/data=!4m2!3m1!1s0x2dd7fbe4a7ffdb87:0x8a817c8c06e14e25?sa=X&amp;ved=1t:242&amp;ictx=111" TargetMode="External"/><Relationship Id="rId282" Type="http://schemas.openxmlformats.org/officeDocument/2006/relationships/hyperlink" Target="https://www.google.com/maps/place/Sate+%22Sinar+Jaya%22/data=!4m7!3m6!1s0x2dd7fbd3954927b1:0xaab77c6433185934!8m2!3d-7.2694312!4d112.7561374!16s%2Fg%2F11cjh_xfww!19sChIJsSdJldP71y0RNFkYM2R8t6o?authuser=0&amp;hl=zh-TW&amp;rclk=1" TargetMode="External"/><Relationship Id="rId281" Type="http://schemas.openxmlformats.org/officeDocument/2006/relationships/hyperlink" Target="https://www.google.com/maps/place/Tempe+Penyet+DORES/data=!4m7!3m6!1s0x2dd7f9af2a7deb7b:0xff9e9e6e7a7063b5!8m2!3d-7.2328677!4d112.7690297!16s%2Fg%2F11g7z688qz!19sChIJe-t9Kq_51y0RtWNwem6env8?authuser=0&amp;hl=zh-TW&amp;rclk=1" TargetMode="External"/><Relationship Id="rId280" Type="http://schemas.openxmlformats.org/officeDocument/2006/relationships/hyperlink" Target="https://www.google.com/maps/place/Soto+Ayam+Kampung+Cak+Mu%27in/data=!4m7!3m6!1s0x2dd7fa4603e92ec9:0x5547093a92cc30c6!8m2!3d-7.290009!4d112.775101!16s%2Fg%2F11b6szyczd!19sChIJyS7pA0b61y0RxjDMkjoJR1U?authuser=0&amp;hl=zh-TW&amp;rclk=1" TargetMode="External"/><Relationship Id="rId275" Type="http://schemas.openxmlformats.org/officeDocument/2006/relationships/hyperlink" Target="https://www.google.com/maps/place/Warung+Nasi+Campur+Kanwa/data=!4m7!3m6!1s0x2dd7fbec44b5bd9b:0xd9078293ee7537f8!8m2!3d-7.284419!4d112.731153!16s%2Fg%2F1hm3yljx0!19sChIJm721ROz71y0R-Dd17pOCB9k?authuser=0&amp;hl=zh-TW&amp;rclk=1" TargetMode="External"/><Relationship Id="rId274" Type="http://schemas.openxmlformats.org/officeDocument/2006/relationships/hyperlink" Target="https://www.google.com/maps/place/Bakso+Pak+Djes/data=!4m7!3m6!1s0x2dd7fc1ee24f627b:0x1489110b1a4d2f12!8m2!3d-7.2728828!4d112.6944726!16s%2Fg%2F11dfj11p4d!19sChIJe2JP4h781y0REi9NGgsRiRQ?authuser=0&amp;hl=zh-TW&amp;rclk=1" TargetMode="External"/><Relationship Id="rId273" Type="http://schemas.openxmlformats.org/officeDocument/2006/relationships/hyperlink" Target="https://www.google.com/maps/place/Museum+Dr.+Soetomo/data=!4m7!3m6!1s0x2dd7f9410727e011:0x544b9a3d7ee4bfc9!8m2!3d-7.2507478!4d112.7354098!16s%2Fg%2F1hc94p_jk!19sChIJEeAnB0H51y0Ryb_kfj2aS1Q?authuser=0&amp;hl=zh-TW&amp;rclk=1" TargetMode="External"/><Relationship Id="rId272" Type="http://schemas.openxmlformats.org/officeDocument/2006/relationships/hyperlink" Target="https://www.google.com/maps/place/%E6%B3%97%E6%B0%B4%E5%8B%95%E7%89%A9%E5%9C%92/data=!4m7!3m6!1s0x2dd7fb97917c2fad:0x21b1122d5fe174cc!8m2!3d-7.2961959!4d112.7366553!16s%2Fm%2F0j51vc7!19sChIJrS98kZf71y0RzHThXy0SsSE?authuser=0&amp;hl=zh-TW&amp;rclk=1" TargetMode="External"/><Relationship Id="rId279" Type="http://schemas.openxmlformats.org/officeDocument/2006/relationships/hyperlink" Target="https://www.google.com/maps/place/Sing+Kei+Yat/data=!4m7!3m6!1s0x2dd7fd6577b5a83d:0x822d3143bfbfb7c9!8m2!3d-7.2914282!4d112.6549355!16s%2Fg%2F11s0wgmdvs!19sChIJPai1d2X91y0Rybe_v0MxLYI?authuser=0&amp;hl=zh-TW&amp;rclk=1" TargetMode="External"/><Relationship Id="rId278" Type="http://schemas.openxmlformats.org/officeDocument/2006/relationships/hyperlink" Target="https://www.google.com/maps/place/Rawon+Bu+Hadi/data=!4m7!3m6!1s0x2dd7fbf09ce60e7d:0xefe7ab8dd44375bd!8m2!3d-7.2737326!4d112.7843644!16s%2Fg%2F1hm5xs09m!19sChIJfQ7mnPD71y0RvXVD1I2r5-8?authuser=0&amp;hl=zh-TW&amp;rclk=1" TargetMode="External"/><Relationship Id="rId277" Type="http://schemas.openxmlformats.org/officeDocument/2006/relationships/hyperlink" Target="https://www.google.com/maps/place/Brew+and+Else+Coffee/data=!4m2!3m1!1s0x2dd7fdabd5e5f719:0x9cd496f4fdbff681?sa=X&amp;ved=1t:242&amp;ictx=111" TargetMode="External"/><Relationship Id="rId276" Type="http://schemas.openxmlformats.org/officeDocument/2006/relationships/hyperlink" Target="https://www.google.com/maps/place/Kalimas+Boat+Tour/data=!4m7!3m6!1s0x2dd7f9b444e7c3e7:0x3edf6db2144b5416!8m2!3d-7.2622758!4d112.743619!16s%2Fg%2F11tp6c2d8w!19sChIJ58PnRLT51y0RFlRLFLJt3z4?authuser=0&amp;hl=zh-TW&amp;rclk=1" TargetMode="External"/><Relationship Id="rId629" Type="http://schemas.openxmlformats.org/officeDocument/2006/relationships/hyperlink" Target="https://www.google.com/maps/place/Sentra+Kuliner+RMI/data=!4m7!3m6!1s0x2dd7fbb0dca5f7c1:0xed69f649c1f79788!8m2!3d-7.295064!4d112.7612661!16s%2Fg%2F11bwfl4z6n!19sChIJwfel3LD71y0RiJf3wUn2ae0?authuser=0&amp;hl=zh-TW&amp;rclk=1" TargetMode="External"/><Relationship Id="rId624" Type="http://schemas.openxmlformats.org/officeDocument/2006/relationships/hyperlink" Target="https://www.google.com/maps/place/Soto+Ayam+Lamongan+Bu+Chamim/data=!4m7!3m6!1s0x2dd7fbf58bb81353:0x261d30e9975fc94d!8m2!3d-7.2848715!4d112.7154187!16s%2Fg%2F11bz_24xkz!19sChIJUxO4i_X71y0RTclfl-kwHSY?authuser=0&amp;hl=zh-TW&amp;rclk=1" TargetMode="External"/><Relationship Id="rId623" Type="http://schemas.openxmlformats.org/officeDocument/2006/relationships/hyperlink" Target="https://www.google.com/maps/place/Penyetan+Cak+Mas/data=!4m7!3m6!1s0x2dd7fd1f64130947:0xe28f66938ca48d0a!8m2!3d-7.2907207!4d112.7094514!16s%2Fg%2F11t341vsby!19sChIJRwkTZB_91y0RCo2kjJNmj-I?authuser=0&amp;hl=zh-TW&amp;rclk=1" TargetMode="External"/><Relationship Id="rId622" Type="http://schemas.openxmlformats.org/officeDocument/2006/relationships/hyperlink" Target="https://www.google.com/maps/place/Cak+So+Soto+Ayam+Lamongan/data=!4m7!3m6!1s0x2dd7fc0b2c95c8b5:0x363d40842c8881f!8m2!3d-7.2885189!4d112.7118234!16s%2Fg%2F11ggr6wd17!19sChIJtciVLAv81y0RH4jIQgjUYwM?authuser=0&amp;hl=zh-TW&amp;rclk=1" TargetMode="External"/><Relationship Id="rId621" Type="http://schemas.openxmlformats.org/officeDocument/2006/relationships/hyperlink" Target="https://www.google.com/maps/place/Seafood+Choy+777+Surabaya/data=!4m7!3m6!1s0x2dd7fb001ed5edc9:0xb75f3c096b4d8d55!8m2!3d-7.2984099!4d112.759588!16s%2Fg%2F11zksnfjk_!19sChIJye3VHgD71y0RVY1Nawk8X7c?authuser=0&amp;hl=zh-TW&amp;rclk=1" TargetMode="External"/><Relationship Id="rId628" Type="http://schemas.openxmlformats.org/officeDocument/2006/relationships/hyperlink" Target="https://www.google.com/maps/place/Wisata+Kuliner+PELANGI+NUSANTARA/data=!4m7!3m6!1s0x2dd7fbb9e139cc13:0x6281114b11f86c56!8m2!3d-7.2709262!4d112.7352418!16s%2Fg%2F11rqs71_31!19sChIJE8w54bn71y0RVmz4EUsRgWI?authuser=0&amp;hl=zh-TW&amp;rclk=1" TargetMode="External"/><Relationship Id="rId627" Type="http://schemas.openxmlformats.org/officeDocument/2006/relationships/hyperlink" Target="https://www.google.com/maps/place/Mangrove+Wonorejo+Ecotourism/data=!4m7!3m6!1s0x2dd7f064d69009bd:0xb47f9fdd085dae10!8m2!3d-7.3073636!4d112.8232904!16s%2Fg%2F11g9w5qv7m!19sChIJvQmQ1mTw1y0REK5dCN2ff7Q?authuser=0&amp;hl=zh-TW&amp;rclk=1" TargetMode="External"/><Relationship Id="rId626" Type="http://schemas.openxmlformats.org/officeDocument/2006/relationships/hyperlink" Target="https://www.google.com/maps/place/Bakso+Super+Daging+Asli+Pak+Jhon/data=!4m7!3m6!1s0x2dd7fbca899be2b9:0x7957f4fd46be9507!8m2!3d-7.2980104!4d112.7287321!16s%2Fg%2F11rsh0pfws!19sChIJueKbicr71y0RB5W-Rv30V3k?authuser=0&amp;hl=zh-TW&amp;rclk=1" TargetMode="External"/><Relationship Id="rId625" Type="http://schemas.openxmlformats.org/officeDocument/2006/relationships/hyperlink" Target="https://www.google.com/maps/place/Bakso+Urat+Kikil+Pak+Kumis+Solo/data=!4m7!3m6!1s0x2dd7fbe64a6a1ab5:0x3dc52c6693f69dba!8m2!3d-7.2764012!4d112.7358155!16s%2Fg%2F1hm3kvklz!19sChIJtRpqSub71y0Rup32k2YsxT0?authuser=0&amp;hl=zh-TW&amp;rclk=1" TargetMode="External"/><Relationship Id="rId620" Type="http://schemas.openxmlformats.org/officeDocument/2006/relationships/hyperlink" Target="https://www.google.com/maps/place/Ikan+Bakar+Jimbaran+-+MERR/data=!4m7!3m6!1s0x2dd7fb90720c959b:0xd92194c36f0a6f16!8m2!3d-7.2962376!4d112.7821927!16s%2Fg%2F11q4089g96!19sChIJm5UMcpD71y0RFm8Kb8OUIdk?authuser=0&amp;hl=zh-TW&amp;rclk=1" TargetMode="External"/><Relationship Id="rId619" Type="http://schemas.openxmlformats.org/officeDocument/2006/relationships/hyperlink" Target="https://www.google.com/maps/place/Penyetan+Joss+Kendangsari/data=!4m7!3m6!1s0x2dd7fb303bb0376b:0xdab4975afa998b83!8m2!3d-7.323501!4d112.7450202!16s%2Fg%2F11r___9vw_!19sChIJazewOzD71y0Rg4uZ-lqXtNo?authuser=0&amp;hl=zh-TW&amp;rclk=1" TargetMode="External"/><Relationship Id="rId618" Type="http://schemas.openxmlformats.org/officeDocument/2006/relationships/hyperlink" Target="https://www.google.com/maps/place/Chamas+Brazilian+Churrascaria+Surabaya/data=!4m7!3m6!1s0x2dd7fdf25edf26bd:0xdaa21bae25492556!8m2!3d-7.286151!4d112.6993219!16s%2Fg%2F11gv0qclvv!19sChIJvSbfXvL91y0RViVJJa4boto?authuser=0&amp;hl=zh-TW&amp;rclk=1" TargetMode="External"/><Relationship Id="rId613" Type="http://schemas.openxmlformats.org/officeDocument/2006/relationships/hyperlink" Target="https://www.google.com/maps/place/Taman+Kalisari/data=!4m7!3m6!1s0x2dd7fa0299a5ebdf:0x376acdb218a8a968!8m2!3d-7.2643734!4d112.8003615!16s%2Fg%2F11gbldlfkz!19sChIJ3-ulmQL61y0RaKmoGLLNajc?authuser=0&amp;hl=zh-TW&amp;rclk=1" TargetMode="External"/><Relationship Id="rId612" Type="http://schemas.openxmlformats.org/officeDocument/2006/relationships/hyperlink" Target="https://www.google.com/maps/place/Bebek+Goreng+H.+Slamet+%28Asli%29+kayoon/data=!4m7!3m6!1s0x2dd7fbd91644fd1f:0xf74d4b9ff6a62c51!8m2!3d-7.2711255!4d112.7458387!16s%2Fg%2F11bxc7tjtz!19sChIJH_1EFtn71y0RUSym9p9LTfc?authuser=0&amp;hl=zh-TW&amp;rclk=1" TargetMode="External"/><Relationship Id="rId611" Type="http://schemas.openxmlformats.org/officeDocument/2006/relationships/hyperlink" Target="https://www.google.com/maps/place/Pondok+Kuliner+surabaya/data=!4m7!3m6!1s0x2dd7f9e101a55fcd:0x815783317902a354!8m2!3d-7.2554767!4d112.7172477!16s%2Fg%2F11fmc4bvnm!19sChIJzV-lAeH51y0RVKMCeTGDV4E?authuser=0&amp;hl=zh-TW&amp;rclk=1" TargetMode="External"/><Relationship Id="rId610" Type="http://schemas.openxmlformats.org/officeDocument/2006/relationships/hyperlink" Target="https://www.google.com/maps/place/Sentra+Wisata+Kuliner+Dharmahusada/data=!4m7!3m6!1s0x2dd7fa289d633cf7:0x2415d06a920e042b!8m2!3d-7.2683301!4d112.7741892!16s%2Fg%2F11c1_v2fqh!19sChIJ9zxjnSj61y0RKwQOkmrQFSQ?authuser=0&amp;hl=zh-TW&amp;rclk=1" TargetMode="External"/><Relationship Id="rId617" Type="http://schemas.openxmlformats.org/officeDocument/2006/relationships/hyperlink" Target="https://www.google.com/maps/place/Moengkopi+JiwARTspace/@-7.325115,112.7946265,17z/data=!3m1!4b1!4m6!3m5!1s0x2dd7faa4b7138427:0x5d3f0c82d93414dc!8m2!3d-7.325115!4d112.7946265!16s%2Fg%2F11fy4kkx22?entry=ttu&amp;g_ep=EgoyMDI2MDYyOS4wIKXMDSoASAFQAw%3D%3D" TargetMode="External"/><Relationship Id="rId616" Type="http://schemas.openxmlformats.org/officeDocument/2006/relationships/hyperlink" Target="https://www.google.com/maps/place/Kepiting+Sby/data=!4m7!3m6!1s0x2dd7ffe7f9362387:0x1653c01f7d1993aa!8m2!3d-7.2673684!4d112.680199!16s%2Fg%2F11h371zt7q!19sChIJhyM2-ef_1y0RqpMZfR_AUxY?authuser=0&amp;hl=zh-TW&amp;rclk=1" TargetMode="External"/><Relationship Id="rId615" Type="http://schemas.openxmlformats.org/officeDocument/2006/relationships/hyperlink" Target="https://www.google.com/maps/place/Kopi+Rehat/data=!4m7!3m6!1s0x2dd7fb11fbc671d9:0x1ff925f2b0e31b16!8m2!3d-7.3379189!4d112.7140611!16s%2Fg%2F11g4hqn0rz!19sChIJ2XHG-xH71y0RFhvjsPIl-R8?authuser=0&amp;hl=zh-TW&amp;rclk=1" TargetMode="External"/><Relationship Id="rId614" Type="http://schemas.openxmlformats.org/officeDocument/2006/relationships/hyperlink" Target="https://www.google.com/maps/place/Taman+Grand+Harvest+-+Harvestory+Park/data=!4m7!3m6!1s0x2dd7fd9449f741c7:0x76a8e1c7a7219f1!8m2!3d-7.3311981!4d112.6945173!16s%2Fg%2F11k9mzjnyg!19sChIJx0H3SZT91y0R8RlyehyOagc?authuser=0&amp;hl=zh-TW&amp;rclk=1" TargetMode="External"/><Relationship Id="rId409" Type="http://schemas.openxmlformats.org/officeDocument/2006/relationships/hyperlink" Target="https://www.google.com/maps/place/SuperSate+%28%E8%B6%85%E7%B4%9A%E6%B2%99%E7%88%B9%EF%BC%89/data=!4m7!3m6!1s0x3442a9af256b6099:0x86963c9a7dd19a68!8m2!3d25.0650803!4d121.5016177!16s%2Fg%2F11rhpqdwxs!19sChIJmWBrJa-pQjQRaJrRfZo8loY?authuser=0&amp;hl=zh-TW&amp;rclk=1" TargetMode="External"/><Relationship Id="rId404" Type="http://schemas.openxmlformats.org/officeDocument/2006/relationships/hyperlink" Target="https://www.google.com/maps/place/Bakso+Solo+Cak+Lar/data=!4m7!3m6!1s0x2dd7fb2fc37c2347:0xceff8fd909aadfcf!8m2!3d-7.2736371!4d112.7247313!16s%2Fg%2F11qndmv56b!19sChIJRyN8wy_71y0Rz9-qCdmP_84?authuser=0&amp;hl=zh-TW&amp;rclk=1" TargetMode="External"/><Relationship Id="rId646" Type="http://schemas.openxmlformats.org/officeDocument/2006/relationships/hyperlink" Target="https://www.google.com/maps/place/Warung+Mbak+Nar/data=!4m7!3m6!1s0x2dd7fabece71bdbd:0xf3fe9711f20c151e!8m2!3d-7.3294662!4d112.7906868!16s%2Fg%2F11bxc7kbr1!19sChIJvb1xzr761y0RHhUM8hGX_vM?authuser=0&amp;hl=zh-TW&amp;rclk=1" TargetMode="External"/><Relationship Id="rId403" Type="http://schemas.openxmlformats.org/officeDocument/2006/relationships/hyperlink" Target="https://www.google.com/maps/place/Wisata+Perahu+Kalimas+Rute+Monkasel+-+Siola/data=!4m7!3m6!1s0x2dd7fb7d5d9c785d:0x3f9326572701e5e6!8m2!3d-7.2623406!4d112.7457631!16s%2Fg%2F11fqqbfjhx!19sChIJXXicXX371y0R5uUBJ1cmkz8?authuser=0&amp;hl=zh-TW&amp;rclk=1" TargetMode="External"/><Relationship Id="rId645" Type="http://schemas.openxmlformats.org/officeDocument/2006/relationships/hyperlink" Target="https://www.google.com/maps/place/The+Oak+Tree+Surabaya/data=!4m7!3m6!1s0x2dd7fd6a7d2bb3e3:0xd35448dd1d7417b!8m2!3d-7.2808387!4d112.6968022!16s%2Fg%2F11h70s73n0!19sChIJ47MrfWr91y0Re0HX0Y1ENQ0?authuser=0&amp;hl=zh-TW&amp;rclk=1" TargetMode="External"/><Relationship Id="rId402" Type="http://schemas.openxmlformats.org/officeDocument/2006/relationships/hyperlink" Target="https://www.google.com/maps/place/Idaman+Chinese+and+Indonesian+Restaurant/data=!4m7!3m6!1s0x2dd7fa3398cd8fb1:0xec22972ed782e4e5!8m2!3d-7.2790823!4d112.765846!16s%2Fg%2F1hc2rbz3w!19sChIJsY_NmDP61y0R5eSC1y6XIuw?authuser=0&amp;hl=zh-TW&amp;rclk=1" TargetMode="External"/><Relationship Id="rId644" Type="http://schemas.openxmlformats.org/officeDocument/2006/relationships/hyperlink" Target="https://www.google.com/maps/place/Mie+Ayam+Nusantara/data=!4m7!3m6!1s0x2dd7fbf750f760f9:0xe811991f6d43e4f9!8m2!3d-7.278608!4d112.72055!16s%2Fg%2F11ggr7d6jd!19sChIJ-WD3UPf71y0R-eRDbR-ZEeg?authuser=0&amp;hl=zh-TW&amp;rclk=1" TargetMode="External"/><Relationship Id="rId401" Type="http://schemas.openxmlformats.org/officeDocument/2006/relationships/hyperlink" Target="https://www.google.com/maps/place/Sate+Solo+Pak+Dono/data=!4m7!3m6!1s0x2dd7f979848654d1:0x584fc63e2d97db1b!8m2!3d-7.2582853!4d112.7576459!16s%2Fg%2F11b6b3ms90!19sChIJ0VSGhHn51y0RG9uXLT7GT1g?authuser=0&amp;hl=zh-TW&amp;rclk=1" TargetMode="External"/><Relationship Id="rId643" Type="http://schemas.openxmlformats.org/officeDocument/2006/relationships/hyperlink" Target="https://www.google.com/maps/place/Museum+Teknoform+-+Universitas+DINAMIKA/@-7.311438,112.7822063,17z/data=!3m1!4b1!4m6!3m5!1s0x2dd7faf3b896b79f:0xe1549ebf8ec62096!8m2!3d-7.311438!4d112.7822063!16s%2Fg%2F11gf0z7l24?entry=ttu&amp;g_ep=EgoyMDI2MDYyOS4wIKXMDSoASAFQAw%3D%3D" TargetMode="External"/><Relationship Id="rId408" Type="http://schemas.openxmlformats.org/officeDocument/2006/relationships/hyperlink" Target="https://www.google.com/maps/place/Taman+Teratai/data=!4m2!3m1!1s0x0:0x12e494e676c51fbe?sa=X&amp;ved=1t:2428&amp;ictx=111" TargetMode="External"/><Relationship Id="rId407" Type="http://schemas.openxmlformats.org/officeDocument/2006/relationships/hyperlink" Target="https://www.google.com/maps/place/Sate+Kambing+Cak+Lam/data=!4m7!3m6!1s0x2dd7e532b25e956d:0x810850545206840!8m2!3d-7.3459696!4d112.7756144!16s%2Fg%2F11b7f2pn8_!19sChIJbZVesjLl1y0RQGggRQWFEAg?authuser=0&amp;hl=zh-TW&amp;rclk=1" TargetMode="External"/><Relationship Id="rId649" Type="http://schemas.openxmlformats.org/officeDocument/2006/relationships/hyperlink" Target="https://www.google.com/maps/place/Bakso+Urat+Lumintu+Om+Sugeng/data=!4m7!3m6!1s0x2dd7fb914df40035:0x370062e8321f9429!8m2!3d-7.2931879!4d112.7328471!16s%2Fg%2F11g029_lbc!19sChIJNQD0TZH71y0RKZQfMuhiADc?authuser=0&amp;hl=zh-TW&amp;rclk=1" TargetMode="External"/><Relationship Id="rId406" Type="http://schemas.openxmlformats.org/officeDocument/2006/relationships/hyperlink" Target="https://www.google.com/maps/place/Haewoo+One+Stop+Korean+Food+-+Dharmahusada+Indah+1/data=!4m7!3m6!1s0x2dd7fbe265170721:0xf93887d070261e8e!8m2!3d-7.2725651!4d112.773655!16s%2Fg%2F11p61px1gw!19sChIJIQcXZeL71y0Rjh4mcNCHOPk?authuser=0&amp;hl=zh-TW&amp;rclk=1" TargetMode="External"/><Relationship Id="rId648" Type="http://schemas.openxmlformats.org/officeDocument/2006/relationships/hyperlink" Target="https://www.google.com/maps/place/Kikil+Sapi+Bronggalan/data=!4m7!3m6!1s0x2dd7f982c1f695c3:0xb2f3a96d31761210!8m2!3d-7.2570304!4d112.7647202!16s%2Fg%2F11c606wj2l!19sChIJw5X2wYL51y0REBJ2MW2p87I?authuser=0&amp;hl=zh-TW&amp;rclk=1" TargetMode="External"/><Relationship Id="rId405" Type="http://schemas.openxmlformats.org/officeDocument/2006/relationships/hyperlink" Target="https://www.google.com/maps/place/Zybrick+Coffee+%26+Cantina/data=!4m7!3m6!1s0x2dd7fb48ef8437a5:0xbada1c81486b5bfc!8m2!3d-7.3397275!4d112.7351597!16s%2Fg%2F11c48sdmb0!19sChIJpTeE70j71y0R_FtrSIEc2ro?authuser=0&amp;hl=zh-TW&amp;rclk=1" TargetMode="External"/><Relationship Id="rId647" Type="http://schemas.openxmlformats.org/officeDocument/2006/relationships/hyperlink" Target="https://www.google.com/maps/place/Bebek+Sinjay+-+Ahmad+Yani/@-7.3280587,112.732034,17z/data=!3m1!4b1!4m6!3m5!1s0x2dd7fb420b99e4ab:0x637dfa5d00c79d21!8m2!3d-7.3280587!4d112.732034!16s%2Fg%2F11b6lgw2js?entry=ttu&amp;g_ep=EgoyMDI2MDYyOS4wIKXMDSoASAFQAw%3D%3D" TargetMode="External"/><Relationship Id="rId400" Type="http://schemas.openxmlformats.org/officeDocument/2006/relationships/hyperlink" Target="https://www.google.com/maps/place/Soto+Ayam+Surabaya+Cak+Nur/data=!4m7!3m6!1s0x2dd7fbe108adf1db:0x7c1a00928aed3586!8m2!3d-7.2693164!4d112.7351645!16s%2Fg%2F1hm2z104d!19sChIJ2_GtCOH71y0RhjXtipIAGnw?authuser=0&amp;hl=zh-TW&amp;rclk=1" TargetMode="External"/><Relationship Id="rId642" Type="http://schemas.openxmlformats.org/officeDocument/2006/relationships/hyperlink" Target="https://www.google.com/maps/place/Pecel+Ponorogo+Hj.+Boeyatin/data=!4m7!3m6!1s0x2dd7f964806dce51:0x645d48df3234c09d!8m2!3d-7.2615223!4d112.7476246!16s%2Fg%2F11bx43h2wn!19sChIJUc5tgGT51y0RncA0Mt9IXWQ?authuser=0&amp;hl=zh-TW&amp;rclk=1" TargetMode="External"/><Relationship Id="rId641" Type="http://schemas.openxmlformats.org/officeDocument/2006/relationships/hyperlink" Target="https://www.google.com/maps/place/Bakso+Tengkleng+Suroboyo+%28BTS%29/data=!4m7!3m6!1s0x2dd7fbf9df49d9f7:0x18f84fb1ee127b0!8m2!3d-7.2798577!4d112.7188516!16s%2Fg%2F11hd9br1pr!19sChIJ99lJ3_n71y0RsCfhHvuEjwE?authuser=0&amp;hl=zh-TW&amp;rclk=1" TargetMode="External"/><Relationship Id="rId640" Type="http://schemas.openxmlformats.org/officeDocument/2006/relationships/hyperlink" Target="https://www.google.com/maps/place/Bebek+Donal+KedungDoro/data=!4m7!3m6!1s0x2dd7f92c976dc78b:0x3a7e611345e1d2c1!8m2!3d-7.3162677!4d112.7048635!16s%2Fg%2F11qzpn279w!19sChIJi8dtlyz51y0RwdLhRRNhfjo?authuser=0&amp;hl=zh-TW&amp;rclk=1" TargetMode="External"/><Relationship Id="rId635" Type="http://schemas.openxmlformats.org/officeDocument/2006/relationships/hyperlink" Target="https://www.google.com/maps/place/Wisata+Kuliner+Malam+Surabaya/data=!4m7!3m6!1s0x2dd7fe7e4af91e69:0x8cbf07926f00c7e3!8m2!3d-7.268225!4d112.6652151!16s%2Fg%2F11dxkw4zbm!19sChIJaR75Sn7-1y0R48cAb5IHv4w?authuser=0&amp;hl=zh-TW&amp;rclk=1" TargetMode="External"/><Relationship Id="rId634" Type="http://schemas.openxmlformats.org/officeDocument/2006/relationships/hyperlink" Target="https://www.google.com/maps/place/Kopi+Nako+Daur+Baur+-+Surabaya/data=!4m7!3m6!1s0x2dd7fb1a57a7c373:0x158af67d017ebdef!8m2!3d-7.2755699!4d112.7460441!16s%2Fg%2F11l_0drb_w!19sChIJc8OnVxr71y0R771-AX32ihU?authuser=0&amp;hl=zh-TW&amp;rclk=1" TargetMode="External"/><Relationship Id="rId633" Type="http://schemas.openxmlformats.org/officeDocument/2006/relationships/hyperlink" Target="https://www.google.com/maps/place/Warung+Prasmanan+Shafira/data=!4m7!3m6!1s0x2dd7fbd02cb28525:0xa0fb6203e75de12a!8m2!3d-7.2743434!4d112.7527633!16s%2Fg%2F11bwf7_t8n!19sChIJJYWyLND71y0RKuFd5wNi-6A?authuser=0&amp;hl=zh-TW&amp;rclk=1" TargetMode="External"/><Relationship Id="rId632" Type="http://schemas.openxmlformats.org/officeDocument/2006/relationships/hyperlink" Target="https://www.google.com/maps/place/Aroma+Coto+Gagak+Cabang+Surabaya/data=!4m7!3m6!1s0x2dd7fbea2908ec09:0x6a69d715c45fa515!8m2!3d-7.2919495!4d112.7243631!16s%2Fg%2F11stgftkvw!19sChIJCewIKer71y0RFaVfxBXXaWo?authuser=0&amp;hl=zh-TW&amp;rclk=1" TargetMode="External"/><Relationship Id="rId639" Type="http://schemas.openxmlformats.org/officeDocument/2006/relationships/hyperlink" Target="https://www.google.com/maps/place/Bakso+Solo+%26+Mie+Ayam+Bakso+Goyang+Lidah+Pak+Tris/data=!4m7!3m6!1s0x2dd7fbbdce9d44cb:0xb48d35303f9cad9d!8m2!3d-7.2926469!4d112.7417471!16s%2Fg%2F1hm44yjdq!19sChIJy0Sdzr371y0Rna2cPzA1jbQ?authuser=0&amp;hl=zh-TW&amp;rclk=1" TargetMode="External"/><Relationship Id="rId638" Type="http://schemas.openxmlformats.org/officeDocument/2006/relationships/hyperlink" Target="https://www.google.com/maps/place/Waduk+Kedurus/data=!4m7!3m6!1s0x2dd7fd9aa00c4289:0xf8cd6c653c149bea!8m2!3d-7.3222072!4d112.7038626!16s%2Fg%2F11j01h5b_y!19sChIJiUIMoJr91y0R6psUPGVszfg?authuser=0&amp;hl=zh-TW&amp;rclk=1" TargetMode="External"/><Relationship Id="rId637" Type="http://schemas.openxmlformats.org/officeDocument/2006/relationships/hyperlink" Target="https://www.google.com/maps/place/Coffee+Toffee+Apsari+Grahadi/data=!4m7!3m6!1s0x2dd7fa2fc1a83ad5:0x1af37aad0f30d0ba!8m2!3d-7.2638516!4d112.7433775!16s%2Fg%2F1hc1snx8k!19sChIJ1TqowS_61y0RutAwD6168xo?authuser=0&amp;hl=zh-TW&amp;rclk=1" TargetMode="External"/><Relationship Id="rId636" Type="http://schemas.openxmlformats.org/officeDocument/2006/relationships/hyperlink" Target="https://www.google.com/maps/place/Zangrandi+Ice+Cream+-+Yos+Sudarso/data=!4m7!3m6!1s0x2dd7f963c5e023b5:0x1c6d9f1e4bb8fbbb!8m2!3d-7.2634139!4d112.7461219!16s%2Fg%2F1hc15fzln!19sChIJtSPgxWP51y0Ru_u4Sx6fbRw?authuser=0&amp;hl=zh-TW&amp;rclk=1" TargetMode="External"/><Relationship Id="rId631" Type="http://schemas.openxmlformats.org/officeDocument/2006/relationships/hyperlink" Target="https://www.google.com/maps/place/Foodcourt+Urip+Sumoharjo/data=!4m7!3m6!1s0x2dd7fbdd1cc165e9:0xdd353d00a826c0e8!8m2!3d-7.2747433!4d112.7415447!16s%2Fg%2F11bvt1ndfb!19sChIJ6WXBHN371y0R6MAmqAA9Nd0?authuser=0&amp;hl=zh-TW&amp;rclk=1" TargetMode="External"/><Relationship Id="rId630" Type="http://schemas.openxmlformats.org/officeDocument/2006/relationships/hyperlink" Target="https://www.google.com/maps/place/Soto+Ayam+Kedung+Doro+Cak+Nasim/data=!4m7!3m6!1s0x2dd7f95c81befc25:0x56ba4956b80933c1!8m2!3d-7.259535!4d112.7328812!16s%2Fg%2F11hbr44bsf!19sChIJJfy-gVz51y0RwTMJuFZJulY?authuser=0&amp;hl=zh-TW&amp;rclk=1" TargetMode="External"/><Relationship Id="rId609" Type="http://schemas.openxmlformats.org/officeDocument/2006/relationships/hyperlink" Target="https://www.google.com/maps/place/Rawon+Soerabaja/data=!4m7!3m6!1s0x2dd7e533996b61e5:0x59b20df5ddd9a8f8!8m2!3d-7.3518978!4d112.7289576!16s%2Fg%2F11sqrbj4_l!19sChIJ5WFrmTPl1y0R-KjZ3fUNslk?authuser=0&amp;hl=zh-TW&amp;rclk=1" TargetMode="External"/><Relationship Id="rId608" Type="http://schemas.openxmlformats.org/officeDocument/2006/relationships/hyperlink" Target="https://www.google.com/maps/place/Soto+Ayam+H.+Khosim/data=!4m7!3m6!1s0x2dd7fbce25762b93:0xba35712275ee608b!8m2!3d-7.2768032!4d112.7547234!16s%2Fg%2F11b6fkd76r!19sChIJkyt2Jc771y0Ri2DudSJxNbo?authuser=0&amp;hl=zh-TW&amp;rclk=1" TargetMode="External"/><Relationship Id="rId607" Type="http://schemas.openxmlformats.org/officeDocument/2006/relationships/hyperlink" Target="https://www.google.com/maps/place/Sentra+Wisata+Kuliner+Lidah+Wetan/data=!4m7!3m6!1s0x2dd7fd9f163b5ea9:0x6863da8594b7f2f2!8m2!3d-7.3073849!4d112.6656085!16s%2Fg%2F11v0694svv!19sChIJqV47Fp_91y0R8vK3lIXaY2g?authuser=0&amp;hl=zh-TW&amp;rclk=1" TargetMode="External"/><Relationship Id="rId602" Type="http://schemas.openxmlformats.org/officeDocument/2006/relationships/hyperlink" Target="https://www.google.com/maps/place/MADANI+SOCIETY+Coffee+Surabaya/@-7.2768622,112.7581685,17z/data=!3m1!4b1!4m6!3m5!1s0x2dd7fb08a3848f9f:0x8bcb87d577eef5df!8m2!3d-7.2768622!4d112.7581685!16s%2Fg%2F11p0zppj5c?entry=ttu&amp;g_ep=EgoyMDI2MDYyOS4wIKXMDSoASAFQAw%3D%3D" TargetMode="External"/><Relationship Id="rId601" Type="http://schemas.openxmlformats.org/officeDocument/2006/relationships/hyperlink" Target="https://www.google.com/maps/place/Arumanis+Restaurant/@-7.2714753,112.7406384,17z/data=!3m1!4b1!4m6!3m5!1s0x2dd7fbde78bbd497:0x855e861ef7d59ea6!8m2!3d-7.2714753!4d112.7406384!16s%2Fg%2F1tg841mt?entry=ttu&amp;g_ep=EgoyMDI2MDYyOS4wIKXMDSoASAFQAw%3D%3D" TargetMode="External"/><Relationship Id="rId600" Type="http://schemas.openxmlformats.org/officeDocument/2006/relationships/hyperlink" Target="https://www.google.com/maps/place/Pecel+Bu+Kus/data=!4m7!3m6!1s0x2dd7fbaba1ae07fb:0xa9afb3a0018ad1b5!8m2!3d-7.3048615!4d112.7592702!16s%2Fg%2F1hc0zq6bh!19sChIJ-weuoav71y0RtdGKAaCzr6k?authuser=0&amp;hl=zh-TW&amp;rclk=1" TargetMode="External"/><Relationship Id="rId606" Type="http://schemas.openxmlformats.org/officeDocument/2006/relationships/hyperlink" Target="https://www.google.com/maps/place/New+Pelabuhan+Resto+Seafood+%26+Chinese+Food+Sukomanunggal/data=!4m7!3m6!1s0x2dd7fdb4acb25cf7:0x823314725ab3a4f3!8m2!3d-7.2693994!4d112.6944568!16s%2Fg%2F11ryhmty44!19sChIJ91yyrLT91y0R86SzWnIUM4I?authuser=0&amp;hl=zh-TW&amp;rclk=1" TargetMode="External"/><Relationship Id="rId605" Type="http://schemas.openxmlformats.org/officeDocument/2006/relationships/hyperlink" Target="https://www.google.com/maps/place/Soto+Ayam+Lamongan+Cak+Tono/data=!4m7!3m6!1s0x2dd7fb0d08bf9911:0xf7d5bf39a933ce63!8m2!3d-7.2785677!4d112.758943!16s%2Fg%2F11g4jnccfr!19sChIJEZm_CA371y0RY84zqTm_1fc?authuser=0&amp;hl=zh-TW&amp;rclk=1" TargetMode="External"/><Relationship Id="rId604" Type="http://schemas.openxmlformats.org/officeDocument/2006/relationships/hyperlink" Target="http://google.com/maps/place/BONCAFE+RAYA+GUBENG/@-7.2768622,112.7581685,17z/data=!4m6!3m5!1s0x2dd7fbc8566bd81d:0xf74bed2af3c20537!8m2!3d-7.2718687!4d112.7483661!16s%2Fg%2F1thm5yn7?entry=ttu&amp;g_ep=EgoyMDI2MDYyOS4wIKXMDSoASAFQAw%3D%3D" TargetMode="External"/><Relationship Id="rId603" Type="http://schemas.openxmlformats.org/officeDocument/2006/relationships/hyperlink" Target="https://www.google.com/maps/place/Bakso+Balungan+Cak+Nur/data=!4m7!3m6!1s0x2dd7fd12ed97d45d:0x6c516da805f779e!8m2!3d-7.307765!4d112.67602!16s%2Fg%2F11fp8fmr_2!19sChIJXdSX7RL91y0RnndfgNoWxQY?authuser=0&amp;hl=zh-TW&amp;rclk=1" TargetMode="External"/><Relationship Id="rId228" Type="http://schemas.openxmlformats.org/officeDocument/2006/relationships/hyperlink" Target="https://www.google.com/maps/place/Taman+Lanjut+Usia/@-7.2609451,112.7408107,15z/data=!4m10!1m2!2m1!1sTaman+Lansia!3m6!1s0x2dd7fbd9f676d85f:0x94fc8c5663157ed7!8m2!3d-7.271015!4d112.7500365!15sCgxUYW1hbiBMYW5zaWFaDiIMdGFtYW4gbGFuc2lhkgEEcGFya5oBJENoZERTVWhOTUc5blMwVkpRMEZuU1VScU0xQmZNbmQzUlJBQuABAPoBBAgAEDo!16s%2Fg%2F11bxf4987r?entry=ttu&amp;g_ep=EgoyMDI2MDYyOS4wIKXMDSoASAFQAw%3D%3D" TargetMode="External"/><Relationship Id="rId227" Type="http://schemas.openxmlformats.org/officeDocument/2006/relationships/hyperlink" Target="https://www.google.com/maps/place/Bakso+%26+Mie+Ayam+Solo+Pak+Jo/data=!4m7!3m6!1s0x2dd7fc8044aa5b25:0x3895ea1a1c3e8fe9!8m2!3d-7.31227!4d112.7122539!16s%2Fg%2F11c47_00wc!19sChIJJVuqRID81y0R6Y8-HBrqlTg?authuser=0&amp;hl=zh-TW&amp;rclk=1" TargetMode="External"/><Relationship Id="rId469" Type="http://schemas.openxmlformats.org/officeDocument/2006/relationships/hyperlink" Target="https://www.google.com/maps/place/Food+Legacy/data=!4m7!3m6!1s0x2dd7f9df045e2c6f:0x4482f925bf5b1510!8m2!3d-7.2478838!4d112.7795224!16s%2Fg%2F11fl3yjmym!19sChIJbyxeBN_51y0REBVbvyX5gkQ?authuser=0&amp;hl=zh-TW&amp;rclk=1" TargetMode="External"/><Relationship Id="rId226" Type="http://schemas.openxmlformats.org/officeDocument/2006/relationships/hyperlink" Target="https://www.google.com/maps/place/Taman+Tanjung+Sadari/data=!4m7!3m6!1s0x2dd7f929eee02333:0xa22b3b2ba476adc2!8m2!3d-7.2285243!4d112.7221888!16s%2Fg%2F11c6rtr54v!19sChIJMyPg7in51y0Rwq12pCs7K6I?authuser=0&amp;hl=zh-TW&amp;rclk=1" TargetMode="External"/><Relationship Id="rId468" Type="http://schemas.openxmlformats.org/officeDocument/2006/relationships/hyperlink" Target="https://www.google.com/maps/place/Museum+Nahdlatul+Ulama/data=!4m2!3m1!1s0x2dd7fb508223f375:0x33ca3810ad3ad698?sa=X&amp;ved=1t:155783&amp;ictx=111" TargetMode="External"/><Relationship Id="rId225" Type="http://schemas.openxmlformats.org/officeDocument/2006/relationships/hyperlink" Target="https://www.google.com/maps/place/Soto+Daging+Cak+Mat+Ploso+Baru/data=!4m7!3m6!1s0x2dd7f985bd779347:0x39eb939363f50f43!8m2!3d-7.2585129!4d112.7731858!16s%2Fg%2F1hm4kf9b6!19sChIJR5N3vYX51y0RQw_1Y5OT6zk?authuser=0&amp;hl=zh-TW&amp;rclk=1" TargetMode="External"/><Relationship Id="rId467" Type="http://schemas.openxmlformats.org/officeDocument/2006/relationships/hyperlink" Target="https://www.google.com/maps/place/Taman+Ekspresi+Dan+Perpustakaan/data=!4m7!3m6!1s0x2dd7f966192051db:0x73421d48f52c1f0f!8m2!3d-7.2573072!4d112.7437199!16s%2Fg%2F11bwh9_1gl!19sChIJ21EgGWb51y0RDx8s9UgdQnM?authuser=0&amp;hl=zh-TW&amp;rclk=1" TargetMode="External"/><Relationship Id="rId229" Type="http://schemas.openxmlformats.org/officeDocument/2006/relationships/hyperlink" Target="https://www.google.com/maps/place/Taman+Paliatif/data=!4m7!3m6!1s0x2dd7f9706463fa91:0xee85832b33ee4e5d!8m2!3d-7.255478!4d112.7535054!16s%2Fg%2F11b6f1sghg!19sChIJkfpjZHD51y0RXU7uMyuDhe4?authuser=0&amp;hl=zh-TW&amp;rclk=1" TargetMode="External"/><Relationship Id="rId220" Type="http://schemas.openxmlformats.org/officeDocument/2006/relationships/hyperlink" Target="https://www.google.com/maps/place/D%27Jawa+Cafe+%26+Resto/data=!4m7!3m6!1s0x2dd7fbda43e1a45d:0xd268e2b815c31ba7!8m2!3d-7.2733607!4d112.7491388!16s%2Fg%2F11f1h44n3y!19sChIJXaThQ9r71y0RpxvDFbjiaNI?authuser=0&amp;hl=zh-TW&amp;rclk=1" TargetMode="External"/><Relationship Id="rId462" Type="http://schemas.openxmlformats.org/officeDocument/2006/relationships/hyperlink" Target="https://www.google.com/maps/place/Depot+Gang+Djangkrik/data=!4m7!3m6!1s0x2dd7fc0caa5ea0cd:0xaec6f5048ddc71ae!8m2!3d-7.2886942!4d112.7091512!16s%2Fg%2F1hc2mnvt0!19sChIJzaBeqgz81y0RrnHcjQT1xq4?authuser=0&amp;hl=zh-TW&amp;rclk=1" TargetMode="External"/><Relationship Id="rId461" Type="http://schemas.openxmlformats.org/officeDocument/2006/relationships/hyperlink" Target="https://www.google.com/maps/place/Kollabora/data=!4m2!3m1!1s0x2dd7fd25a3422c69:0xea8ba33292973f52?sa=X&amp;ved=1t:242&amp;ictx=111" TargetMode="External"/><Relationship Id="rId460" Type="http://schemas.openxmlformats.org/officeDocument/2006/relationships/hyperlink" Target="https://www.google.com/maps/place/Penyetan+Cak+Di/data=!4m7!3m6!1s0x2dd7fb47ebb98511:0x8d7a0b67c370d770!8m2!3d-7.3365032!4d112.7378343!16s%2Fg%2F11bxfjxf4m!19sChIJEYW560f71y0RcNdww2cLeo0?authuser=0&amp;hl=zh-TW&amp;rclk=1" TargetMode="External"/><Relationship Id="rId224" Type="http://schemas.openxmlformats.org/officeDocument/2006/relationships/hyperlink" Target="https://www.google.com/maps/place/Sate+dan+Gulai+Kambing+Pucan/data=!4m7!3m6!1s0x2dd7fbc976595f7d:0xaf755bce95df4e6f!8m2!3d-7.2837264!4d112.7559216!16s%2Fg%2F11cjj0q3w7!19sChIJfV9Zdsn71y0Rb07flc5bda8?authuser=0&amp;hl=zh-TW&amp;rclk=1" TargetMode="External"/><Relationship Id="rId466" Type="http://schemas.openxmlformats.org/officeDocument/2006/relationships/hyperlink" Target="https://www.google.com/maps/place/Fountain+Park/data=!4m7!3m6!1s0x2dd7f9622dbbd3c1:0xa20bc44e6774704c!8m2!3d-7.2644593!4d112.7456248!16s%2Fg%2F11f11psh4h!19sChIJwdO7LWL51y0RTHB0Z07EC6I?authuser=0&amp;hl=zh-TW&amp;rclk=1" TargetMode="External"/><Relationship Id="rId223" Type="http://schemas.openxmlformats.org/officeDocument/2006/relationships/hyperlink" Target="https://www.google.com/maps/place/Jukuta+Seafood/data=!4m7!3m6!1s0x2dd7fc7a7ab981bf:0xeb60ce8289eba8fb!8m2!3d-7.299577!4d112.706895!16s%2Fg%2F1tnmc1d_!19sChIJv4G5enr81y0R-6jriYLOYOs?authuser=0&amp;hl=zh-TW&amp;rclk=1" TargetMode="External"/><Relationship Id="rId465" Type="http://schemas.openxmlformats.org/officeDocument/2006/relationships/hyperlink" Target="https://www.google.com/maps/place/Warung+Taburai+-+Surabaya+Mulyosari/data=!4m7!3m6!1s0x2dd7fb7a0ff110bb:0x9ac9e3a2845f194!8m2!3d-7.264601!4d112.7959913!16s%2Fg%2F11xh1vb515!19sChIJuxDxD3r71y0RlPFFKDqerAk?authuser=0&amp;hl=zh-TW&amp;rclk=1" TargetMode="External"/><Relationship Id="rId222" Type="http://schemas.openxmlformats.org/officeDocument/2006/relationships/hyperlink" Target="https://www.google.com/maps/place/Gatherinc+Bistro+and+Bakery/data=!4m7!3m6!1s0x2dd7fdde2294f1d7:0xffd1d27532e74b26!8m2!3d-7.2781638!4d112.6454116!16s%2Fg%2F11c52d6cl4!19sChIJ1_GUIt791y0RJkvnMnXS0f8?authuser=0&amp;hl=zh-TW&amp;rclk=1" TargetMode="External"/><Relationship Id="rId464" Type="http://schemas.openxmlformats.org/officeDocument/2006/relationships/hyperlink" Target="https://www.google.com/maps/place/Mbok+Sil+Penyetan+Sambel+Tempong/data=!4m7!3m6!1s0x2dd7fb878a886bb1:0xe9224547a852f773!8m2!3d-7.277629!4d112.755673!16s%2Fg%2F11shm5ntc9!19sChIJsWuIiof71y0Rc_dSqEdFIuk?authuser=0&amp;hl=zh-TW&amp;rclk=1" TargetMode="External"/><Relationship Id="rId221" Type="http://schemas.openxmlformats.org/officeDocument/2006/relationships/hyperlink" Target="https://www.google.com/maps/place/Omah+Seafood+-+Merr/data=!4m7!3m6!1s0x2dd7fb936c91f569:0x73abbec9911e4f37!8m2!3d-7.3254837!4d112.7812799!16s%2Fg%2F11rtf15gb0!19sChIJafWRbJP71y0RN08ekcm-q3M?authuser=0&amp;hl=zh-TW&amp;rclk=1" TargetMode="External"/><Relationship Id="rId463" Type="http://schemas.openxmlformats.org/officeDocument/2006/relationships/hyperlink" Target="https://www.google.com/maps/place/Seafood+Bintang+Lima/data=!4m7!3m6!1s0x2dd7fb004c043809:0x70bf611954911492!8m2!3d-7.2887909!4d112.7555506!16s%2Fg%2F11m5vr_zwt!19sChIJCTgETAD71y0RkhSRVBlhv3A?authuser=0&amp;hl=zh-TW&amp;rclk=1" TargetMode="External"/><Relationship Id="rId217" Type="http://schemas.openxmlformats.org/officeDocument/2006/relationships/hyperlink" Target="https://www.google.com/maps/place/Hurricane%27s+Grill+Surabaya/data=!4m7!3m6!1s0x2dd7fb5158aac773:0x5d86638bd24508ee!8m2!3d-7.2850537!4d112.7376747!16s%2Fg%2F11l5bmwd5s!19sChIJc8eqWFH71y0R7ghF0otjhl0?authuser=0&amp;hl=zh-TW&amp;rclk=1" TargetMode="External"/><Relationship Id="rId459" Type="http://schemas.openxmlformats.org/officeDocument/2006/relationships/hyperlink" Target="https://www.google.com/maps/place/PEMPEK+SILAMPARI,+SURABAYA/data=!4m7!3m6!1s0x2dd7fd9b658f0597:0xcd58dd1c782a253e!8m2!3d-7.3183761!4d112.715751!16s%2Fg%2F11xm_mpc5d!19sChIJlwWPZZv91y0RPiUqeBzdWM0?authuser=0&amp;hl=zh-TW&amp;rclk=1" TargetMode="External"/><Relationship Id="rId216" Type="http://schemas.openxmlformats.org/officeDocument/2006/relationships/hyperlink" Target="https://www.google.com/maps/place/Bakso+Super+Do%27a+Ibu/data=!4m7!3m6!1s0x2dd7fb991e826fcf:0x7a51528ea48e3672!8m2!3d-7.3009369!4d112.7358409!16s%2Fg%2F11cmc9pf8p!19sChIJz2-CHpn71y0RcjaOpI5SUXo?authuser=0&amp;hl=zh-TW&amp;rclk=1" TargetMode="External"/><Relationship Id="rId458" Type="http://schemas.openxmlformats.org/officeDocument/2006/relationships/hyperlink" Target="https://www.google.com/maps/place/WARUNG+RAWON+48+-+BU+TIN/data=!4m7!3m6!1s0x2dd7fbcbf381e607:0xa4e5a13e795f1dd5!8m2!3d-7.281273!4d112.7582204!16s%2Fg%2F11cn9n1sjm!19sChIJB-aB88v71y0R1R1feT6h5aQ?authuser=0&amp;hl=zh-TW&amp;rclk=1" TargetMode="External"/><Relationship Id="rId215" Type="http://schemas.openxmlformats.org/officeDocument/2006/relationships/hyperlink" Target="https://www.google.com/maps/place/SWK+Klampis+Ngasem/data=!4m7!3m6!1s0x2dd7fa472d362b93:0x5fe0b4429f152ee9!8m2!3d-7.2870201!4d112.7805159!16s%2Fg%2F11f1jxmpn9!19sChIJkys2LUf61y0R6S4Vn0K04F8?authuser=0&amp;hl=zh-TW&amp;rclk=1" TargetMode="External"/><Relationship Id="rId457" Type="http://schemas.openxmlformats.org/officeDocument/2006/relationships/hyperlink" Target="https://www.google.com/maps/place/Pangsit+Mie+Ayam+Tuban+Ronggolawe/data=!4m7!3m6!1s0x2dd7fda5ca27ee8f:0x48517eee9258f43c!8m2!3d-7.3056625!4d112.6529933!16s%2Fg%2F11b67lb_m5!19sChIJj-4nyqX91y0RPPRYku5-UUg?authuser=0&amp;hl=zh-TW&amp;rclk=1" TargetMode="External"/><Relationship Id="rId699" Type="http://schemas.openxmlformats.org/officeDocument/2006/relationships/hyperlink" Target="https://www.google.com/maps/place/Sari+Laut+PAK+JI/data=!4m7!3m6!1s0x2dd7f9694679f091:0xa174c5a5941b439e!8m2!3d-7.2527047!4d112.7440808!16s%2Fg%2F11c2l3wx5y!19sChIJkfB5Rmn51y0RnkMblKXFdKE?authuser=0&amp;hl=zh-TW&amp;rclk=1" TargetMode="External"/><Relationship Id="rId214" Type="http://schemas.openxmlformats.org/officeDocument/2006/relationships/hyperlink" Target="https://www.google.com/maps/place/THE+KOFFEE+Surabaya/data=!4m7!3m6!1s0x2dd7f9015a4b2f35:0x10237f083be2688d!8m2!3d-7.2569375!4d112.7365341!16s%2Fg%2F11n0rvjcpk!19sChIJNS9LWgH51y0RjWjiOwh_IxA?authuser=0&amp;hl=zh-TW&amp;rclk=1" TargetMode="External"/><Relationship Id="rId456" Type="http://schemas.openxmlformats.org/officeDocument/2006/relationships/hyperlink" Target="https://www.google.com/maps/place/Bakso+Chukul/data=!4m7!3m6!1s0x2dd7fb1d3aa72665:0xf8f476910d17e63b!8m2!3d-7.2679211!4d112.7373578!16s%2Fg%2F11q35_8s88!19sChIJZSanOh371y0RO-YXDZF29Pg?authuser=0&amp;hl=zh-TW&amp;rclk=1" TargetMode="External"/><Relationship Id="rId698" Type="http://schemas.openxmlformats.org/officeDocument/2006/relationships/hyperlink" Target="https://www.google.com/maps/place/Siola+Surabaya+Museum/data=!4m7!3m6!1s0x2dd7f942c75df75b:0xc57e15b6db89588b!8m2!3d-7.2562963!4d112.7375696!16s%2Fg%2F1pzsyxbxv!19sChIJW_ddx0L51y0Ri1iJ27YVfsU?authuser=0&amp;hl=zh-TW&amp;rclk=1" TargetMode="External"/><Relationship Id="rId219" Type="http://schemas.openxmlformats.org/officeDocument/2006/relationships/hyperlink" Target="https://www.google.com/maps/place/Sate+Pak+Mat+Jami%27i/data=!4m7!3m6!1s0x2dd7fb2584cf7ad5:0x667b5fd9a408567e!8m2!3d-7.2750425!4d112.7622081!16s%2Fg%2F11f624k8v8!19sChIJ1XrPhCX71y0RflYIpNlfe2Y?authuser=0&amp;hl=zh-TW&amp;rclk=1" TargetMode="External"/><Relationship Id="rId218" Type="http://schemas.openxmlformats.org/officeDocument/2006/relationships/hyperlink" Target="https://www.google.com/maps/place/Soto+Ayam+Cak+Di/data=!4m7!3m6!1s0x2dd7fbe989c15a31:0x6f373f52b4b9da0e!8m2!3d-7.2831142!4d112.7375446!16s%2Fg%2F1pzr7x_3t!19sChIJMVrBien71y0RDtq5tFI_N28?authuser=0&amp;hl=zh-TW&amp;rclk=1" TargetMode="External"/><Relationship Id="rId451" Type="http://schemas.openxmlformats.org/officeDocument/2006/relationships/hyperlink" Target="https://www.google.com/maps/place/Depot+Mie+Pangsit+Sejahtera/data=!4m7!3m6!1s0x2dd7fb1e0e697d1f:0x5f82d4d108dbf641!8m2!3d-7.3205511!4d112.7610212!16s%2Fg%2F11c3tqbc4p!19sChIJH31pDh771y0RQfbbCNHUgl8?authuser=0&amp;hl=zh-TW&amp;rclk=1" TargetMode="External"/><Relationship Id="rId693" Type="http://schemas.openxmlformats.org/officeDocument/2006/relationships/hyperlink" Target="https://www.google.com/maps/place/Sate+Klopo+Patua/data=!4m7!3m6!1s0x2dd7f94fe0f8d865:0x4633c9a5acd4fa4b!8m2!3d-7.2575729!4d112.7256849!16s%2Fg%2F1hm3mpgb6!19sChIJZdj44E_51y0RS_rUrKXJM0Y?authuser=0&amp;hl=zh-TW&amp;rclk=1" TargetMode="External"/><Relationship Id="rId450" Type="http://schemas.openxmlformats.org/officeDocument/2006/relationships/hyperlink" Target="https://www.google.com/maps/place/Museum+TNI+AL+Loka+Jala+Crana/data=!4m7!3m6!1s0x2dd7f92a55555555:0x26519de6b6dac08!8m2!3d-7.227185!4d112.718997!16s%2Fg%2F1pzq39nbs!19sChIJVVVVVSr51y0RCKxta94ZZQI?authuser=0&amp;hl=zh-TW&amp;rclk=1" TargetMode="External"/><Relationship Id="rId692" Type="http://schemas.openxmlformats.org/officeDocument/2006/relationships/hyperlink" Target="https://www.google.com/maps/place/Warung+Barokasih/data=!4m7!3m6!1s0x2dd7fbd12ce07321:0x9f385f8430e6dcfd!8m2!3d-7.2714676!4d112.7547717!16s%2Fg%2F11g6bl2nps!19sChIJIXPgLNH71y0R_dzmMIRfOJ8?authuser=0&amp;hl=zh-TW&amp;rclk=1" TargetMode="External"/><Relationship Id="rId691" Type="http://schemas.openxmlformats.org/officeDocument/2006/relationships/hyperlink" Target="https://www.google.com/maps/place/Blockbuster+Museum+Surabaya/@-7.2477541,112.7795727,17z/data=!3m1!4b1!4m6!3m5!1s0x2dd7f92a3fda62c3:0x571a8893dca24a3c!8m2!3d-7.2477541!4d112.7795727!16s%2Fg%2F11fkst4ldn?entry=ttu&amp;g_ep=EgoyMDI2MDYyOS4wIKXMDSoASAFQAw%3D%3D" TargetMode="External"/><Relationship Id="rId690" Type="http://schemas.openxmlformats.org/officeDocument/2006/relationships/hyperlink" Target="https://www.google.com/maps/place/PAPER+CUP+COFFEE+DHARMAHUSADA/@-7.2789659,112.772689,17z/data=!3m1!4b1!4m6!3m5!1s0x2dd7fb5838558ecf:0x9bbea0a05dd87c3d!8m2!3d-7.2789659!4d112.772689!16s%2Fg%2F11m_48khbp?entry=ttu&amp;g_ep=EgoyMDI2MDYyOS4wIKXMDSoASAFQAw%3D%3D" TargetMode="External"/><Relationship Id="rId213" Type="http://schemas.openxmlformats.org/officeDocument/2006/relationships/hyperlink" Target="https://www.google.com/maps/place/Depo+Bebek/data=!4m7!3m6!1s0x2dd7fe7a2071ac0f:0xa651eee75ba6957c!8m2!3d-7.2668155!4d112.6563306!16s%2Fg%2F11btvgbk2k!19sChIJD6xxIHr-1y0RfJWmW-fuUaY?authuser=0&amp;hl=zh-TW&amp;rclk=1" TargetMode="External"/><Relationship Id="rId455" Type="http://schemas.openxmlformats.org/officeDocument/2006/relationships/hyperlink" Target="https://www.google.com/maps/place/Aucafe+Specialty+Coffee+-+Manyar+Kertoarjo+3/data=!4m7!3m6!1s0x2dd7fb63ca20ea05:0xf9ea0b7af3fbd529!8m2!3d-7.2804783!4d112.7647157!16s%2Fg%2F11j9dbfplj!19sChIJBeogymP71y0RKdX783oL6vk?authuser=0&amp;hl=zh-TW&amp;rclk=1" TargetMode="External"/><Relationship Id="rId697" Type="http://schemas.openxmlformats.org/officeDocument/2006/relationships/hyperlink" Target="https://www.google.com/maps/place/Kuliner+Alun+Alun+Surabaya/data=!4m7!3m6!1s0x2dd7f9004c8e1105:0x75500091c21f9cba!8m2!3d-7.2635958!4d112.7450731!16s%2Fg%2F11x900dmv9!19sChIJBRGOTAD51y0RupwfwpEAUHU?authuser=0&amp;hl=zh-TW&amp;rclk=1" TargetMode="External"/><Relationship Id="rId212" Type="http://schemas.openxmlformats.org/officeDocument/2006/relationships/hyperlink" Target="https://www.google.com/maps/place/JAVAROMA+at+Sentral+Tunjungan+Surabaya/@-7.2609451,112.7408107,17z/data=!3m1!4b1!4m6!3m5!1s0x2dd7f9cca5b6c2ad:0xce6324806a337674!8m2!3d-7.2609451!4d112.7408107!16s%2Fg%2F11x0wth42d?entry=ttu&amp;g_ep=EgoyMDI2MDYyOS4wIKXMDSoASAFQAw%3D%3D" TargetMode="External"/><Relationship Id="rId454" Type="http://schemas.openxmlformats.org/officeDocument/2006/relationships/hyperlink" Target="https://www.google.com/maps/place/Depot+Penyetan+Cak+Herry/data=!4m7!3m6!1s0x2dd7fa4a54f63e67:0x1ddb3ee5883988be!8m2!3d-7.2887861!4d112.768027!16s%2Fg%2F11dfh35y2d!19sChIJZz72VEr61y0Rvog5iOU-2x0?authuser=0&amp;hl=zh-TW&amp;rclk=1" TargetMode="External"/><Relationship Id="rId696" Type="http://schemas.openxmlformats.org/officeDocument/2006/relationships/hyperlink" Target="https://www.google.com/maps/place/Taman+Kayoon/data=!4m7!3m6!1s0x2dd7fbdbf7f34015:0x940ca252e68f57e9!8m2!3d-7.2724756!4d112.7450944!16s%2Fg%2F11g9qllsk3!19sChIJFUDz99v71y0R6VeP5lKiDJQ?authuser=0&amp;hl=zh-TW&amp;rclk=1" TargetMode="External"/><Relationship Id="rId211" Type="http://schemas.openxmlformats.org/officeDocument/2006/relationships/hyperlink" Target="https://www.google.com/maps/place/Taman+Cahaya/@-7.2409734,112.6250084,17z/data=!3m1!4b1!4m6!3m5!1s0x2dd7fe28cc63c03f:0xe28aedf5db925d48!8m2!3d-7.2409734!4d112.6250084!16s%2Fg%2F11b6s_wfdf?entry=ttu&amp;g_ep=EgoyMDI2MDYyOS4wIKXMDSoASAFQAw%3D%3D" TargetMode="External"/><Relationship Id="rId453" Type="http://schemas.openxmlformats.org/officeDocument/2006/relationships/hyperlink" Target="https://www.google.com/maps/place/Breeze+Bean+Coffee/data=!4m7!3m6!1s0x2dd7fb9a222e9453:0x24f17a14fac10598!8m2!3d-7.2773!4d112.739528!16s%2Fg%2F11pcprqr26!19sChIJU5QuIpr71y0RmAXB-hR68SQ?authuser=0&amp;hl=zh-TW&amp;rclk=1" TargetMode="External"/><Relationship Id="rId695" Type="http://schemas.openxmlformats.org/officeDocument/2006/relationships/hyperlink" Target="https://www.google.com/maps/place/Taman+Kayoon/data=!4m7!3m6!1s0x2dd7fbdbf7f34015:0x940ca252e68f57e9!8m2!3d-7.2724756!4d112.7450944!16s%2Fg%2F11g9qllsk3!19sChIJFUDz99v71y0R6VeP5lKiDJQ?authuser=0&amp;hl=zh-TW&amp;rclk=1" TargetMode="External"/><Relationship Id="rId210" Type="http://schemas.openxmlformats.org/officeDocument/2006/relationships/hyperlink" Target="https://www.google.com/maps/place/Common+Grounds+-+Graha+Famili/data=!4m7!3m6!1s0x2dd7fdbaf4f73723:0xb98bf12db65bc119!8m2!3d-7.2914316!4d112.6856682!16s%2Fg%2F11q30p4qgc!19sChIJIzf39Lr91y0RGcFbti3xi7k?authuser=0&amp;hl=zh-TW&amp;rclk=1" TargetMode="External"/><Relationship Id="rId452" Type="http://schemas.openxmlformats.org/officeDocument/2006/relationships/hyperlink" Target="https://www.google.com/maps/place/Rawon+Kimlek/data=!4m7!3m6!1s0x2dd7fb40299a9131:0x5391ee13f01bd3fa!8m2!3d-7.3287592!4d112.7402674!16s%2Fg%2F11clsz4rft!19sChIJMZGaKUD71y0R-tMb8BPukVM?authuser=0&amp;hl=zh-TW&amp;rclk=1" TargetMode="External"/><Relationship Id="rId694" Type="http://schemas.openxmlformats.org/officeDocument/2006/relationships/hyperlink" Target="https://www.google.com/maps/place/Soto+Ayam+Cak+Pardi/data=!4m7!3m6!1s0x2dd7f95d92030169:0xed9e68a07d4563e2!8m2!3d-7.2605688!4d112.7382972!16s%2Fg%2F11b6b421l5!19sChIJaQEDkl351y0R4mNFfaBonu0?authuser=0&amp;hl=zh-TW&amp;rclk=1" TargetMode="External"/><Relationship Id="rId491" Type="http://schemas.openxmlformats.org/officeDocument/2006/relationships/hyperlink" Target="https://www.google.com/maps/place/Bakso+Barokah+cabang+CAK+TOPO+pulo/data=!4m7!3m6!1s0x2dd7fb82a1642da7:0x1f9eb8f3b2bb93cc!8m2!3d-7.3077402!4d112.725849!16s%2Fg%2F11gf4nbp1h!19sChIJpy1koYL71y0RzJO7svO4nh8?authuser=0&amp;hl=zh-TW&amp;rclk=1" TargetMode="External"/><Relationship Id="rId490" Type="http://schemas.openxmlformats.org/officeDocument/2006/relationships/hyperlink" Target="https://www.google.com/maps/place/Wisata+Kuliner+Jajar+Tunggal+Surabaya/data=!4m7!3m6!1s0x2dd7fc8b73ebe583:0xebfbce1eacc9db20!8m2!3d-7.3138735!4d112.7006293!16s%2Fg%2F11bx4bcq6z!19sChIJg-Xrc4v81y0RINvJrB7O--s?authuser=0&amp;hl=zh-TW&amp;rclk=1" TargetMode="External"/><Relationship Id="rId249" Type="http://schemas.openxmlformats.org/officeDocument/2006/relationships/hyperlink" Target="https://www.google.com/maps/place/Binh+Binh+-+Araya/data=!4m7!3m6!1s0x2dd7fb00790c1143:0xe89019d7172425d2!8m2!3d-7.3020643!4d112.7853666!16s%2Fg%2F11wwdp8382!19sChIJQxEMeQD71y0R0iUkF9cZkOg?authuser=0&amp;hl=zh-TW&amp;rclk=1" TargetMode="External"/><Relationship Id="rId248" Type="http://schemas.openxmlformats.org/officeDocument/2006/relationships/hyperlink" Target="https://www.google.com/maps/place/Bakso+Cak+Nur+1/data=!4m7!3m6!1s0x2dd7fbb3651e40c5:0x4f300ddab9d52927!8m2!3d-7.291864!4d112.7616669!16s%2Fg%2F11c2p0d6vf!19sChIJxUAeZbP71y0RJynVudoNME8?authuser=0&amp;hl=zh-TW&amp;rclk=1" TargetMode="External"/><Relationship Id="rId247" Type="http://schemas.openxmlformats.org/officeDocument/2006/relationships/hyperlink" Target="https://www.google.com/maps/place/Taman+Harmoni+Keputih/data=!4m7!3m6!1s0x2dd7fa7a177ebfbd:0x94c826f638ea1d55!8m2!3d-7.2952211!4d112.8035603!16s%2Fg%2F11cjj1kf5k!19sChIJvb9-F3r61y0RVR3qOPYmyJQ?authuser=0&amp;hl=zh-TW&amp;rclk=1" TargetMode="External"/><Relationship Id="rId489" Type="http://schemas.openxmlformats.org/officeDocument/2006/relationships/hyperlink" Target="https://www.google.com/maps/place/De%27Oasis+Cafe+Eatery/data=!4m7!3m6!1s0x2dd7f92375ba161d:0xf18309d2c115d2f6!8m2!3d-7.2629966!4d112.7645719!16s%2Fg%2F11v9z7qjgz!19sChIJHRa6dSP51y0R9tIVwdIJg_E?authuser=0&amp;hl=zh-TW&amp;rclk=1" TargetMode="External"/><Relationship Id="rId242" Type="http://schemas.openxmlformats.org/officeDocument/2006/relationships/hyperlink" Target="https://www.google.com/maps/place/Bebek+Kayu+Tangan/data=!4m7!3m6!1s0x2dd7fbafbe8e3dc5:0x531fd9dfaa965132!8m2!3d-7.298061!4d112.7510558!16s%2Fg%2F1hc636h9x!19sChIJxT2Ovq_71y0RMlGWqt_ZH1M?authuser=0&amp;hl=zh-TW&amp;rclk=1" TargetMode="External"/><Relationship Id="rId484" Type="http://schemas.openxmlformats.org/officeDocument/2006/relationships/hyperlink" Target="https://www.google.com/maps/place/Soto+Banjar+Pak+Kumis/data=!4m7!3m6!1s0x2dd7fbcf2dbef5b3:0xe26d767bdebc46c8!8m2!3d-7.288827!4d112.752195!16s%2Fg%2F11b6s19srs!19sChIJs_W-Lc_71y0RyEa83nt2beI?authuser=0&amp;hl=zh-TW&amp;rclk=1" TargetMode="External"/><Relationship Id="rId241" Type="http://schemas.openxmlformats.org/officeDocument/2006/relationships/hyperlink" Target="https://www.google.com/maps/place/Sea+Monsters+Seafood+Restaurant/data=!4m7!3m6!1s0x2dd7fbda5958b31b:0x43e1ce8d5fb58a1b!8m2!3d-7.2896333!4d112.7423838!16s%2Fg%2F11c3129153!19sChIJG7NYWdr71y0RG4q1X43O4UM?authuser=0&amp;hl=zh-TW&amp;rclk=1" TargetMode="External"/><Relationship Id="rId483" Type="http://schemas.openxmlformats.org/officeDocument/2006/relationships/hyperlink" Target="https://www.google.com/maps/place/Taman+Husada+Graha+Famili'/data=!4m2!3m1!1s0x2dd7fc5c69efebf7:0xcd9c0fd37e2fee07?sa=X&amp;ved=1t:155783&amp;ictx=111" TargetMode="External"/><Relationship Id="rId240" Type="http://schemas.openxmlformats.org/officeDocument/2006/relationships/hyperlink" Target="https://www.google.com/maps/place/Mie+Restu+Bang+Karman/data=!4m7!3m6!1s0x2dd7fbc9a89cc40b:0x1f90418c0a9a7f65!8m2!3d-7.2841903!4d112.7580239!16s%2Fg%2F1pzx7_b07!19sChIJC8ScqMn71y0RZX-aCoxBkB8?authuser=0&amp;hl=zh-TW&amp;rclk=1" TargetMode="External"/><Relationship Id="rId482" Type="http://schemas.openxmlformats.org/officeDocument/2006/relationships/hyperlink" Target="https://www.google.com/maps/place/Warung+75+Nasi+Bebek+Bu+Nur/data=!4m7!3m6!1s0x2dd7fba4d1bb674f:0x64d56a624745c712!8m2!3d-7.2973269!4d112.7473791!16s%2Fg%2F11b6bw1fm4!19sChIJT2e70aT71y0REsdFR2Jq1WQ?authuser=0&amp;hl=zh-TW&amp;rclk=1" TargetMode="External"/><Relationship Id="rId481" Type="http://schemas.openxmlformats.org/officeDocument/2006/relationships/hyperlink" Target="https://www.google.com/maps/place/Fifteenth+Cafe+by+Mark+Design/data=!4m2!3m1!1s0x2dd7fb058f8b2b57:0xa650e8fa56becfa7?sa=X&amp;ved=1t:242&amp;ictx=111" TargetMode="External"/><Relationship Id="rId246" Type="http://schemas.openxmlformats.org/officeDocument/2006/relationships/hyperlink" Target="https://www.google.com/search?q=Redback+Specialty+Coffee&amp;oq=Redback+Specialty+Coffee&amp;gs_lcrp=EgZjaHJvbWUqBggAEEUYOzIGCAAQRRg7MgcIARAAGIAEMgcIAhAAGIAEMg0IAxAuGK8BGMcBGIAEMgcIBBAAGIAEMhAIBRAuGK8BGMcBGIAEGI4FMgcIBhAAGIAEMgcIBxAAGIAEMgcICBAAGIAEMgcICRAAGIAE0gEIOTE1ajBqMTWoAgiwAgHxBcN4CFdZccib&amp;sourceid=chrome&amp;ie=UTF-8" TargetMode="External"/><Relationship Id="rId488" Type="http://schemas.openxmlformats.org/officeDocument/2006/relationships/hyperlink" Target="https://www.google.com/maps/place/Coffee+Breng+And+Lounge/data=!4m7!3m6!1s0x2dd7f95ba7a6e419:0x419aab0713ad2b17!8m2!3d-7.2601566!4d112.7307898!16s%2Fg%2F11bwqq0g0r!19sChIJGeSmp1v51y0RFyutEwermkE?authuser=0&amp;hl=zh-TW&amp;rclk=1" TargetMode="External"/><Relationship Id="rId245" Type="http://schemas.openxmlformats.org/officeDocument/2006/relationships/hyperlink" Target="https://www.google.com/maps/place/Bakso+Solo+%E2%80%9CPak+Jan%E2%80%9D/data=!4m7!3m6!1s0x2dd7fbda8107b0e5:0x5b0e4443329ab342!8m2!3d-7.273907!4d112.750824!16s%2Fg%2F1hm540_w9!19sChIJ5bAHgdr71y0RQrOaMkNEDls?authuser=0&amp;hl=zh-TW&amp;rclk=1" TargetMode="External"/><Relationship Id="rId487" Type="http://schemas.openxmlformats.org/officeDocument/2006/relationships/hyperlink" Target="https://www.google.com/maps/place/Mie+Kedondong+Soerabaja+1977/data=!4m7!3m6!1s0x2dd7fbde2c902b73:0xe63b9e25a104734b!8m2!3d-7.2698359!4d112.7396575!16s%2Fg%2F1hm1pwmbk!19sChIJcyuQLN771y0RS3MEoSWeO-Y?authuser=0&amp;hl=zh-TW&amp;rclk=1" TargetMode="External"/><Relationship Id="rId244" Type="http://schemas.openxmlformats.org/officeDocument/2006/relationships/hyperlink" Target="https://www.google.com/maps/place/Soto+Ayam+Imam+Bonjol/data=!4m7!3m6!1s0x2dd7fbea2a832e17:0x1bdd165cfbcfd636!8m2!3d-7.2823602!4d112.7362857!16s%2Fg%2F1hm24v3vs!19sChIJFy6DKur71y0RNtbP-1wW3Rs?authuser=0&amp;hl=zh-TW&amp;rclk=1" TargetMode="External"/><Relationship Id="rId486" Type="http://schemas.openxmlformats.org/officeDocument/2006/relationships/hyperlink" Target="https://www.google.com/maps/place/Bebek+Sinjay+Tidar/data=!4m7!3m6!1s0x2dd7f95b5bc53595:0x217712a51cef984b!8m2!3d-7.2585255!4d112.7325961!16s%2Fg%2F11c5rv44bx!19sChIJlTXFW1v51y0RS5jvHKUSdyE?authuser=0&amp;hl=zh-TW&amp;rclk=1" TargetMode="External"/><Relationship Id="rId243" Type="http://schemas.openxmlformats.org/officeDocument/2006/relationships/hyperlink" Target="https://www.google.com/maps/place/Deckside+Lounge+%26+Cafe/data=!4m7!3m6!1s0x2dd7fb62be784477:0xb5079bc1d5e8f087!8m2!3d-7.2800527!4d112.7814105!16s%2Fg%2F11fmdc6m87!19sChIJd0R4vmL71y0Rh_Do1cGbB7U?authuser=0&amp;hl=zh-TW&amp;rclk=1" TargetMode="External"/><Relationship Id="rId485" Type="http://schemas.openxmlformats.org/officeDocument/2006/relationships/hyperlink" Target="https://www.google.com/maps/place/NELAYAN+SEAFOOD+SURABAYA/data=!4m7!3m6!1s0x2dd7fbcc5a1d1a21:0x45c838b7f0b4b6fa!8m2!3d-7.3127654!4d112.7804565!16s%2Fg%2F11npcq_gx5!19sChIJIRodWsz71y0R-ra08Lc4yEU?authuser=0&amp;hl=zh-TW&amp;rclk=1" TargetMode="External"/><Relationship Id="rId480" Type="http://schemas.openxmlformats.org/officeDocument/2006/relationships/hyperlink" Target="https://www.google.com/maps/place/Warung+Ibu+Asrep/data=!4m7!3m6!1s0x2dd7f991de2b0341:0x3f1c3c9a23d91478!8m2!3d-7.2401301!4d112.7510069!16s%2Fg%2F11m3980yym!19sChIJQQMr3pH51y0ReBTZI5o8HD8?authuser=0&amp;hl=zh-TW&amp;rclk=1" TargetMode="External"/><Relationship Id="rId239" Type="http://schemas.openxmlformats.org/officeDocument/2006/relationships/hyperlink" Target="https://www.google.com/maps/place/Taman+Kartika/data=!4m7!3m6!1s0x2dd7f9d233b15101:0xc97a9d9f4487d380!8m2!3d-7.2667913!4d112.736308!16s%2Fg%2F11sv650ds7!19sChIJAVGxM9L51y0RgNOHRJ-desk?authuser=0&amp;hl=zh-TW&amp;rclk=1" TargetMode="External"/><Relationship Id="rId238" Type="http://schemas.openxmlformats.org/officeDocument/2006/relationships/hyperlink" Target="https://www.google.com/maps/place/Taichan+Pahlawan/data=!4m7!3m6!1s0x2dd7fb4116e82433:0xdea7da309ec66c2e!8m2!3d-7.2908702!4d112.740404!16s%2Fg%2F11shdk2yb0!19sChIJMyToFkH71y0RLmzGnjDap94?authuser=0&amp;hl=zh-TW&amp;rclk=1" TargetMode="External"/><Relationship Id="rId237" Type="http://schemas.openxmlformats.org/officeDocument/2006/relationships/hyperlink" Target="https://www.google.com/maps/place/Kahyangan+Resto/@-7.2926497,112.6545787,17z/data=!3m1!4b1!4m6!3m5!1s0x2dd7fdb810b4e1d3:0x656c90b84eb5f01f!8m2!3d-7.2926497!4d112.6545787!16s%2Fg%2F1hhnf_gmx?entry=ttu&amp;g_ep=EgoyMDI2MDYyOS4wIKXMDSoASAFQAw%3D%3D" TargetMode="External"/><Relationship Id="rId479" Type="http://schemas.openxmlformats.org/officeDocument/2006/relationships/hyperlink" Target="https://www.google.com/maps/place/Sate+Ayam+Madura+Pak+Roib/data=!4m7!3m6!1s0x2dd7fbe282f285ed:0xf04494f81d997250!8m2!3d-7.2676691!4d112.7296346!16s%2Fg%2F11c6rtftd9!19sChIJ7YXyguL71y0RUHKZHfiURPA?authuser=0&amp;hl=zh-TW&amp;rclk=1" TargetMode="External"/><Relationship Id="rId236" Type="http://schemas.openxmlformats.org/officeDocument/2006/relationships/hyperlink" Target="https://www.google.com/maps/place/Soto+Ayam+Kampung+Pak+Djayus/data=!4m7!3m6!1s0x2dd7fbad301a76df:0x86808f41879d17b8!8m2!3d-7.2980583!4d112.7622917!16s%2Fg%2F1hm2zydc1!19sChIJ33YaMK371y0RuBedh0GPgIY?authuser=0&amp;hl=zh-TW&amp;rclk=1" TargetMode="External"/><Relationship Id="rId478" Type="http://schemas.openxmlformats.org/officeDocument/2006/relationships/hyperlink" Target="https://www.google.com/maps/place/Rawon+Empal+Bu+Enny/data=!4m7!3m6!1s0x2dd7f9a3e42c3d79:0xc2bf4a6a39210764!8m2!3d-7.2407334!4d112.7695376!16s%2Fg%2F11b6c2sk0r!19sChIJeT0s5KP51y0RZAchOWpKv8I?authuser=0&amp;hl=zh-TW&amp;rclk=1" TargetMode="External"/><Relationship Id="rId231" Type="http://schemas.openxmlformats.org/officeDocument/2006/relationships/hyperlink" Target="https://www.google.com/maps/place/Lontong+Balap+Asli+Pak+Gendut+%28Tidak+Buka+Cabang%29/data=!4m7!3m6!1s0x2dd7f95d917c4fdf:0x49db77b7799abc54!8m2!3d-7.2598405!4d112.7368492!16s%2Fg%2F11c3yv_b3t!19sChIJ3098kV351y0RVLyaebd320k?authuser=0&amp;hl=zh-TW&amp;rclk=1" TargetMode="External"/><Relationship Id="rId473" Type="http://schemas.openxmlformats.org/officeDocument/2006/relationships/hyperlink" Target="https://www.google.com/maps/place/Taman+Araya/data=!4m7!3m6!1s0x2dd7fa420d0a937d:0x9560d218e65fb8cd!8m2!3d-7.2908996!4d112.786073!16s%2Fg%2F11g9jyrh06!19sChIJfZMKDUL61y0Rzbhf5hjSYJU?authuser=0&amp;hl=zh-TW&amp;rclk=1" TargetMode="External"/><Relationship Id="rId230" Type="http://schemas.openxmlformats.org/officeDocument/2006/relationships/hyperlink" Target="https://www.google.com/maps/place/Chicken+Noodle+Jakarta+SIOLA/data=!4m7!3m6!1s0x2dd7f942a4b62aa1:0x1100286e5bade0ac!8m2!3d-7.2569464!4d112.7383488!16s%2Fg%2F11bzpnvyx1!19sChIJoSq2pEL51y0RrOCtW24oABE?authuser=0&amp;hl=zh-TW&amp;rclk=1" TargetMode="External"/><Relationship Id="rId472" Type="http://schemas.openxmlformats.org/officeDocument/2006/relationships/hyperlink" Target="https://www.google.com/maps/place/Penyetan+Watu+Uleg/data=!4m7!3m6!1s0x2dd7fb36625e83a5:0x1ed0d3f296f559e7!8m2!3d-7.2775095!4d112.7656871!16s%2Fg%2F11tn8gl589!19sChIJpYNeYjb71y0R51n1lvLT0B4?authuser=0&amp;hl=zh-TW&amp;rclk=1" TargetMode="External"/><Relationship Id="rId471" Type="http://schemas.openxmlformats.org/officeDocument/2006/relationships/hyperlink" Target="https://www.google.com/maps/place/Kopilaborasi/data=!4m7!3m6!1s0x2dd7fba920d2eaa1:0xde008d964e51feae!8m2!3d-7.2893849!4d112.7573433!16s%2Fg%2F11qycc3jz_!19sChIJoerSIKn71y0Rrv5RTpaNAN4?authuser=0&amp;hl=zh-TW&amp;rclk=1" TargetMode="External"/><Relationship Id="rId470" Type="http://schemas.openxmlformats.org/officeDocument/2006/relationships/hyperlink" Target="https://www.google.com/maps/place/Warung+Bu+Mar+%28Ibuk+Marsiati%29/data=!4m7!3m6!1s0x2dd7fa40224c325d:0x40798b7569130629!8m2!3d-7.2861537!4d112.7861373!16s%2Fg%2F11d_w7svq7!19sChIJXTJMIkD61y0RKQYTaXWLeUA?authuser=0&amp;hl=zh-TW&amp;rclk=1" TargetMode="External"/><Relationship Id="rId235" Type="http://schemas.openxmlformats.org/officeDocument/2006/relationships/hyperlink" Target="https://www.google.com/maps/place/Bebek+Carok+-+Surabaya/@-7.2948767,112.762648,17z/data=!3m1!4b1!4m6!3m5!1s0x2e789ff5020f1ad7:0x7116370b5e11cfc7!8m2!3d-7.2948767!4d112.762648!16s%2Fg%2F11twkjxqpx?entry=ttu&amp;g_ep=EgoyMDI2MDYyOS4wIKXMDSoASAFQAw%3D%3D" TargetMode="External"/><Relationship Id="rId477" Type="http://schemas.openxmlformats.org/officeDocument/2006/relationships/hyperlink" Target="https://www.google.com/maps/place/Soto+Otot+Jimerto/data=!4m7!3m6!1s0x2dd7f9650a60d449:0xb5e71c241bf1444!8m2!3d-7.2579295!4d112.7459538!16s%2Fg%2F1pzr7xp93!19sChIJSdRgCmX51y0RRBS_QcJxXgs?authuser=0&amp;hl=zh-TW&amp;rclk=1" TargetMode="External"/><Relationship Id="rId234" Type="http://schemas.openxmlformats.org/officeDocument/2006/relationships/hyperlink" Target="https://www.google.com/maps/place/Bakwan+Prasmanan+Trunojoyo/data=!4m7!3m6!1s0x2dd7f958294d72f3:0xb6f0be23dbf48dc0!8m2!3d-7.2658331!4d112.7273346!16s%2Fg%2F11g8g1cw8d!19sChIJ83JNKVj51y0RwI302yO-8LY?authuser=0&amp;hl=zh-TW&amp;rclk=1" TargetMode="External"/><Relationship Id="rId476" Type="http://schemas.openxmlformats.org/officeDocument/2006/relationships/hyperlink" Target="https://www.google.com/maps/place/Rawon+Mbak+Pad/data=!4m7!3m6!1s0x2dd7fbcef8af717d:0x76f5ca981c3dff65!8m2!3d-7.2789121!4d112.7543596!16s%2Fg%2F11b7yps3f2!19sChIJfXGv-M771y0RZf89HJjK9XY?authuser=0&amp;hl=zh-TW&amp;rclk=1" TargetMode="External"/><Relationship Id="rId233" Type="http://schemas.openxmlformats.org/officeDocument/2006/relationships/hyperlink" Target="https://www.google.com/maps/place/BOBER+cafe+%26+ruang+komunitas/data=!4m7!3m6!1s0x2dd7fb148d0d5523:0x58e784062584bac5!8m2!3d-7.3236547!4d112.741669!16s%2Fg%2F11gh3bmk8p!19sChIJI1UNjRT71y0RxbqEJQaE51g?authuser=0&amp;hl=zh-TW&amp;rclk=1" TargetMode="External"/><Relationship Id="rId475" Type="http://schemas.openxmlformats.org/officeDocument/2006/relationships/hyperlink" Target="https://www.google.com/maps/place/Taman+Buah/data=!4m7!3m6!1s0x2dd7fa1daed3496f:0x56f16ff0753bd4db!8m2!3d-7.2662139!4d112.795281!16s%2Fg%2F11cjhbpr36!19sChIJb0nTrh361y0R29Q7dfBv8VY?authuser=0&amp;hl=zh-TW&amp;rclk=1" TargetMode="External"/><Relationship Id="rId232" Type="http://schemas.openxmlformats.org/officeDocument/2006/relationships/hyperlink" Target="https://www.google.com/maps/place/Grandfather+Coffeeshop/data=!4m7!3m6!1s0x2dd7f9798f58c959:0x7b3d395d91372f73!8m2!3d-7.2579476!4d112.7573536!16s%2Fg%2F11ckrhlylv!19sChIJWclYj3n51y0Rcy83kV05PXs?authuser=0&amp;hl=zh-TW&amp;rclk=1" TargetMode="External"/><Relationship Id="rId474" Type="http://schemas.openxmlformats.org/officeDocument/2006/relationships/hyperlink" Target="https://www.google.com/maps/place/Unesa+Lake/data=!4m7!3m6!1s0x2dd7fc51bf64abdb:0x455426ee1e347d5f!8m2!3d-7.3014893!4d112.6749246!16s%2Fg%2F11c60jpp5v!19sChIJ26tkv1H81y0RX300Hu4mVEU?authuser=0&amp;hl=zh-TW&amp;rclk=1" TargetMode="External"/><Relationship Id="rId426" Type="http://schemas.openxmlformats.org/officeDocument/2006/relationships/hyperlink" Target="https://www.google.com/maps/place/Warung+Bagus/data=!4m7!3m6!1s0x2dd7fb7bc6b8feb1:0x1af9e9c9ffc5502!8m2!3d-7.2660114!4d112.7906514!16s%2Fg%2F11szd1nqr7!19sChIJsf64xnv71y0RAlX8n5yerwE?authuser=0&amp;hl=zh-TW&amp;rclk=1" TargetMode="External"/><Relationship Id="rId668" Type="http://schemas.openxmlformats.org/officeDocument/2006/relationships/hyperlink" Target="https://www.google.com/maps/place/Dapoer+Kecombrang+Surabaya+-+Wonorejo+Timur/data=!4m7!3m6!1s0x2dd7fbee5ba8f4b5:0x6a10af46e1a2f22f!8m2!3d-7.3089034!4d112.7886546!16s%2Fg%2F11qmcbnhy3!19sChIJtfSoW-771y0RL_Ki4UavEGo?authuser=0&amp;hl=zh-TW&amp;rclk=1" TargetMode="External"/><Relationship Id="rId425" Type="http://schemas.openxmlformats.org/officeDocument/2006/relationships/hyperlink" Target="https://www.google.com/maps/place/Bakso+Barokah+Cak+Topo+Pulo/data=!4m7!3m6!1s0x2dd7fb991d894433:0x7f42f51cdd97bcfd!8m2!3d-7.300796!4d112.7360432!16s%2Fg%2F11cmc915wm!19sChIJM0SJHZn71y0R_byX3Rz1Qn8?authuser=0&amp;hl=zh-TW&amp;rclk=1" TargetMode="External"/><Relationship Id="rId667" Type="http://schemas.openxmlformats.org/officeDocument/2006/relationships/hyperlink" Target="https://www.google.com/maps/place/GOFFE%C3%89+Doughnut+%26+Coffee+-+Manyar+Kertoarjo/@-7.2796814,112.7603124,17z/data=!3m1!4b1!4m6!3m5!1s0x2dd7fb004f608233:0x1dee0eccd547cb4a!8m2!3d-7.2796867!4d112.7628873!16s%2Fg%2F11z0ktwx9j?entry=ttu&amp;g_ep=EgoyMDI2MDYyOS4wIKXMDSoASAFQAw%3D%3D" TargetMode="External"/><Relationship Id="rId424" Type="http://schemas.openxmlformats.org/officeDocument/2006/relationships/hyperlink" Target="https://www.google.com/maps/place/SOTO+AYAM+LAMONGAN+PAK+RADEN+D.K/data=!4m7!3m6!1s0x2dd7f9007185bab7:0xea808747e2298234!8m2!3d-7.263641!4d112.7517293!16s%2Fg%2F11mczss_v_!19sChIJt7qFcQD51y0RNIIp4keHgOo?authuser=0&amp;hl=zh-TW&amp;rclk=1" TargetMode="External"/><Relationship Id="rId666" Type="http://schemas.openxmlformats.org/officeDocument/2006/relationships/hyperlink" Target="https://www.google.com/maps/place/Kepiting+kenari+surabaya/data=!4m7!3m6!1s0x2dd7fb08c74f2e63:0xe37956b9b867cea3!8m2!3d-7.2899956!4d112.7185399!16s%2Fg%2F11y27nrwld!19sChIJYy5Pxwj71y0Ro85nuLlWeeM?authuser=0&amp;hl=zh-TW&amp;rclk=1" TargetMode="External"/><Relationship Id="rId423" Type="http://schemas.openxmlformats.org/officeDocument/2006/relationships/hyperlink" Target="https://www.google.com/maps/place/Soto+Ayam+Cak+Sidik/data=!4m7!3m6!1s0x2dd7f970e59a32cf:0x19af5f7e1dfd95c5!8m2!3d-7.2543375!4d112.75477!16s%2Fg%2F11f57j6k4_!19sChIJzzKa5XD51y0RxZX9HX5frxk?authuser=0&amp;hl=zh-TW&amp;rclk=1" TargetMode="External"/><Relationship Id="rId665" Type="http://schemas.openxmlformats.org/officeDocument/2006/relationships/hyperlink" Target="https://www.google.com/maps/place/Echo+Resto+%26+Karaoke/data=!4m7!3m6!1s0x2dd7f90057da57e1:0x65d8a1afb3d407e3!8m2!3d-7.291489!4d112.7443085!16s%2Fg%2F11vrc_j_ld!19sChIJ4VfaVwD51y0R4wfUs6-h2GU?authuser=0&amp;hl=zh-TW&amp;rclk=1" TargetMode="External"/><Relationship Id="rId429" Type="http://schemas.openxmlformats.org/officeDocument/2006/relationships/hyperlink" Target="https://www.google.com/maps/place/Ultra+Coffee/data=!4m2!3m1!1s0x2dd7fbbc74716d63:0x4189e257d0a96962?sa=X&amp;ved=1t:242&amp;ictx=111" TargetMode="External"/><Relationship Id="rId428" Type="http://schemas.openxmlformats.org/officeDocument/2006/relationships/hyperlink" Target="https://www.google.com/maps/place/Bebek+Goreng+Harissa/data=!4m7!3m6!1s0x2dd7fa9494f9529d:0xa53975432b1b2888!8m2!3d-7.3257377!4d112.7814338!16s%2Fg%2F11b6sx31r_!19sChIJnVL5lJT61y0RiCgbK0N1OaU?authuser=0&amp;hl=zh-TW&amp;rclk=1" TargetMode="External"/><Relationship Id="rId427" Type="http://schemas.openxmlformats.org/officeDocument/2006/relationships/hyperlink" Target="https://www.google.com/maps/place/Soto+Madura+Tapak+Siring/data=!4m7!3m6!1s0x2dd7f97b75d76e43:0x79181c9cf469095a!8m2!3d-7.2602079!4d112.7538874!16s%2Fg%2F11cmczww5p!19sChIJQ27XdXv51y0RWglp9JwcGHk?authuser=0&amp;hl=zh-TW&amp;rclk=1" TargetMode="External"/><Relationship Id="rId669" Type="http://schemas.openxmlformats.org/officeDocument/2006/relationships/hyperlink" Target="https://www.google.com/maps/place/Taman+Pelangi/data=!4m7!3m6!1s0x2dd7fb69dbf567ff:0x2993db27b0539b3d!8m2!3d-7.3275604!4d112.7312242!16s%2Fg%2F11b721z8jg!19sChIJ_2f122n71y0RPZtTsCfbkyk?authuser=0&amp;hl=zh-TW&amp;rclk=1" TargetMode="External"/><Relationship Id="rId660" Type="http://schemas.openxmlformats.org/officeDocument/2006/relationships/hyperlink" Target="https://www.google.com/maps/place/Bakso+%26+Mie+Ayam+Nariz/data=!4m7!3m6!1s0x2dd7fc0098905563:0x40bd1aab27ecb15!8m2!3d-7.272113!4d112.714712!16s%2Fg%2F11clzknt2h!19sChIJY1WQmAD81y0RFct-sqrRCwQ?authuser=0&amp;hl=zh-TW&amp;rclk=1" TargetMode="External"/><Relationship Id="rId422" Type="http://schemas.openxmlformats.org/officeDocument/2006/relationships/hyperlink" Target="https://www.google.com/maps/place/Sate+Pak+Amad+-+Suket+Bunder+Food+And+Drink/data=!4m7!3m6!1s0x2dd7f9a4096411c9:0x9d96dfd504976edf!8m2!3d-7.2391381!4d112.7328311!16s%2Fg%2F11j086yy26!19sChIJyRFkCaT51y0R326XBNXflp0?authuser=0&amp;hl=zh-TW&amp;rclk=1" TargetMode="External"/><Relationship Id="rId664" Type="http://schemas.openxmlformats.org/officeDocument/2006/relationships/hyperlink" Target="https://www.google.com/maps/place/Halaman+78/data=!4m7!3m6!1s0x2dd7f94651674125:0x9248d36128b30aa9!8m2!3d-7.2564304!4d112.7434309!16s%2Fg%2F11mcrr_qw0!19sChIJJUFnUUb51y0RqQqzKGHTSJI?authuser=0&amp;hl=zh-TW&amp;rclk=1" TargetMode="External"/><Relationship Id="rId421" Type="http://schemas.openxmlformats.org/officeDocument/2006/relationships/hyperlink" Target="https://www.google.com/maps/place/Nur+Pacific+Restaurant/data=!4m7!3m6!1s0x2dd7fbdbb51a2e07:0xc1d347d40fc6ed69!8m2!3d-7.2727093!4d112.7480262!16s%2Fg%2F1tkn52v9!19sChIJBy4atdv71y0Rae3GD9RH08E?authuser=0&amp;hl=zh-TW&amp;rclk=1" TargetMode="External"/><Relationship Id="rId663" Type="http://schemas.openxmlformats.org/officeDocument/2006/relationships/hyperlink" Target="https://www.google.com/maps/place/Bubur+Ayam+Spensix+Bang+Salim/data=!4m7!3m6!1s0x2dd7fbdbb6b67de9:0x8923f9d442ce90a1!8m2!3d-7.2734208!4d112.7491549!16s%2Fg%2F11bwtwl211!19sChIJ6X22ttv71y0RoZDOQtT5I4k?authuser=0&amp;hl=zh-TW&amp;rclk=1" TargetMode="External"/><Relationship Id="rId420" Type="http://schemas.openxmlformats.org/officeDocument/2006/relationships/hyperlink" Target="https://www.google.com/maps/place/Warung+Bebek+Kanwa+24/data=!4m7!3m6!1s0x2dd7fb751083d98f:0x7b4643e49564d937!8m2!3d-7.2846788!4d112.7305273!16s%2Fg%2F11v0ytbfr_!19sChIJj9mDEHX71y0RN9lkleRDRns?authuser=0&amp;hl=zh-TW&amp;rclk=1" TargetMode="External"/><Relationship Id="rId662" Type="http://schemas.openxmlformats.org/officeDocument/2006/relationships/hyperlink" Target="https://www.google.com/maps/place/RAWON+PINGGIR+EMBONG/data=!4m7!3m6!1s0x2dd7fa372becce45:0xc58906aa8431e66a!8m2!3d-7.2814117!4d112.7716559!16s%2Fg%2F11gd4gtctj!19sChIJRc7sKzf61y0RauYxhKoGicU?authuser=0&amp;hl=zh-TW&amp;rclk=1" TargetMode="External"/><Relationship Id="rId661" Type="http://schemas.openxmlformats.org/officeDocument/2006/relationships/hyperlink" Target="https://www.google.com/maps/place/Sate+Kelopo+Tiara/data=!4m7!3m6!1s0x2dd7f97929c416ad:0xf4e35992c767d559!8m2!3d-7.2605199!4d112.7598766!16s%2Fg%2F11bwkdqtly!19sChIJrRbEKXn51y0RWdVnx5JZ4_Q?authuser=0&amp;hl=zh-TW&amp;rclk=1" TargetMode="External"/><Relationship Id="rId415" Type="http://schemas.openxmlformats.org/officeDocument/2006/relationships/hyperlink" Target="https://www.google.com/maps/place/Bakso+Bonnet/data=!4m7!3m6!1s0x2dd7fa33aae5fb87:0xc0c9d00394e86c4f!8m2!3d-7.2784272!4d112.765886!16s%2Fg%2F11cn92z8pg!19sChIJh_vlqjP61y0RT2zolAPQycA?authuser=0&amp;hl=zh-TW&amp;rclk=1" TargetMode="External"/><Relationship Id="rId657" Type="http://schemas.openxmlformats.org/officeDocument/2006/relationships/hyperlink" Target="https://www.google.com/maps/place/Bebek+Songkem+H.+Ahmad/data=!4m7!3m6!1s0x2dd7fa214327a8eb:0xc6eb0541beb26285!8m2!3d-7.322962!4d112.78073!16s%2Fg%2F11cjhyxmfd!19sChIJ66gnQyH61y0RhWKyvkEF68Y?authuser=0&amp;hl=zh-TW&amp;rclk=1" TargetMode="External"/><Relationship Id="rId414" Type="http://schemas.openxmlformats.org/officeDocument/2006/relationships/hyperlink" Target="https://www.google.com/maps/place/Boncaf%C3%A9+-+Pregolan/data=!4m7!3m6!1s0x2dd7fbdff0da1b6b:0x8445a0ff1627a868!8m2!3d-7.2661868!4d112.7397954!16s%2Fg%2F1tfvw7xk!19sChIJaxva8N_71y0RaKgnFv-gRYQ?authuser=0&amp;hl=zh-TW&amp;rclk=1" TargetMode="External"/><Relationship Id="rId656" Type="http://schemas.openxmlformats.org/officeDocument/2006/relationships/hyperlink" Target="https://www.google.com/maps/place/Hollywood+Surabaya/data=!4m7!3m6!1s0x2dd7fb7b35909f83:0x69315b922a804f57!8m2!3d-7.3162762!4d112.7352576!16s%2Fg%2F11p59fw7r5!19sChIJg5-QNXv71y0RV0-AKpJbMWk?authuser=0&amp;hl=zh-TW&amp;rclk=1" TargetMode="External"/><Relationship Id="rId413" Type="http://schemas.openxmlformats.org/officeDocument/2006/relationships/hyperlink" Target="https://www.google.com/maps/place/THE+SOCIALITE+SURABAYA/data=!4m7!3m6!1s0x2dd7fb93a5777e8f:0x302d356d422c95c5!8m2!3d-7.2906759!4d112.7308801!16s%2Fg%2F11c2nc6p6l!19sChIJj353pZP71y0RxZUsQm01LTA?authuser=0&amp;hl=zh-TW&amp;rclk=1" TargetMode="External"/><Relationship Id="rId655" Type="http://schemas.openxmlformats.org/officeDocument/2006/relationships/hyperlink" Target="https://www.google.com/maps/place/Soto+Ayam+Lamongan+CAK+HAR/data=!4m7!3m6!1s0x2dd7fa5caf3a40dd:0xaab82c00cb0d97d7!8m2!3d-7.2957171!4d112.7813592!16s%2Fg%2F11b6v0lymf!19sChIJ3UA6r1z61y0R15cNywAsuKo?authuser=0&amp;hl=zh-TW&amp;rclk=1" TargetMode="External"/><Relationship Id="rId412" Type="http://schemas.openxmlformats.org/officeDocument/2006/relationships/hyperlink" Target="https://www.google.com/maps/place/Taman+Flora+Bratang+Surabaya/data=!4m2!3m1!1s0x2dd7fbb2807f4593:0x51d06bd30548e1d6?sa=X&amp;ved=1t:155783&amp;ictx=111" TargetMode="External"/><Relationship Id="rId654" Type="http://schemas.openxmlformats.org/officeDocument/2006/relationships/hyperlink" Target="https://www.google.com/maps/place/Warung+Sate+Buk+Mis/data=!4m7!3m6!1s0x2dd7f97ee2d3ed53:0xb3fba3d7fa54a9c1!8m2!3d-7.2628288!4d112.7598266!16s%2Fg%2F11c0q0q4yb!19sChIJU-3T4n751y0RwalU-tej-7M?authuser=0&amp;hl=zh-TW&amp;rclk=1" TargetMode="External"/><Relationship Id="rId419" Type="http://schemas.openxmlformats.org/officeDocument/2006/relationships/hyperlink" Target="https://www.google.com/maps/place/Pecel+Rawon+Tetelan+Gapuro/data=!4m7!3m6!1s0x2dd7fb00627790a3:0xecfd8f0e3dd8fb39!8m2!3d-7.3113632!4d112.7354573!16s%2Fg%2F11y37ql3kl!19sChIJo5B3YgD71y0ROfvYPQ6P_ew?authuser=0&amp;hl=zh-TW&amp;rclk=1" TargetMode="External"/><Relationship Id="rId418" Type="http://schemas.openxmlformats.org/officeDocument/2006/relationships/hyperlink" Target="https://www.google.com/maps?vet=10CAAQoqAOahcKEwi45af0zqiVAxUAAAAAHQAAAAAQBQ..i&amp;pvq=Cg0vZy8xMWI2Y3Bod2hyIhkKE1RhbWFuIEt1bmFuZy1LdW5hbmcQAhgD&amp;lqi=ChNUYW1hbiBLdW5hbmctS3VuYW5nSPfb37qZqoCACFohEAAQARACGAAYARgCIhN0YW1hbiBrdW5hbmcga3VuYW5nkgEEcGFyaw&amp;fvr=1&amp;cs=1&amp;um=1&amp;ie=UTF-8&amp;fb=1&amp;gl=id&amp;sa=X&amp;ftid=0x2dd7faecf437a521:0xc20515bde56f72ce" TargetMode="External"/><Relationship Id="rId417" Type="http://schemas.openxmlformats.org/officeDocument/2006/relationships/hyperlink" Target="https://www.google.com/maps/place/Bakso+Pratama/data=!4m7!3m6!1s0x2dd7fc0c69ecde97:0x55c1d3294be8442e!8m2!3d-7.2842517!4d112.7082558!16s%2Fg%2F1hm5_182t!19sChIJl97saQz81y0RLkToSynTwVU?authuser=0&amp;hl=zh-TW&amp;rclk=1" TargetMode="External"/><Relationship Id="rId659" Type="http://schemas.openxmlformats.org/officeDocument/2006/relationships/hyperlink" Target="https://www.google.com/maps/place/Sidowareg+Penyetan+%26+Ikan+Bakar/data=!4m7!3m6!1s0x2dd7f909229f860f:0x370c77ea61c7f867!8m2!3d-7.238965!4d112.758405!16s%2Fg%2F1hc1y2hjv!19sChIJD4afIgn51y0RZ_jHYep3DDc?authuser=0&amp;hl=zh-TW&amp;rclk=1" TargetMode="External"/><Relationship Id="rId416" Type="http://schemas.openxmlformats.org/officeDocument/2006/relationships/hyperlink" Target="https://www.google.com/maps/place/Sentra+Wisata+Kuliner+Convention+Hall/data=!4m7!3m6!1s0x2dd7fb6b0433122f:0xedf793a530449c77!8m2!3d-7.2893635!4d112.7834711!16s%2Fg%2F11grpqy1x3!19sChIJLxIzBGv71y0Rd5xEMKWT9-0?authuser=0&amp;hl=zh-TW&amp;rclk=1" TargetMode="External"/><Relationship Id="rId658" Type="http://schemas.openxmlformats.org/officeDocument/2006/relationships/hyperlink" Target="https://www.google.com/maps/place/Warung+Leko+HR+Muhammad/data=!4m7!3m6!1s0x2dd7fc1441643e83:0xac78fc0b241307a!8m2!3d-7.2826462!4d112.6862411!16s%2Fg%2F11b6dnpf8t!19sChIJgz5kQRT81y0RejBBssCPxwo?authuser=0&amp;hl=zh-TW&amp;rclk=1" TargetMode="External"/><Relationship Id="rId411" Type="http://schemas.openxmlformats.org/officeDocument/2006/relationships/hyperlink" Target="https://www.google.com/maps/place/Warung+H.Mufid+%28Rawon+Balungan+Benowo%29/data=!4m7!3m6!1s0x2e780087d166982f:0xe657f872b73de7e0!8m2!3d-7.235906!4d112.6081684!16s%2Fg%2F11b6gpbxx8!19sChIJL5hm0YcAeC4R4Oc9t3L4V-Y?authuser=0&amp;hl=zh-TW&amp;rclk=1" TargetMode="External"/><Relationship Id="rId653" Type="http://schemas.openxmlformats.org/officeDocument/2006/relationships/hyperlink" Target="https://www.google.com/maps/place/RAWON+CACA/data=!4m7!3m6!1s0x2dd7fb49ef3f4ca9:0xb143966c57e74488!8m2!3d-7.3230784!4d112.7703778!16s%2Fg%2F11tnl7qys0!19sChIJqUw_70n71y0RiETnV2yWQ7E?authuser=0&amp;hl=zh-TW&amp;rclk=1" TargetMode="External"/><Relationship Id="rId410" Type="http://schemas.openxmlformats.org/officeDocument/2006/relationships/hyperlink" Target="https://www.google.com/maps/place/Apeng+Kwetiau+Medan/data=!4m2!3m1!1s0x2dd7fb94d6e5e18d:0x5014df8369ab113c?sa=X&amp;ved=1t:242&amp;ictx=111" TargetMode="External"/><Relationship Id="rId652" Type="http://schemas.openxmlformats.org/officeDocument/2006/relationships/hyperlink" Target="https://www.google.com/maps/place/BEBEK+SEMANGAT+TUNJUNGAN+PLAZA-2/data=!4m7!3m6!1s0x2dd7f9afa62c84b3:0x474bb77bb057fe9d!8m2!3d-7.2623458!4d112.7402984!16s%2Fg%2F11m6d7r_0d!19sChIJs4Qspq_51y0Rnf5XsHu3S0c?authuser=0&amp;hl=zh-TW&amp;rclk=1" TargetMode="External"/><Relationship Id="rId651" Type="http://schemas.openxmlformats.org/officeDocument/2006/relationships/hyperlink" Target="https://www.google.com/maps/place/Warung+17/data=!4m7!3m6!1s0x2dd7fae286ee7f99:0xf91b631bc126ee7d!8m2!3d-7.3173083!4d112.7629097!16s%2Fg%2F11bxfqf281!19sChIJmX_uhuL61y0Rfe4mwRtjG_k?authuser=0&amp;hl=zh-TW&amp;rclk=1" TargetMode="External"/><Relationship Id="rId650" Type="http://schemas.openxmlformats.org/officeDocument/2006/relationships/hyperlink" Target="https://www.google.com/maps/place/TOMORO+COFFEE+-+GRAND+HARVEST+SURABAYA/data=!4m7!3m6!1s0x2dd7fd0a119a708f:0x502acaf82e11964e!8m2!3d-7.3304813!4d112.6940546!16s%2Fg%2F11m6p8k92r!19sChIJj3CaEQr91y0RTpYRLvjKKlA?authuser=0&amp;hl=zh-TW&amp;rclk=1" TargetMode="External"/><Relationship Id="rId206" Type="http://schemas.openxmlformats.org/officeDocument/2006/relationships/hyperlink" Target="https://www.google.com/maps/place/sate+ayam+h.+bairi/data=!4m7!3m6!1s0x2dd7fb002c4a72a5:0x62529636adb834c8!8m2!3d-7.2812663!4d112.7386752!16s%2Fg%2F11lv81gjng!19sChIJpXJKLAD71y0RyDS4rTaWUmI?authuser=0&amp;hl=zh-TW&amp;rclk=1" TargetMode="External"/><Relationship Id="rId448" Type="http://schemas.openxmlformats.org/officeDocument/2006/relationships/hyperlink" Target="https://www.google.com/maps/place/Taman+Mayangkara/data=!4m2!3m1!1s0x2dd7fb9e2e33845f:0x455409e45d94f7da?sa=X&amp;ved=1t:155783&amp;ictx=111" TargetMode="External"/><Relationship Id="rId205" Type="http://schemas.openxmlformats.org/officeDocument/2006/relationships/hyperlink" Target="https://www.google.com/maps/place/PENYETAN+BANG+ALI+KUPANG+INDAH/data=!4m7!3m6!1s0x2dd7fc05786d8f55:0x8f36f6dc613a7e3d!8m2!3d-7.2772673!4d112.7080909!16s%2Fg%2F11clsp12bp!19sChIJVY9teAX81y0RPX46Ydz2No8?authuser=0&amp;hl=zh-TW&amp;rclk=1" TargetMode="External"/><Relationship Id="rId447" Type="http://schemas.openxmlformats.org/officeDocument/2006/relationships/hyperlink" Target="https://www.google.com/maps/place/Taman+Kendangsari/data=!4m7!3m6!1s0x2dd7fbf9e0adbe41:0xe64df22b4286b553!8m2!3d-7.3269242!4d112.7460052!16s%2Fg%2F11h1g23kh6!19sChIJQb6t4Pn71y0RU7WGQivyTeY?authuser=0&amp;hl=zh-TW&amp;rclk=1" TargetMode="External"/><Relationship Id="rId689" Type="http://schemas.openxmlformats.org/officeDocument/2006/relationships/hyperlink" Target="https://www.google.com/maps/place/Pangsit+Mie+Ayam+Limo+Raya+Surabaya/data=!4m7!3m6!1s0x2dd7fb08293e42bd:0x649565c82964079d!8m2!3d-7.2762785!4d112.7525941!16s%2Fg%2F11qh2q8gz6!19sChIJvUI-KQj71y0RnQdkKchllWQ?authuser=0&amp;hl=zh-TW&amp;rclk=1" TargetMode="External"/><Relationship Id="rId204" Type="http://schemas.openxmlformats.org/officeDocument/2006/relationships/hyperlink" Target="https://www.google.com/maps/place/Bakso+Solo+Pak+Min/data=!4m7!3m6!1s0x2dd7fe6323927233:0xeb14dff2a438d103!8m2!3d-7.2600363!4d112.6640576!16s%2Fg%2F11b76tx9_0!19sChIJM3KSI2P-1y0RA9E4pPLfFOs?authuser=0&amp;hl=zh-TW&amp;rclk=1" TargetMode="External"/><Relationship Id="rId446" Type="http://schemas.openxmlformats.org/officeDocument/2006/relationships/hyperlink" Target="https://www.google.com/maps/place/Taman+Nginden/data=!4m7!3m6!1s0x2dd7fa55fd0df0a9:0x2d9fbf9a5019e441!8m2!3d-7.306881!4d112.7685263!16s%2Fg%2F11cnc9d_7h!19sChIJqfAN_VX61y0RQeQZUJq_ny0?authuser=0&amp;hl=zh-TW&amp;rclk=1" TargetMode="External"/><Relationship Id="rId688" Type="http://schemas.openxmlformats.org/officeDocument/2006/relationships/hyperlink" Target="https://www.google.com/maps/place/Warung+Nasi+Rawon+Mandarin/data=!4m7!3m6!1s0x2dd7fd10163ef909:0x32e55f8cb6fb1e72!8m2!3d-7.2786951!4d112.6958553!16s%2Fg%2F11gv0vj7gk!19sChIJCfk-FhD91y0Rch77toxf5TI?authuser=0&amp;hl=zh-TW&amp;rclk=1" TargetMode="External"/><Relationship Id="rId203" Type="http://schemas.openxmlformats.org/officeDocument/2006/relationships/hyperlink" Target="https://www.google.com/maps/place/Taman+Teluk+Bayur/data=!4m7!3m6!1s0x2dd7f8c575109619:0xe99dacc95d42ea81!8m2!3d-7.2149459!4d112.7284977!16s%2Fg%2F11g6bq5034!19sChIJGZYQdcX41y0RgepCXcmsnek?authuser=0&amp;hl=zh-TW&amp;rclk=1" TargetMode="External"/><Relationship Id="rId445" Type="http://schemas.openxmlformats.org/officeDocument/2006/relationships/hyperlink" Target="https://www.google.com/maps/place/Pangsit+Mie+Ayam+Jakarta+AsemRowo/data=!4m7!3m6!1s0x2dd7feb4c051e9f5:0x7e8371b2283c90c4!8m2!3d-7.2518862!4d112.7137412!16s%2Fg%2F11bc7mz78x!19sChIJ9elRwLT-1y0RxJA8KLJxg34?authuser=0&amp;hl=zh-TW&amp;rclk=1" TargetMode="External"/><Relationship Id="rId687" Type="http://schemas.openxmlformats.org/officeDocument/2006/relationships/hyperlink" Target="https://www.google.com/maps/place/Sentra+Wisata+Kuliner+Terminal+Kasuari/data=!4m7!3m6!1s0x2dd7f9160986886d:0xa9e35c285a33cbcc!8m2!3d-7.2355364!4d112.7362948!16s%2Fg%2F11hyp21_4c!19sChIJbYiGCRb51y0RzMszWihc46k?authuser=0&amp;hl=zh-TW&amp;rclk=1" TargetMode="External"/><Relationship Id="rId209" Type="http://schemas.openxmlformats.org/officeDocument/2006/relationships/hyperlink" Target="https://www.google.com/maps/place/Soto+Ayam+Hartono/data=!4m7!3m6!1s0x2dd7f9692427352d:0x589fa49564f92880!8m2!3d-7.2525296!4d112.7440718!16s%2Fg%2F11b6c650dd!19sChIJLTUnJGn51y0RgCj5ZJWkn1g?authuser=0&amp;hl=zh-TW&amp;rclk=1" TargetMode="External"/><Relationship Id="rId208" Type="http://schemas.openxmlformats.org/officeDocument/2006/relationships/hyperlink" Target="https://www.google.com/maps/place/Pulau+Sentosa+Seafood+Market/data=!4m7!3m6!1s0x2dd7fb5d8c443b2f:0x9e8ed927b27455c8!8m2!3d-7.2846868!4d112.7385554!16s%2Fg%2F11tcgrdwjf!19sChIJLztEjF371y0RyFV0sifZjp4?authuser=0&amp;hl=zh-TW&amp;rclk=1" TargetMode="External"/><Relationship Id="rId207" Type="http://schemas.openxmlformats.org/officeDocument/2006/relationships/hyperlink" Target="https://www.google.com/maps/place/Soto+Madura+%22Imam+Bonjol%22/data=!4m7!3m6!1s0x2dd7fbe91158086d:0x14a5c3bb03082dc8!8m2!3d-7.2768535!4d112.7354619!16s%2Fg%2F11bc7r78cj!19sChIJbQhYEen71y0RyC0IA7vDpRQ?authuser=0&amp;hl=zh-TW&amp;rclk=1" TargetMode="External"/><Relationship Id="rId449" Type="http://schemas.openxmlformats.org/officeDocument/2006/relationships/hyperlink" Target="https://www.google.com/maps/place/Nasi+Bebek+Tugu+Pahlawan+Asli/data=!4m7!3m6!1s0x2dd7f9400b122a33:0xecd781a4b7470fc8!8m2!3d-7.2452688!4d112.7369513!16s%2Fg%2F11b77dsm56!19sChIJMyoSC0D51y0RyA9Ht6SB1-w?authuser=0&amp;hl=zh-TW&amp;rclk=1" TargetMode="External"/><Relationship Id="rId440" Type="http://schemas.openxmlformats.org/officeDocument/2006/relationships/hyperlink" Target="https://www.google.com/maps/place/Blue+Doors+Surabaya/data=!4m2!3m1!1s0x2dd7fbdef5aee58f:0x22bf0875498e0124?sa=X&amp;ved=1t:242&amp;ictx=111" TargetMode="External"/><Relationship Id="rId682" Type="http://schemas.openxmlformats.org/officeDocument/2006/relationships/hyperlink" Target="https://www.google.com/maps/place/Titik+Tengah+Surabaya/data=!4m7!3m6!1s0x2dd7fb736e844f45:0x7cace86772822696!8m2!3d-7.2677313!4d112.7339446!16s%2Fg%2F11llcw3_fj!19sChIJRU-EbnP71y0RliaCcmforHw?authuser=0&amp;hl=zh-TW&amp;rclk=1" TargetMode="External"/><Relationship Id="rId681" Type="http://schemas.openxmlformats.org/officeDocument/2006/relationships/hyperlink" Target="https://www.google.com/maps/place/Soto+Ayam+Cak+Nan/data=!4m7!3m6!1s0x2dd7fa2a4714e7c3:0x9d7c8d7c6d54c28c!8m2!3d-7.266253!4d112.7677125!16s%2Fg%2F11c6ddnsz8!19sChIJw-cURyr61y0RjMJUbXyNfJ0?authuser=0&amp;hl=zh-TW&amp;rclk=1" TargetMode="External"/><Relationship Id="rId680" Type="http://schemas.openxmlformats.org/officeDocument/2006/relationships/hyperlink" Target="https://www.google.com/maps/place/209+Dining/data=!4m7!3m6!1s0x2dd7fd77c7915e29:0x4979b3c45f4f2d36!8m2!3d-7.286211!4d112.6992675!16s%2Fg%2F11ghq03zqp!19sChIJKV6Rx3f91y0RNi1PX8SzeUk?authuser=0&amp;hl=zh-TW&amp;rclk=1" TargetMode="External"/><Relationship Id="rId202" Type="http://schemas.openxmlformats.org/officeDocument/2006/relationships/hyperlink" Target="https://www.google.com/maps/place/Sate+Asin+Garuda/data=!4m7!3m6!1s0x2dd7fb9614cd41d7:0x2d133eb571e7b9b3!8m2!3d-7.2808456!4d112.7465747!16s%2Fg%2F11rxzkch18!19sChIJ10HNFJb71y0Rs7nncbU-Ey0?authuser=0&amp;hl=zh-TW&amp;rclk=1" TargetMode="External"/><Relationship Id="rId444" Type="http://schemas.openxmlformats.org/officeDocument/2006/relationships/hyperlink" Target="https://www.google.com/maps/place/Mie+Ayam+Jamboel+%22Spesial+:+Telur,+Ceker+,+Kepala+%22./data=!4m7!3m6!1s0x2dd7fa53ee8d007b:0xe8aa1aaf683e8836!8m2!3d-7.300121!4d112.7678766!16s%2Fg%2F1hm1v4bbp!19sChIJewCN7lP61y0RNog-aK8aqug?authuser=0&amp;hl=zh-TW&amp;rclk=1" TargetMode="External"/><Relationship Id="rId686" Type="http://schemas.openxmlformats.org/officeDocument/2006/relationships/hyperlink" Target="https://www.google.com/maps/place/Toko+Kopi+TUKU+-+SPBU+bp+Gubeng/data=!4m7!3m6!1s0x2dd7fb75c4e64cd5:0xb0e1c4b6d27fdc56!8m2!3d-7.2729095!4d112.7477386!16s%2Fg%2F11qh7gstyv!19sChIJ1UzmxHX71y0RVtx_0rbE4bA?authuser=0&amp;hl=zh-TW&amp;rclk=1" TargetMode="External"/><Relationship Id="rId201" Type="http://schemas.openxmlformats.org/officeDocument/2006/relationships/hyperlink" Target="https://www.google.com/maps/place/Soto+Ayam+Surabaya+Cak+Kurnia/data=!4m7!3m6!1s0x2dd7fa2aab90e23f:0xa247bf90a3321515!8m2!3d-7.2661066!4d112.7631424!16s%2Fg%2F11b8zzg6df!19sChIJP-KQqyr61y0RFRUyo5C_R6I?authuser=0&amp;hl=zh-TW&amp;rclk=1" TargetMode="External"/><Relationship Id="rId443" Type="http://schemas.openxmlformats.org/officeDocument/2006/relationships/hyperlink" Target="https://www.google.com/maps/place/Bakso+Solo+Pak+Sentot/data=!4m7!3m6!1s0x2dd7f99c4744cd3b:0x6aa72fc629dde2fa!8m2!3d-7.2517863!4d112.7671219!16s%2Fg%2F11c6fbn16j!19sChIJO81ER5z51y0R-uLdKcYvp2o?authuser=0&amp;hl=zh-TW&amp;rclk=1" TargetMode="External"/><Relationship Id="rId685" Type="http://schemas.openxmlformats.org/officeDocument/2006/relationships/hyperlink" Target="https://www.google.com/maps/place/BAKSO+BERANAK+SUROBOYO/data=!4m7!3m6!1s0x2dd7fbe66981d62f:0x90e791dec1898fa2!8m2!3d-7.2758346!4d112.7343928!16s%2Fg%2F11bzrf3mmk!19sChIJL9aBaeb71y0Roo-Jwd6R55A?authuser=0&amp;hl=zh-TW&amp;rclk=1" TargetMode="External"/><Relationship Id="rId200" Type="http://schemas.openxmlformats.org/officeDocument/2006/relationships/hyperlink" Target="https://www.google.com/maps/place/Bebek+Goreng+Kampung+Seng+45+-+BKS.45/data=!4m7!3m6!1s0x2dd7f9105d4d3d59:0x2f769b888a9c33d2!8m2!3d-7.23764!4d112.7487517!16s%2Fg%2F11csrrr1f4!19sChIJWT1NXRD51y0R0jOcioibdi8?authuser=0&amp;hl=zh-TW&amp;rclk=1" TargetMode="External"/><Relationship Id="rId442" Type="http://schemas.openxmlformats.org/officeDocument/2006/relationships/hyperlink" Target="https://www.google.com/maps/place/Sentra+Wisata+Kuliner+Bentul/data=!4m7!3m6!1s0x2dd7fb8f12d1e0b9:0x76de744ea45a0c15!8m2!3d-7.3056356!4d112.7419023!16s%2Fg%2F11f7bqd42l!19sChIJueDREo_71y0RFQxapE503nY?authuser=0&amp;hl=zh-TW&amp;rclk=1" TargetMode="External"/><Relationship Id="rId684" Type="http://schemas.openxmlformats.org/officeDocument/2006/relationships/hyperlink" Target="https://www.google.com/maps/place/Sentra+Wisata+Kuliner+Embong+Sawo/data=!4m7!3m6!1s0x2dd7f996e06809e3:0xafcbe61111c706a7!8m2!3d-7.2667434!4d112.7423959!16s%2Fg%2F11jlqgf7_r!19sChIJ4wlo4Jb51y0RpwbHERHmy68?authuser=0&amp;hl=zh-TW&amp;rclk=1" TargetMode="External"/><Relationship Id="rId441" Type="http://schemas.openxmlformats.org/officeDocument/2006/relationships/hyperlink" Target="https://www.google.com/maps/place/LONTONG+BALAP+PAK+GENDUT+PKL+SURABAYA/data=!4m7!3m6!1s0x2dd7f9f44fff6a47:0x715b863c22ef94eb!8m2!3d-7.2560633!4d112.7315719!16s%2Fg%2F11cfgh64_!19sChIJR2r_T_T51y0R65TvIjyGW3E?authuser=0&amp;hl=zh-TW&amp;rclk=1" TargetMode="External"/><Relationship Id="rId683" Type="http://schemas.openxmlformats.org/officeDocument/2006/relationships/hyperlink" Target="https://www.google.com/maps/place/Sari+Laut+Kapasan/data=!4m7!3m6!1s0x2dd7f90e67d5db2d:0xd355f0d701559caf!8m2!3d-7.2406741!4d112.7521716!16s%2Fg%2F12ml2mrhg!19sChIJLdvVZw751y0Rr5xVAdfwVdM?authuser=0&amp;hl=zh-TW&amp;rclk=1" TargetMode="External"/><Relationship Id="rId437" Type="http://schemas.openxmlformats.org/officeDocument/2006/relationships/hyperlink" Target="https://www.google.com/maps/place/RUF+Coffee+%26+Eatery/data=!4m7!3m6!1s0x2dd7fbd215d53419:0x4dc2253792fc58c0!8m2!3d-7.2893767!4d112.7758843!16s%2Fg%2F11v3npjwwg!19sChIJGTTVFdL71y0RwFj8kjclwk0?authuser=0&amp;hl=zh-TW&amp;rclk=1" TargetMode="External"/><Relationship Id="rId679" Type="http://schemas.openxmlformats.org/officeDocument/2006/relationships/hyperlink" Target="https://www.google.com/maps/place/Bakso+Solo+JOLOTUNDO/data=!4m7!3m6!1s0x2dd7f9784f3055a9:0x50330f74863917cc!8m2!3d-7.2575378!4d112.7606246!16s%2Fg%2F1hm5qjfmx!19sChIJqVUwT3j51y0RzBc5hnQPM1A?authuser=0&amp;hl=zh-TW&amp;rclk=1" TargetMode="External"/><Relationship Id="rId436" Type="http://schemas.openxmlformats.org/officeDocument/2006/relationships/hyperlink" Target="https://www.google.com/maps/place/Rawon+Pak+Ndut/data=!4m7!3m6!1s0x2dd7e4b715823477:0x238549c7db1e6153!8m2!3d-7.3565652!4d112.7355748!16s%2Fg%2F11fzfdbkjj!19sChIJdzSCFbfk1y0RU2Ee28dJhSM?authuser=0&amp;hl=zh-TW&amp;rclk=1" TargetMode="External"/><Relationship Id="rId678" Type="http://schemas.openxmlformats.org/officeDocument/2006/relationships/hyperlink" Target="https://www.google.com/maps/place/Soto+Ayam+NING+NDAYUK/data=!4m7!3m6!1s0x2dd7fbe10659451f:0x3c5c17e52d658545!8m2!3d-7.270024!4d112.73549!16s%2Fg%2F11g8xg1hsf!19sChIJH0VZBuH71y0RRYVlLeUXXDw?authuser=0&amp;hl=zh-TW&amp;rclk=1" TargetMode="External"/><Relationship Id="rId435" Type="http://schemas.openxmlformats.org/officeDocument/2006/relationships/hyperlink" Target="https://www.google.com/maps/place/Merr+Kayu+Manis+Restaurant/data=!4m7!3m6!1s0x2dd7fae957c32d3f:0x2851c489b2a5ec3b!8m2!3d-7.3208463!4d112.7806342!16s%2Fg%2F11b6wh6rpz!19sChIJPy3DV-n61y0RO-ylsonEUSg?authuser=0&amp;hl=zh-TW&amp;rclk=1" TargetMode="External"/><Relationship Id="rId677" Type="http://schemas.openxmlformats.org/officeDocument/2006/relationships/hyperlink" Target="https://www.google.com/maps/place/Sate+Kambing+%26+Thengkleng+Rica-rica+Pak+Manto/data=!4m7!3m6!1s0x2dd7f953147fce1b:0xa461e170a02246e3!8m2!3d-7.2598318!4d112.75009!16s%2Fg%2F11h55ndfdm!19sChIJG85_FFP51y0R40YioHDhYaQ?authuser=0&amp;hl=zh-TW&amp;rclk=1" TargetMode="External"/><Relationship Id="rId434" Type="http://schemas.openxmlformats.org/officeDocument/2006/relationships/hyperlink" Target="https://www.google.com/maps/place/Soto+Madura+Cak+Ukin/data=!4m7!3m6!1s0x2dd7fb9d12cd8ea3:0x965e3d5011bcf695!8m2!3d-7.3066167!4d112.7292337!16s%2Fg%2F11b6bpz1m2!19sChIJo47NEp371y0Rlfa8EVA9XpY?authuser=0&amp;hl=zh-TW&amp;rclk=1" TargetMode="External"/><Relationship Id="rId676" Type="http://schemas.openxmlformats.org/officeDocument/2006/relationships/hyperlink" Target="https://www.google.com/maps/place/Raja+Seafood/data=!4m7!3m6!1s0x2dd7fc3deeadbd5f:0xf4b04ef6bb374f37!8m2!3d-7.28397!4d112.6903194!16s%2Fg%2F11dxdznt35!19sChIJX72t7j381y0RN083u_ZOsPQ?authuser=0&amp;hl=zh-TW&amp;rclk=1" TargetMode="External"/><Relationship Id="rId439" Type="http://schemas.openxmlformats.org/officeDocument/2006/relationships/hyperlink" Target="https://www.google.com/maps/place/Pangsit+Mie+Ayam+Jakarta+Cak+To+Tuban/data=!4m7!3m6!1s0x2dd7fbf5cfef79e7:0xc5b22a5d502bb9ef!8m2!3d-7.2865218!4d112.7448904!16s%2Fg%2F11klrhhh1p!19sChIJ53nvz_X71y0R77krUF0qssU?authuser=0&amp;hl=zh-TW&amp;rclk=1" TargetMode="External"/><Relationship Id="rId438" Type="http://schemas.openxmlformats.org/officeDocument/2006/relationships/hyperlink" Target="https://www.google.com/maps/place/Indragiri+Resto+-+Racikan+Nusantara+Surabaya/data=!4m7!3m6!1s0x2dd7fb93bbd5ac7f:0xf33abba5a7afff3b!8m2!3d-7.2885492!4d112.7312356!16s%2Fg%2F1hc21v53c!19sChIJf6zVu5P71y0RO_-vp6W7OvM?authuser=0&amp;hl=zh-TW&amp;rclk=1" TargetMode="External"/><Relationship Id="rId671" Type="http://schemas.openxmlformats.org/officeDocument/2006/relationships/hyperlink" Target="https://www.google.com/maps/place/Sontoloyo+Gubeng/data=!4m7!3m6!1s0x2dd7fbc608ed9207:0x4d526c691fe3f055!8m2!3d-7.2727252!4d112.7507038!16s%2Fg%2F11x090w82r!19sChIJB5LtCMb71y0RVfDjH2lsUk0?authuser=0&amp;hl=zh-TW&amp;rclk=1" TargetMode="External"/><Relationship Id="rId670" Type="http://schemas.openxmlformats.org/officeDocument/2006/relationships/hyperlink" Target="https://www.google.com/maps/place/Bebek+Goreng+Palupi+Rungkut/data=!4m7!3m6!1s0x2dd7fac32e4f865f:0x8b1a1f2b450b3614!8m2!3d-7.3286071!4d112.7752838!16s%2Fg%2F11b8vddtlr!19sChIJX4ZPLsP61y0RFDYLRSsfGos?authuser=0&amp;hl=zh-TW&amp;rclk=1" TargetMode="External"/><Relationship Id="rId433" Type="http://schemas.openxmlformats.org/officeDocument/2006/relationships/hyperlink" Target="https://www.google.com/maps?vet=10CAAQoqAOahcKEwiA0eLgzqiVAxUAAAAAHQAAAAAQEQ..i&amp;pvq=Cg0vZy8xMWI2Z3FmNXpi&amp;fvr=1&amp;cs=1&amp;um=1&amp;ie=UTF-8&amp;fb=1&amp;gl=id&amp;sa=X&amp;ftid=0x2dd7f9b7653c6f77:0x4c32c403f15c5939" TargetMode="External"/><Relationship Id="rId675" Type="http://schemas.openxmlformats.org/officeDocument/2006/relationships/hyperlink" Target="https://www.google.com/maps/place/Taman+Asmaul+Husna+%EA%A6%A0%EA%A6%A9%EA%A6%A4%EA%A7%80%EA%A6%84%EA%A6%B1%EA%A7%80%EA%A6%A9%EA%A6%88%EA%A6%AD%EA%A7%80%EA%A6%B2%EA%A6%B8%EA%A6%B1%EA%A7%80%EA%A6%A4/@-7.335649,112.7163832,17z/data=!3m1!4b1!4m6!3m5!1s0x2dd7fbfe5c2f0e35:0xd702bc2be00d3669!8m2!3d-7.335649!4d112.7163832!16s%2Fg%2F11j9jk89jr?entry=ttu&amp;g_ep=EgoyMDI2MDYyOS4wIKXMDSoASAFQAw%3D%3D" TargetMode="External"/><Relationship Id="rId432" Type="http://schemas.openxmlformats.org/officeDocument/2006/relationships/hyperlink" Target="https://www.google.com/maps/place/Mash%C5%AB+All+You+Can+Eat/data=!4m7!3m6!1s0x2dd7fba0348e9637:0x938cee7509ef775e!8m2!3d-7.2873119!4d112.7327292!16s%2Fg%2F11h76m7j13!19sChIJN5aONKD71y0RXnfvCXXujJM?authuser=0&amp;hl=zh-TW&amp;rclk=1" TargetMode="External"/><Relationship Id="rId674" Type="http://schemas.openxmlformats.org/officeDocument/2006/relationships/hyperlink" Target="https://www.google.com/maps/place/Penyetan+Mbak+Nur/data=!4m7!3m6!1s0x2dd7fb952eaf095f:0xec3403e540e61b79!8m2!3d-7.2876522!4d112.73648!16s%2Fg%2F11ggs_gbvj!19sChIJXwmvLpX71y0ReRvmQOUDNOw?authuser=0&amp;hl=zh-TW&amp;rclk=1" TargetMode="External"/><Relationship Id="rId431" Type="http://schemas.openxmlformats.org/officeDocument/2006/relationships/hyperlink" Target="https://www.google.com/maps/place/Warung+Mejoyo/data=!4m7!3m6!1s0x2dd7fae470be2a6b:0x3de794bbe9816ad0!8m2!3d-7.3190959!4d112.7693638!16s%2Fg%2F11b76d0gmw!19sChIJayq-cOT61y0R0GqB6buU5z0?authuser=0&amp;hl=zh-TW&amp;rclk=1" TargetMode="External"/><Relationship Id="rId673" Type="http://schemas.openxmlformats.org/officeDocument/2006/relationships/hyperlink" Target="https://www.google.com/maps/place/Empal+Pengampon/data=!4m7!3m6!1s0x2dd7f9132d273a15:0xf355c54ff83938aa!8m2!3d-7.2470413!4d112.747019!16s%2Fg%2F1hc17lb1_!19sChIJFTonLRP51y0Rqjg5-E_FVfM?authuser=0&amp;hl=zh-TW&amp;rclk=1" TargetMode="External"/><Relationship Id="rId430" Type="http://schemas.openxmlformats.org/officeDocument/2006/relationships/hyperlink" Target="https://www.google.com/maps/place/Sentra+Wisata+Kuliner+Indrapura/data=!4m7!3m6!1s0x2dd7f93eea7b3f93:0xcc4ae4320a69f8c0!8m2!3d-7.2438092!4d112.7364089!16s%2Fg%2F11cp7lth17!19sChIJkz976j751y0RwPhpCjLkSsw?authuser=0&amp;hl=zh-TW&amp;rclk=1" TargetMode="External"/><Relationship Id="rId672" Type="http://schemas.openxmlformats.org/officeDocument/2006/relationships/hyperlink" Target="https://www.google.com/maps/place/Taman+Lapang+Wonocolo/data=!4m7!3m6!1s0x2dd7fbb849f9b8e3:0x75b61d80b87e06d5!8m2!3d-7.3189496!4d112.7398378!16s%2Fg%2F11fn2qrdqf!19sChIJ47j5Sbj71y0R1QZ-uIAdtnU?authuser=0&amp;hl=zh-TW&amp;rclk=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google.com/maps/place/Kafe+Bromo/data=!4m7!3m6!1s0x2dd7f95de34fc8fd:0x839ba953e7c613c0!8m2!3d-7.262976!4d112.7380948!16s%2Fg%2F11cfbkq9t!19sChIJ_chP41351y0RwBPG51Opm4M?authuser=0&amp;hl=en&amp;rclk=1" TargetMode="External"/><Relationship Id="rId194" Type="http://schemas.openxmlformats.org/officeDocument/2006/relationships/hyperlink" Target="https://www.google.com/maps/place/Ciccia+Ristorante+-+Italian+Restaurant+and+Steak+House/@-7.2813385,112.7354883,17z/data=!3m1!4b1!4m6!3m5!1s0x2dd7fbf97663caad:0x902060f91f9c9ce!8m2!3d-7.2813385!4d112.7354883!16s%2Fg%2F11qz7zfdw3?authuser=0&amp;hl=en&amp;entry=ttu&amp;g_ep=EgoyMDI2MDYwMy4xIKXMDSoASAFQAw%3D%3D" TargetMode="External"/><Relationship Id="rId193" Type="http://schemas.openxmlformats.org/officeDocument/2006/relationships/hyperlink" Target="https://www.google.com/maps/place/Dapoer+Kecombrang+Surabaya+-+Wonorejo+Timur/data=!4m7!3m6!1s0x2dd7fbee5ba8f4b5:0x6a10af46e1a2f22f!8m2!3d-7.3089034!4d112.7886546!16s%2Fg%2F11qmcbnhy3!19sChIJtfSoW-771y0RL_Ki4UavEGo?authuser=0&amp;hl=en&amp;rclk=1" TargetMode="External"/><Relationship Id="rId192" Type="http://schemas.openxmlformats.org/officeDocument/2006/relationships/hyperlink" Target="https://www.google.com/maps/place/Cocari/@-7.2895816,112.7312155,17z/data=!3m1!4b1!4m6!3m5!1s0x2dd7fb931279f64d:0x977f710c4438a4ac!8m2!3d-7.2895816!4d112.7312155!16s%2Fg%2F1tdv38xz?authuser=0&amp;hl=en&amp;entry=ttu&amp;g_ep=EgoyMDI2MDYwMy4xIKXMDSoASAFQAw%3D%3D" TargetMode="External"/><Relationship Id="rId191" Type="http://schemas.openxmlformats.org/officeDocument/2006/relationships/hyperlink" Target="https://www.google.com/maps/place/THE+SOCIALITE+SURABAYA/data=!4m7!3m6!1s0x2dd7fb93a5777e8f:0x302d356d422c95c5!8m2!3d-7.2906759!4d112.7308801!16s%2Fg%2F11c2nc6p6l!19sChIJj353pZP71y0RxZUsQm01LTA?authuser=0&amp;hl=en&amp;rclk=1" TargetMode="External"/><Relationship Id="rId187" Type="http://schemas.openxmlformats.org/officeDocument/2006/relationships/hyperlink" Target="https://www.google.com/maps/place/209+Dining/@-7.286211,112.6992675,17z/data=!3m1!4b1!4m6!3m5!1s0x2dd7fd77c7915e29:0x4979b3c45f4f2d36!8m2!3d-7.286211!4d112.6992675!16s%2Fg%2F11ghq03zqp?authuser=0&amp;hl=en&amp;entry=ttu&amp;g_ep=EgoyMDI2MDYwMy4xIKXMDSoASAFQAw%3D%3D" TargetMode="External"/><Relationship Id="rId186" Type="http://schemas.openxmlformats.org/officeDocument/2006/relationships/hyperlink" Target="https://www.google.com/maps/place/Steak+Lab+SteakHouse/@-7.2995063,112.6636811,17z/data=!3m1!4b1!4m6!3m5!1s0x2dd7fb6d552a2bc7:0xa54f870fe5bcbbc7!8m2!3d-7.2995063!4d112.6636811!16s%2Fg%2F11k6xv0l8x?authuser=0&amp;hl=en&amp;entry=ttu&amp;g_ep=EgoyMDI2MDYwMy4xIKXMDSoASAFQAw%3D%3D" TargetMode="External"/><Relationship Id="rId185" Type="http://schemas.openxmlformats.org/officeDocument/2006/relationships/hyperlink" Target="https://www.google.com/maps/place/Dining+Club/data=!4m7!3m6!1s0x2dd7fbcca0de2fc5:0x31cb3e65f32c26be!8m2!3d-7.2732746!4d112.7466362!16s%2Fg%2F11rw7m2tqn!19sChIJxS_eoMz71y0RviYs82U-yzE?authuser=0&amp;hl=en&amp;rclk=1" TargetMode="External"/><Relationship Id="rId184" Type="http://schemas.openxmlformats.org/officeDocument/2006/relationships/hyperlink" Target="https://www.google.com/maps/place/Sky+36+Restaurant/@-7.269212,112.749755,17z/data=!3m1!4b1!4m6!3m5!1s0x2dd7fbd8359cb981:0x84cea495f21be5c1!8m2!3d-7.269212!4d112.749755!16s%2Fg%2F11b7ys8t_z?authuser=0&amp;hl=en&amp;entry=ttu&amp;g_ep=EgoyMDI2MDYwMy4xIKXMDSoASAFQAw%3D%3D" TargetMode="External"/><Relationship Id="rId189" Type="http://schemas.openxmlformats.org/officeDocument/2006/relationships/hyperlink" Target="https://www.google.com/maps/place/Layar+Seafood+Manyar+Kertoarjo/@-7.2794916,112.7665996,17z/data=!3m1!4b1!4m6!3m5!1s0x2dd7fbd2330b9919:0x9b82ea9e3b785a9a!8m2!3d-7.2794916!4d112.7665996!16s%2Fg%2F11rfcvqdl3?authuser=0&amp;hl=en&amp;entry=ttu&amp;g_ep=EgoyMDI2MDYwMy4xIKXMDSoASAFQAw%3D%3D" TargetMode="External"/><Relationship Id="rId188" Type="http://schemas.openxmlformats.org/officeDocument/2006/relationships/hyperlink" Target="https://www.google.com/maps/place/Magnolia+Restaurant+At+Westin+Surabaya/@-7.2901625,112.6751242,17z/data=!3m1!4b1!4m6!3m5!1s0x2dd7fdde0a5f0723:0x19bfe1288733e697!8m2!3d-7.2901625!4d112.6751242!16s%2Fg%2F11qqf9vnt1?authuser=0&amp;hl=en&amp;entry=ttu&amp;g_ep=EgoyMDI2MDYwMy4xIKXMDSoASAFQAw%3D%3D" TargetMode="External"/><Relationship Id="rId183" Type="http://schemas.openxmlformats.org/officeDocument/2006/relationships/hyperlink" Target="https://www.google.com/maps/place/Layar+Seafood+KH+Abdul+Wahab+Siamin/@-7.2937027,112.707384,17z/data=!3m1!4b1!4m6!3m5!1s0x2dd7fc7a4e47c44d:0x4daf76d21ed7ac8e!8m2!3d-7.2937027!4d112.707384!16s%2Fg%2F1hm5d8pc0?authuser=0&amp;hl=en&amp;entry=ttu&amp;g_ep=EgoyMDI2MDYwMy4xIKXMDSoASAFQAw%3D%3D" TargetMode="External"/><Relationship Id="rId182" Type="http://schemas.openxmlformats.org/officeDocument/2006/relationships/hyperlink" Target="https://www.google.com/maps/place/Ayam+Bakar+Primarasa/data=!4m7!3m6!1s0x2dd7f97b35223aa7:0x431ce026cf122eb4!8m2!3d-7.2600547!4d112.7510125!16s%2Fg%2F1w0r26zx!19sChIJpzoiNXv51y0RtC4SzybgHEM?authuser=0&amp;hl=en&amp;rclk=1" TargetMode="External"/><Relationship Id="rId181" Type="http://schemas.openxmlformats.org/officeDocument/2006/relationships/hyperlink" Target="https://www.google.com/maps/place/Steak+Hut/@-7.2805581,112.7688904,17z/data=!3m1!4b1!4m6!3m5!1s0x2dd7fa33fe284d53:0x9a47414476a6b583!8m2!3d-7.2805581!4d112.7688904!16s%2Fg%2F1jkxfg17t?authuser=0&amp;hl=en&amp;entry=ttu&amp;g_ep=EgoyMDI2MDYwMy4xIKXMDSoASAFQAw%3D%3D" TargetMode="External"/><Relationship Id="rId180" Type="http://schemas.openxmlformats.org/officeDocument/2006/relationships/hyperlink" Target="https://www.google.com/maps/place/Kayanna+Restaurant/data=!4m7!3m6!1s0x2dd7fbe9e37e81b5:0xa250c4c9d19b4986!8m2!3d-7.2815035!4d112.739176!16s%2Fg%2F11gbf63r7d!19sChIJtYF-4-n71y0Rhkmb0cnEUKI?authuser=0&amp;hl=en&amp;rclk=1" TargetMode="External"/><Relationship Id="rId176" Type="http://schemas.openxmlformats.org/officeDocument/2006/relationships/hyperlink" Target="https://www.google.com/maps/place/Depot+Bu+Rudy+Dharmahusada/@-7.2674503,112.7700431,17z/data=!3m1!4b1!4m6!3m5!1s0x2dd7f9fdfa4dc9cd:0x73513935dae2989e!8m2!3d-7.2674503!4d112.7700431!16s%2Fg%2F1hd_3mf8w?authuser=0&amp;hl=en&amp;entry=ttu&amp;g_ep=EgoyMDI2MDYwMy4xIKXMDSoASAFQAw%3D%3D" TargetMode="External"/><Relationship Id="rId175" Type="http://schemas.openxmlformats.org/officeDocument/2006/relationships/hyperlink" Target="https://www.google.com/maps/place/Boncaf%C3%A9+-+Pregolan/data=!4m7!3m6!1s0x2dd7fbdff0da1b6b:0x8445a0ff1627a868!8m2!3d-7.2661868!4d112.7397954!16s%2Fg%2F1tfvw7xk!19sChIJaxva8N_71y0RaKgnFv-gRYQ?authuser=0&amp;hl=en&amp;rclk=1" TargetMode="External"/><Relationship Id="rId174" Type="http://schemas.openxmlformats.org/officeDocument/2006/relationships/hyperlink" Target="https://www.google.com/maps/place/Gubug+Makan+Mang+Engking+Gubeng+Surabaya/@-7.2671284,112.7526298,17z/data=!3m1!4b1!4m6!3m5!1s0x2dd7fb27e4e5d3f5:0x1f44be80d59668d1!8m2!3d-7.2671284!4d112.7526298!16s%2Fg%2F11tmdwt8wm?authuser=0&amp;hl=en&amp;entry=ttu&amp;g_ep=EgoyMDI2MDYwMy4xIKXMDSoASAFQAw%3D%3D" TargetMode="External"/><Relationship Id="rId173" Type="http://schemas.openxmlformats.org/officeDocument/2006/relationships/hyperlink" Target="https://www.google.com/maps/place/Wapo+Resto+-+Airlangga/data=!4m7!3m6!1s0x2dd7fbd486736e29:0x703f50fba3cdfe7e!8m2!3d-7.2705024!4d112.7602896!16s%2Fg%2F11gzwlgp9!19sChIJKW5zhtT71y0Rfv7No_tQP3A?authuser=0&amp;hl=en&amp;rclk=1" TargetMode="External"/><Relationship Id="rId179" Type="http://schemas.openxmlformats.org/officeDocument/2006/relationships/hyperlink" Target="https://www.google.com/maps/place/Domicile+Kitchen+Lounge/@-7.2692707,112.7501173,17z/data=!3m1!4b1!4m6!3m5!1s0x2dd7fbd9ce98e1fd:0x7d23e2e7537c2996!8m2!3d-7.2692707!4d112.7501173!16s%2Fg%2F11b6cq5n94?authuser=0&amp;hl=en&amp;entry=ttu&amp;g_ep=EgoyMDI2MDYwMy4xIKXMDSoASAFQAw%3D%3D" TargetMode="External"/><Relationship Id="rId178" Type="http://schemas.openxmlformats.org/officeDocument/2006/relationships/hyperlink" Target="https://www.google.com/maps/place/de+Soematra+1910/@-7.2715355,112.7473151,17z/data=!3m1!4b1!4m6!3m5!1s0x2dd7fbd97d105b21:0xf5bb90ede92d68bb!8m2!3d-7.2715355!4d112.7473151!16s%2Fg%2F1q5cccjym?authuser=0&amp;hl=en&amp;entry=ttu&amp;g_ep=EgoyMDI2MDYwMy4xIKXMDSoASAFQAw%3D%3D" TargetMode="External"/><Relationship Id="rId177" Type="http://schemas.openxmlformats.org/officeDocument/2006/relationships/hyperlink" Target="https://www.google.com/maps/place/Bon+Ami+Restaurant/@-7.2688889,112.7386167,17z/data=!3m1!4b1!4m6!3m5!1s0x2dd7fbe070dfeeb9:0xdfcb535c3b2dafb1!8m2!3d-7.2688889!4d112.7386167!16s%2Fg%2F11bbrg6ygg?authuser=0&amp;hl=en&amp;entry=ttu&amp;g_ep=EgoyMDI2MDYwMy4xIKXMDSoASAFQAw%3D%3D" TargetMode="External"/><Relationship Id="rId198" Type="http://schemas.openxmlformats.org/officeDocument/2006/relationships/drawing" Target="../drawings/drawing3.xml"/><Relationship Id="rId197" Type="http://schemas.openxmlformats.org/officeDocument/2006/relationships/hyperlink" Target="https://www.google.com/maps/place/Sansekerta+-+The+Authentic+Taste+Of+Indonesia/data=!4m7!3m6!1s0x2dd7f964852dc18b:0x25c2a828000aadff!8m2!3d-7.2611209!4d112.7486801!16s%2Fg%2F11f5dz5xms!19sChIJi8EthWT51y0R_60KACiowiU?authuser=0&amp;hl=en&amp;rclk=1" TargetMode="External"/><Relationship Id="rId196" Type="http://schemas.openxmlformats.org/officeDocument/2006/relationships/hyperlink" Target="https://www.google.com/maps/place/Pulau+Sentosa+Seafood+Market/@-7.2846868,112.7385554,17z/data=!3m1!4b1!4m6!3m5!1s0x2dd7fb5d8c443b2f:0x9e8ed927b27455c8!8m2!3d-7.2846868!4d112.7385554!16s%2Fg%2F11tcgrdwjf?authuser=0&amp;hl=en&amp;entry=ttu&amp;g_ep=EgoyMDI2MDYwMy4xIKXMDSoASAFQAw%3D%3D" TargetMode="External"/><Relationship Id="rId195" Type="http://schemas.openxmlformats.org/officeDocument/2006/relationships/hyperlink" Target="https://www.google.com/maps/place/Hanamasa+Gubeng+Surabaya/data=!4m7!3m6!1s0x2dd7fbd9bc33de5b:0xb451f4017cc04153!8m2!3d-7.2658483!4d112.7514572!16s%2Fg%2F1tjwl1bf!19sChIJW94zvNn71y0RU0HAfAH0UbQ?authuser=0&amp;hl=en&amp;rclk=1" TargetMode="External"/><Relationship Id="rId150" Type="http://schemas.openxmlformats.org/officeDocument/2006/relationships/hyperlink" Target="https://www.google.com/maps/place/Wisata+Kuliner+Pasar+Genteng/@-7.2588538,112.7416521,17z/data=!3m1!4b1!4m6!3m5!1s0x2dd7f949d317e533:0x911d84da2720187e!8m2!3d-7.2588538!4d112.7416521!16s%2Fg%2F11f6ycry0k?authuser=0&amp;hl=en&amp;entry=ttu&amp;g_ep=EgoyMDI2MDYwMy4xIKXMDSoASAFQAw%3D%3D" TargetMode="External"/><Relationship Id="rId1" Type="http://schemas.openxmlformats.org/officeDocument/2006/relationships/hyperlink" Target="https://www.google.com/maps/place/Historica/@-7.2692971,112.7491243,17z/data=!3m1!4b1!4m6!3m5!1s0x2dd7fbd9b663ee29:0x901e6ae85676211f!8m2!3d-7.2692971!4d112.7491243!16s%2Fg%2F11b6byrh0q?authuser=0&amp;hl=en&amp;entry=ttu&amp;g_ep=EgoyMDI2MDYwMy4xIKXMDSoASAFQAw%3D%3D" TargetMode="External"/><Relationship Id="rId2" Type="http://schemas.openxmlformats.org/officeDocument/2006/relationships/hyperlink" Target="https://www.google.com/maps/place/Fifteenth+Cafe+by+Mark+Design/@-7.2781271,112.7466016,17z/data=!3m1!4b1!4m6!3m5!1s0x2dd7fb058f8b2b57:0xa650e8fa56becfa7!8m2!3d-7.2781271!4d112.7466016!16s%2Fg%2F11s5qvpzyp?authuser=0&amp;hl=en&amp;entry=ttu&amp;g_ep=EgoyMDI2MDYwMy4xIKXMDSoASAFQAw%3D%3D" TargetMode="External"/><Relationship Id="rId3" Type="http://schemas.openxmlformats.org/officeDocument/2006/relationships/hyperlink" Target="https://www.google.com/maps/place/Blue+Doors+Surabaya/@-7.2777983,112.7356596,17z/data=!3m1!4b1!4m6!3m5!1s0x2dd7fbdef5aee58f:0x22bf0875498e0124!8m2!3d-7.2777983!4d112.7356596!16s%2Fg%2F11scl1g6lx?authuser=0&amp;hl=en&amp;entry=ttu&amp;g_ep=EgoyMDI2MDYwMy4xIKXMDSoASAFQAw%3D%3D" TargetMode="External"/><Relationship Id="rId149" Type="http://schemas.openxmlformats.org/officeDocument/2006/relationships/hyperlink" Target="https://www.google.com/maps/place/Sentra+Wisata+Kuliner+Semolowaru/@-7.3007976,112.7799566,17z/data=!3m1!4b1!4m6!3m5!1s0x2dd7fa59583643ad:0x9156b117d556b500!8m2!3d-7.3007976!4d112.7799566!16s%2Fg%2F11bw_53_1g?authuser=0&amp;hl=en&amp;entry=ttu&amp;g_ep=EgoyMDI2MDYwMy4xIKXMDSoASAFQAw%3D%3D" TargetMode="External"/><Relationship Id="rId4" Type="http://schemas.openxmlformats.org/officeDocument/2006/relationships/hyperlink" Target="https://www.google.com/maps/place/Carpentier+Kitchen/@-7.2850075,112.7362677,17z/data=!3m1!4b1!4m6!3m5!1s0x2dd7fbea561d0f9d:0x351791d80fe14db3!8m2!3d-7.2850075!4d112.7362677!16s%2Fg%2F11bw5wkt42?authuser=0&amp;hl=en&amp;entry=ttu&amp;g_ep=EgoyMDI2MDYwMy4xIKXMDSoASAFQAw%3D%3D" TargetMode="External"/><Relationship Id="rId148" Type="http://schemas.openxmlformats.org/officeDocument/2006/relationships/hyperlink" Target="https://www.google.com/maps/place/Wisata+Kuliner+PELANGI+NUSANTARA/data=!4m7!3m6!1s0x2dd7fbb9e139cc13:0x6281114b11f86c56!8m2!3d-7.2709262!4d112.7352418!16s%2Fg%2F11rqs71_31!19sChIJE8w54bn71y0RVmz4EUsRgWI?authuser=0&amp;hl=en&amp;rclk=1" TargetMode="External"/><Relationship Id="rId9" Type="http://schemas.openxmlformats.org/officeDocument/2006/relationships/hyperlink" Target="https://www.google.com/maps/place/Threelogy+Coffee+-+Mojopahit/@-7.2819229,112.7415054,17z/data=!3m1!4b1!4m6!3m5!1s0x2dd7fbc229dfbcbf:0x49390c3a3758eacf!8m2!3d-7.2819229!4d112.7415054!16s%2Fg%2F11d_z77p6v?authuser=0&amp;hl=en&amp;entry=ttu&amp;g_ep=EgoyMDI2MDYwMy4xIKXMDSoASAFQAw%3D%3D" TargetMode="External"/><Relationship Id="rId143" Type="http://schemas.openxmlformats.org/officeDocument/2006/relationships/hyperlink" Target="https://www.google.com/maps/place/Kapas+Krampung+Street+Food+Culinary+Center,+Surabaya/@-7.252782,112.7670666,17z/data=!3m1!4b1!4m6!3m5!1s0x2dd7f99c5c107609:0x29d363e56fe4453a!8m2!3d-7.252782!4d112.7670666!16s%2Fg%2F11c325y6rd?authuser=0&amp;hl=en&amp;entry=ttu&amp;g_ep=EgoyMDI2MDYwMy4xIKXMDSoASAFQAw%3D%3D" TargetMode="External"/><Relationship Id="rId142" Type="http://schemas.openxmlformats.org/officeDocument/2006/relationships/hyperlink" Target="https://www.google.com/maps/place/Surabaya+Special+Eel/@-7.2692873,112.7472058,17z/data=!3m1!4b1!4m6!3m5!1s0x2dd7fbd91ccc6515:0xdb2ad969f4b296c5!8m2!3d-7.2692873!4d112.7472058!16s%2Fg%2F1hm444hm4?authuser=0&amp;hl=en&amp;entry=ttu&amp;g_ep=EgoyMDI2MDYwMy4xIKXMDSoASAFQAw%3D%3D" TargetMode="External"/><Relationship Id="rId141" Type="http://schemas.openxmlformats.org/officeDocument/2006/relationships/hyperlink" Target="https://www.google.com/maps/place/Warung+Pak+Hasyim/@-7.3230457,112.7812178,17z/data=!3m1!4b1!4m6!3m5!1s0x2dd7faea2c7c683d:0xa7072287174f086e!8m2!3d-7.3230457!4d112.7812178!16s%2Fg%2F11fxc84yv2?authuser=0&amp;hl=en&amp;entry=ttu&amp;g_ep=EgoyMDI2MDYwMy4xIKXMDSoASAFQAw%3D%3D" TargetMode="External"/><Relationship Id="rId140" Type="http://schemas.openxmlformats.org/officeDocument/2006/relationships/hyperlink" Target="https://www.google.com/maps/place/Sentra+Wisata+Kuliner+Siola/data=!4m7!3m6!1s0x2dd7f9dfcca59d89:0x6881dc0eb4303946!8m2!3d-7.2567686!4d112.7376015!16s%2Fg%2F11hr641hgv!19sChIJiZ2lzN_51y0RRjkwtA7cgWg?authuser=0&amp;hl=en&amp;rclk=1" TargetMode="External"/><Relationship Id="rId5" Type="http://schemas.openxmlformats.org/officeDocument/2006/relationships/hyperlink" Target="https://www.google.com/maps/place/%EF%B8%8F+Kollabora+%7C+The+Best+Thematic+Cafe+%26+Restaurant+in+Indonesia/@-7.277767,112.7079299,17z/data=!3m1!4b1!4m6!3m5!1s0x2dd7fd25a3422c69:0xea8ba33292973f52!8m2!3d-7.277767!4d112.7079299!16s%2Fg%2F11fs2xnxbv?authuser=0&amp;hl=en&amp;entry=ttu&amp;g_ep=EgoyMDI2MDYwMy4xIKXMDSoASAFQAw%3D%3D" TargetMode="External"/><Relationship Id="rId147" Type="http://schemas.openxmlformats.org/officeDocument/2006/relationships/hyperlink" Target="https://www.google.com/maps/place/Soto+Ambengan+Pak+Sadi/data=!4m7!3m6!1s0x2dd7f96f446fb757:0x273fae11209f7aca!8m2!3d-7.255663!4d112.7450153!16s%2Fg%2F1hdzfvdmf!19sChIJV7dvRG_51y0RynqfIBGuPyc?authuser=0&amp;hl=en&amp;rclk=1" TargetMode="External"/><Relationship Id="rId6" Type="http://schemas.openxmlformats.org/officeDocument/2006/relationships/hyperlink" Target="https://www.google.com/maps/place/wantutu./@-7.266522,112.7510129,17z/data=!3m1!4b1!4m6!3m5!1s0x2dd7fb5f07f8e511:0x98a29ed0ecf00015!8m2!3d-7.266522!4d112.7510129!16s%2Fg%2F11kspznqt8?authuser=0&amp;hl=en&amp;entry=ttu&amp;g_ep=EgoyMDI2MDYwMy4xIKXMDSoASAFQAw%3D%3D" TargetMode="External"/><Relationship Id="rId146" Type="http://schemas.openxmlformats.org/officeDocument/2006/relationships/hyperlink" Target="https://www.google.com/maps/place/SWK+Klampis+Ngasem/@-7.2870201,112.7805159,17z/data=!3m1!4b1!4m6!3m5!1s0x2dd7fa472d362b93:0x5fe0b4429f152ee9!8m2!3d-7.2870201!4d112.7805159!16s%2Fg%2F11f1jxmpn9?authuser=0&amp;hl=en&amp;entry=ttu&amp;g_ep=EgoyMDI2MDYwMy4xIKXMDSoASAFQAw%3D%3D" TargetMode="External"/><Relationship Id="rId7" Type="http://schemas.openxmlformats.org/officeDocument/2006/relationships/hyperlink" Target="https://www.google.com/maps/place/Brew+and+Else/@-7.2975613,112.6586854,17z/data=!3m1!4b1!4m6!3m5!1s0x2dd7fdabd5e5f719:0x9cd496f4fdbff681!8m2!3d-7.2975613!4d112.6586854!16s%2Fg%2F11l5nwdwwb?authuser=0&amp;hl=en&amp;entry=ttu&amp;g_ep=EgoyMDI2MDYwMy4xIKXMDSoASAFQAw%3D%3D" TargetMode="External"/><Relationship Id="rId145" Type="http://schemas.openxmlformats.org/officeDocument/2006/relationships/hyperlink" Target="https://www.google.com/maps/place/Warung+Kuning/data=!4m7!3m6!1s0x2dd7fbb5316dd829:0xbbd99620398a695d!8m2!3d-7.2877322!4d112.7624485!16s%2Fg%2F11b6xgd_g2!19sChIJKdhtMbX71y0RXWmKOSCW2bs?authuser=0&amp;hl=en&amp;rclk=1" TargetMode="External"/><Relationship Id="rId8" Type="http://schemas.openxmlformats.org/officeDocument/2006/relationships/hyperlink" Target="https://www.google.com/maps/place/Kudos+Cafe+-+Pakuwon+Square/@-7.2948389,112.6752565,17z/data=!3m1!4b1!4m6!3m5!1s0x2dd7fc49d6eaaaab:0x37c978891819367f!8m2!3d-7.2948389!4d112.6752565!16s%2Fg%2F11bx4bhk3w?authuser=0&amp;hl=en&amp;entry=ttu&amp;g_ep=EgoyMDI2MDYwMy4xIKXMDSoASAFQAw%3D%3D" TargetMode="External"/><Relationship Id="rId144" Type="http://schemas.openxmlformats.org/officeDocument/2006/relationships/hyperlink" Target="https://www.google.com/maps/place/Sentra+Wisata+Kuliner+Terminal+Kasuari/data=!4m7!3m6!1s0x2dd7f9160986886d:0xa9e35c285a33cbcc!8m2!3d-7.2355364!4d112.7362948!16s%2Fg%2F11hyp21_4c!19sChIJbYiGCRb51y0RzMszWihc46k?authuser=0&amp;hl=en&amp;rclk=1" TargetMode="External"/><Relationship Id="rId139" Type="http://schemas.openxmlformats.org/officeDocument/2006/relationships/hyperlink" Target="https://www.google.com/maps/place/Foodcourt+Urip+Sumoharjo/@-7.2747433,112.7415447,17z/data=!3m1!4b1!4m6!3m5!1s0x2dd7fbdd1cc165e9:0xdd353d00a826c0e8!8m2!3d-7.2747433!4d112.7415447!16s%2Fg%2F11bvt1ndfb?authuser=0&amp;hl=en&amp;entry=ttu&amp;g_ep=EgoyMDI2MDYwMy4xIKXMDSoASAFQAw%3D%3D" TargetMode="External"/><Relationship Id="rId138" Type="http://schemas.openxmlformats.org/officeDocument/2006/relationships/hyperlink" Target="https://www.google.com/maps/place/Warung+Tempe+Penyet+Mbak+Noer/@-7.3032388,112.7490363,17z/data=!3m1!4b1!4m6!3m5!1s0x2dd7fba64224f3bb:0x730586c6d7df468a!8m2!3d-7.3032388!4d112.7490363!16s%2Fg%2F1hm5msk3r?authuser=0&amp;hl=en&amp;entry=ttu&amp;g_ep=EgoyMDI2MDYwMy4xIKXMDSoASAFQAw%3D%3D" TargetMode="External"/><Relationship Id="rId137" Type="http://schemas.openxmlformats.org/officeDocument/2006/relationships/hyperlink" Target="https://www.google.com/maps/place/Sentra+Wisata+Kuliner+Wiyung/@-7.314035,112.6974162,17z/data=!3m1!4b1!4m6!3m5!1s0x2dd7fc8957b0a395:0x21bc82134ed33d94!8m2!3d-7.314035!4d112.6974162!16s%2Fg%2F1hm5y1svr?authuser=0&amp;hl=en&amp;entry=ttu&amp;g_ep=EgoyMDI2MDYwMy4xIKXMDSoASAFQAw%3D%3D" TargetMode="External"/><Relationship Id="rId132" Type="http://schemas.openxmlformats.org/officeDocument/2006/relationships/hyperlink" Target="https://www.google.com/maps/place/Nasi+Pecel+Rawon+Pucang+Moro+Seneng/data=!4m7!3m6!1s0x2dd7fbc9aeb01779:0xcc054ce1e40ab595!8m2!3d-7.2842801!4d112.7543599!16s%2Fg%2F11bxg0b268!19sChIJeRewrsn71y0RlbUK5OFMBcw?authuser=0&amp;hl=en&amp;rclk=1" TargetMode="External"/><Relationship Id="rId131" Type="http://schemas.openxmlformats.org/officeDocument/2006/relationships/hyperlink" Target="https://www.google.com/maps/place/Sentra+Wisata+Kuliner+Taman+Prestasi/@-7.2624706,112.7447097,17z/data=!3m1!4b1!4m6!3m5!1s0x2dd7f961583842c3:0xc37d54c83b94a6d8!8m2!3d-7.2624706!4d112.7447097!16s%2Fg%2F11g6bld2wl?authuser=0&amp;hl=en&amp;entry=ttu&amp;g_ep=EgoyMDI2MDYwMy4xIKXMDSoASAFQAw%3D%3D" TargetMode="External"/><Relationship Id="rId130" Type="http://schemas.openxmlformats.org/officeDocument/2006/relationships/hyperlink" Target="https://www.google.com/maps/place/Lontong+Balap+Asli+Pak+Gendut+(Tidak+Buka+Cabang)/@-7.2598405,112.7368492,17z/data=!3m1!4b1!4m6!3m5!1s0x2dd7f95d917c4fdf:0x49db77b7799abc54!8m2!3d-7.2598405!4d112.7368492!16s%2Fg%2F11c3yv_b3t?authuser=0&amp;hl=en&amp;entry=ttu&amp;g_ep=EgoyMDI2MDYwMy4xIKXMDSoASAFQAw%3D%3D" TargetMode="External"/><Relationship Id="rId136" Type="http://schemas.openxmlformats.org/officeDocument/2006/relationships/hyperlink" Target="https://www.google.com/maps/place/Sentra+Wisata+Kuliner+Karah/@-7.3094548,112.7196133,17z/data=!3m1!4b1!4m6!3m5!1s0x2dd7fb7e454cd07f:0xaa34624d82b54c19!8m2!3d-7.3094548!4d112.7196133!16s%2Fg%2F1jgm4c3s7?authuser=0&amp;hl=en&amp;entry=ttu&amp;g_ep=EgoyMDI2MDYwMy4xIKXMDSoASAFQAw%3D%3D" TargetMode="External"/><Relationship Id="rId135" Type="http://schemas.openxmlformats.org/officeDocument/2006/relationships/hyperlink" Target="https://www.google.com/maps/place/Culinary+Mulyorejo/@-7.2627234,112.7854336,17z/data=!3m1!4b1!4m6!3m5!1s0x2dd7f98adda85795:0xd4fba72d473d51f8!8m2!3d-7.2627234!4d112.7854336!16s%2Fg%2F11clydq8tc?authuser=0&amp;hl=en&amp;entry=ttu&amp;g_ep=EgoyMDI2MDYwMy4xIKXMDSoASAFQAw%3D%3D" TargetMode="External"/><Relationship Id="rId134" Type="http://schemas.openxmlformats.org/officeDocument/2006/relationships/hyperlink" Target="https://www.google.com/maps/place/Culinary+Sentra+Dharmawangsa+%2F+Hokky+Open+24+Hours/@-7.2673172,112.7561795,17z/data=!3m1!4b1!4m6!3m5!1s0x2dd7fbd60d244851:0x1bd60c87ef84a349!8m2!3d-7.2673172!4d112.7561795!16s%2Fg%2F11b69bcrbv?authuser=0&amp;hl=en&amp;entry=ttu&amp;g_ep=EgoyMDI2MDYwMy4xIKXMDSoASAFQAw%3D%3D" TargetMode="External"/><Relationship Id="rId133" Type="http://schemas.openxmlformats.org/officeDocument/2006/relationships/hyperlink" Target="https://www.google.com/maps/place/Warung+Kongdhe+Mbak+May/@-7.2512658,112.7364891,17z/data=!3m1!4b1!4m6!3m5!1s0x2dd7f9419bed8f2d:0x22366c9d09ffdbec!8m2!3d-7.2512658!4d112.7364891!16s%2Fg%2F11c2l9mmzf?authuser=0&amp;hl=en&amp;entry=ttu&amp;g_ep=EgoyMDI2MDYwMy4xIKXMDSoASAFQAw%3D%3D" TargetMode="External"/><Relationship Id="rId172" Type="http://schemas.openxmlformats.org/officeDocument/2006/relationships/hyperlink" Target="https://www.google.com/maps/place/Handayani+Garden/data=!4m7!3m6!1s0x2dd7fb0463db3855:0xf278576ae90ad61e!8m2!3d-7.314033!4d112.756009!16s%2Fg%2F1tf138vp!19sChIJVTjbYwT71y0RHtYK6WpXePI?authuser=0&amp;hl=en&amp;rclk=1" TargetMode="External"/><Relationship Id="rId171" Type="http://schemas.openxmlformats.org/officeDocument/2006/relationships/hyperlink" Target="https://www.google.com/maps/place/Arumanis+Restaurant/data=!4m7!3m6!1s0x2dd7fbde78bbd497:0x855e861ef7d59ea6!8m2!3d-7.2714753!4d112.7406384!16s%2Fg%2F1tg841mt!19sChIJl9S7eN771y0Rpp7V9x6GXoU?authuser=0&amp;hl=en&amp;rclk=1" TargetMode="External"/><Relationship Id="rId170" Type="http://schemas.openxmlformats.org/officeDocument/2006/relationships/hyperlink" Target="https://www.google.com/maps/place/Makan+Kitchen+Surabaya/data=!4m7!3m6!1s0x2dd7f90ad1df2373:0x25deb57115e7d4f6!8m2!3d-7.2569375!4d112.7365341!16s%2Fg%2F11n0rt2d9n!19sChIJcyPf0Qr51y0R9tTnFXG13iU?authuser=0&amp;hl=en&amp;rclk=1" TargetMode="External"/><Relationship Id="rId165" Type="http://schemas.openxmlformats.org/officeDocument/2006/relationships/hyperlink" Target="https://www.google.com/maps/place/Lontong+Balap+Rajawali/data=!4m7!3m6!1s0x2dd7f92323cea88f:0x4eb4c0a88bb143a2!8m2!3d-7.2357576!4d112.7350678!16s%2Fg%2F1pzwn297r!19sChIJj6jOIyP51y0RokOxi6jAtE4?authuser=0&amp;hl=en&amp;rclk=1" TargetMode="External"/><Relationship Id="rId164" Type="http://schemas.openxmlformats.org/officeDocument/2006/relationships/hyperlink" Target="https://www.google.com/maps/place/Wisata+Kuliner+Malam+Surabaya/@-7.268225,112.6652151,17z/data=!3m1!4b1!4m6!3m5!1s0x2dd7fe7e4af91e69:0x8cbf07926f00c7e3!8m2!3d-7.268225!4d112.6652151!16s%2Fg%2F11dxkw4zbm?authuser=0&amp;hl=en&amp;entry=ttu&amp;g_ep=EgoyMDI2MDYwMy4xIKXMDSoASAFQAw%3D%3D" TargetMode="External"/><Relationship Id="rId163" Type="http://schemas.openxmlformats.org/officeDocument/2006/relationships/hyperlink" Target="https://www.google.com/maps/place/Sentra+Wisata+Kuliner+Penjaringan+Sari/data=!4m7!3m6!1s0x2dd7fbf273895c7d:0x84edb54b4015d558!8m2!3d-7.3221139!4d112.7839191!16s%2Fg%2F11smh6k2yp!19sChIJfVyJc_L71y0RWNUVQEu17YQ?authuser=0&amp;hl=en&amp;rclk=1" TargetMode="External"/><Relationship Id="rId162" Type="http://schemas.openxmlformats.org/officeDocument/2006/relationships/hyperlink" Target="https://www.google.com/maps/place/Nasi+Cumi+Pasar+Atom+Ibu+Atun/data=!4m7!3m6!1s0x2dd7f916c0386219:0x6208b23019ab88c5!8m2!3d-7.2406074!4d112.7436269!16s%2Fg%2F11b6d75vkh!19sChIJGWI4wBb51y0RxYirGTCyCGI?authuser=0&amp;hl=en&amp;rclk=1" TargetMode="External"/><Relationship Id="rId169" Type="http://schemas.openxmlformats.org/officeDocument/2006/relationships/hyperlink" Target="https://www.google.com/maps/place/Kahyangan+Resto/@-7.2926497,112.6545787,17z/data=!3m1!4b1!4m6!3m5!1s0x2dd7fdb810b4e1d3:0x656c90b84eb5f01f!8m2!3d-7.2926497!4d112.6545787!16s%2Fg%2F1hhnf_gmx?authuser=0&amp;hl=en&amp;entry=ttu&amp;g_ep=EgoyMDI2MDYwMy4xIKXMDSoASAFQAw%3D%3D" TargetMode="External"/><Relationship Id="rId168" Type="http://schemas.openxmlformats.org/officeDocument/2006/relationships/hyperlink" Target="https://www.google.com/maps/place/Nasi+Babat+Pegirian/data=!4m7!3m6!1s0x2dd7f91df9900001:0x9a2efc279eb74131!8m2!3d-7.2269964!4d112.7455875!16s%2Fg%2F11f03m_n2q!19sChIJAQCQ-R351y0RMUG3nif8Lpo?authuser=0&amp;hl=en&amp;rclk=1" TargetMode="External"/><Relationship Id="rId167" Type="http://schemas.openxmlformats.org/officeDocument/2006/relationships/hyperlink" Target="https://www.google.com/maps/place/Sentra+Wisata+Kuliner+Wonorejo/@-7.312417,112.7887406,17z/data=!3m1!4b1!4m6!3m5!1s0x2dd7fa8d1db0c63b:0x6ebf219096165b95!8m2!3d-7.312417!4d112.7887406!16s%2Fg%2F11ggbrkqhp?authuser=0&amp;hl=en&amp;entry=ttu&amp;g_ep=EgoyMDI2MDYwMy4xIKXMDSoASAFQAw%3D%3D" TargetMode="External"/><Relationship Id="rId166" Type="http://schemas.openxmlformats.org/officeDocument/2006/relationships/hyperlink" Target="https://www.google.com/maps/place/Depot+Bu+Rudy+Anjasmoro/data=!4m7!3m6!1s0x2dd7fc0eee0d4e31:0x1a0258150efbd999!8m2!3d-7.2586366!4d112.7288035!16s%2Fg%2F1hc4hbb9v!19sChIJMU4N7g781y0Rmdn7DhVYAho?authuser=0&amp;hl=en&amp;rclk=1" TargetMode="External"/><Relationship Id="rId161" Type="http://schemas.openxmlformats.org/officeDocument/2006/relationships/hyperlink" Target="https://www.google.com/maps/place/ETC+(Entertainment+Town+Center)/@-7.3129219,112.7067429,17z/data=!3m1!4b1!4m6!3m5!1s0x2dd7fc868ee38c89:0xbcb1affdceae7e38!8m2!3d-7.3129219!4d112.7067429!16s%2Fg%2F11fd72c34_?authuser=0&amp;hl=en&amp;entry=ttu&amp;g_ep=EgoyMDI2MDYwMy4xIKXMDSoASAFQAw%3D%3D" TargetMode="External"/><Relationship Id="rId160" Type="http://schemas.openxmlformats.org/officeDocument/2006/relationships/hyperlink" Target="https://www.google.com/maps/place/Lontong+Kupang+Bu+Wito/data=!4m7!3m6!1s0x2dd7fb1c3e42e9df:0x75ad63c35cf94c09!8m2!3d-7.3206474!4d112.7586813!16s%2Fg%2F11cmff_f4b!19sChIJ3-lCPhz71y0RCUz5XMNjrXU?authuser=0&amp;hl=en&amp;rclk=1" TargetMode="External"/><Relationship Id="rId159" Type="http://schemas.openxmlformats.org/officeDocument/2006/relationships/hyperlink" Target="https://www.google.com/maps/place/Wisata+Kuliner+Jajar+Tunggal+Surabaya/@-7.3138735,112.7006293,17z/data=!3m1!4b1!4m6!3m5!1s0x2dd7fc8b73ebe583:0xebfbce1eacc9db20!8m2!3d-7.3138735!4d112.7006293!16s%2Fg%2F11bx4bcq6z?authuser=0&amp;hl=en&amp;entry=ttu&amp;g_ep=EgoyMDI2MDYwMy4xIKXMDSoASAFQAw%3D%3D" TargetMode="External"/><Relationship Id="rId154" Type="http://schemas.openxmlformats.org/officeDocument/2006/relationships/hyperlink" Target="https://www.google.com/maps/place/Sentra+Wisata+Kuliner+(SWK)+PEGIRIAN/@-7.2287568,112.7456364,17z/data=!3m1!4b1!4m6!3m5!1s0x2dd7f9d207616671:0x7701b927a73ded41!8m2!3d-7.2287568!4d112.7456364!16s%2Fg%2F11hzm043g6?authuser=0&amp;hl=en&amp;entry=ttu&amp;g_ep=EgoyMDI2MDYwMy4xIKXMDSoASAFQAw%3D%3D" TargetMode="External"/><Relationship Id="rId153" Type="http://schemas.openxmlformats.org/officeDocument/2006/relationships/hyperlink" Target="https://www.google.com/maps/place/Zangrandi+Ice+Cream+-+Yos+Sudarso/data=!4m7!3m6!1s0x2dd7f963c5e023b5:0x1c6d9f1e4bb8fbbb!8m2!3d-7.2634139!4d112.7461219!16s%2Fg%2F1hc15fzln!19sChIJtSPgxWP51y0Ru_u4Sx6fbRw?authuser=0&amp;hl=en&amp;rclk=1" TargetMode="External"/><Relationship Id="rId152" Type="http://schemas.openxmlformats.org/officeDocument/2006/relationships/hyperlink" Target="https://www.google.com/maps/place/Wisata+Kuliner+Tanah+Merah/data=!4m7!3m6!1s0x2dd7f9ab60aa8085:0x305de8d002dd4d1a!8m2!3d-7.2266081!4d112.7684107!16s%2Fg%2F11cjj09sbv!19sChIJhYCqYKv51y0RGk3dAtDoXTA?authuser=0&amp;hl=en&amp;rclk=1" TargetMode="External"/><Relationship Id="rId151" Type="http://schemas.openxmlformats.org/officeDocument/2006/relationships/hyperlink" Target="https://www.google.com/maps/place/Empal+Pengampon/data=!4m7!3m6!1s0x2dd7f9132d273a15:0xf355c54ff83938aa!8m2!3d-7.2470413!4d112.747019!16s%2Fg%2F1hc17lb1_!19sChIJFTonLRP51y0Rqjg5-E_FVfM?authuser=0&amp;hl=en&amp;rclk=1" TargetMode="External"/><Relationship Id="rId158" Type="http://schemas.openxmlformats.org/officeDocument/2006/relationships/hyperlink" Target="https://www.google.com/maps/place/Sentra+Wisata+Kuliner+Manukan+Lor/data=!4m7!3m6!1s0x2dd7fe630796250b:0x163b7ff9d7a96d83!8m2!3d-7.2594155!4d112.6633096!16s%2Fg%2F11bztf67d6!19sChIJCyWWB2P-1y0Rg22p1_l_OxY?authuser=0&amp;hl=en&amp;rclk=1" TargetMode="External"/><Relationship Id="rId157" Type="http://schemas.openxmlformats.org/officeDocument/2006/relationships/hyperlink" Target="https://www.google.com/maps/place/Sentra+Wisata+Kuliner+Indrapura/data=!4m7!3m6!1s0x2dd7f93eea7b3f93:0xcc4ae4320a69f8c0!8m2!3d-7.2438092!4d112.7364089!16s%2Fg%2F11cp7lth17!19sChIJkz976j751y0RwPhpCjLkSsw?authuser=0&amp;hl=en&amp;rclk=1" TargetMode="External"/><Relationship Id="rId156" Type="http://schemas.openxmlformats.org/officeDocument/2006/relationships/hyperlink" Target="https://www.google.com/maps/place/Sentra+Wisata+Kuliner+Ketintang/@-7.3185238,112.7295739,17z/data=!3m1!4b1!4m6!3m5!1s0x2dd7fb6fd1f49689:0xaa3ac49d4d092f61!8m2!3d-7.3185238!4d112.7295739!16s%2Fg%2F11cm0scc0k?authuser=0&amp;hl=en&amp;entry=ttu&amp;g_ep=EgoyMDI2MDYwMy4xIKXMDSoASAFQAw%3D%3D" TargetMode="External"/><Relationship Id="rId155" Type="http://schemas.openxmlformats.org/officeDocument/2006/relationships/hyperlink" Target="https://www.google.com/maps/place/Sentra+Kuliner+RMI/data=!4m7!3m6!1s0x2dd7fbb0dca5f7c1:0xed69f649c1f79788!8m2!3d-7.295064!4d112.7612661!16s%2Fg%2F11bwfl4z6n!19sChIJwfel3LD71y0RiJf3wUn2ae0?authuser=0&amp;hl=en&amp;rclk=1" TargetMode="External"/><Relationship Id="rId40" Type="http://schemas.openxmlformats.org/officeDocument/2006/relationships/hyperlink" Target="https://www.google.com/maps/place/Borre+Cafe/@-7.2693766,112.7737631,17z/data=!3m1!4b1!4m6!3m5!1s0x2dd7fbd3193d3c73:0x8f6c534a6c183acd!8m2!3d-7.2693766!4d112.7737631!16s%2Fg%2F11szbz6526?authuser=0&amp;hl=en&amp;entry=ttu&amp;g_ep=EgoyMDI2MDYwMy4xIKXMDSoASAFQAw%3D%3D" TargetMode="External"/><Relationship Id="rId42" Type="http://schemas.openxmlformats.org/officeDocument/2006/relationships/hyperlink" Target="https://www.google.com/maps/place/Kopi+Calf+Signature+Tunjungan+Surabaya/@-7.2672692,112.7457654,17z/data=!3m1!4b1!4m6!3m5!1s0x2dd7fb34c2ca4047:0x1434efb9ce6345e0!8m2!3d-7.2672692!4d112.7457654!16s%2Fg%2F11y4lr38hd?authuser=0&amp;hl=en&amp;entry=ttu&amp;g_ep=EgoyMDI2MDYwMy4xIKXMDSoASAFQAw%3D%3D" TargetMode="External"/><Relationship Id="rId41" Type="http://schemas.openxmlformats.org/officeDocument/2006/relationships/hyperlink" Target="https://www.google.com/maps/place/Kannely+Cafe+%26+Dining/@-7.2785081,112.8079088,17z/data=!3m1!4b1!4m6!3m5!1s0x2dd7fb9565eb185f:0x4f15b75b124a2f34!8m2!3d-7.2785081!4d112.8079088!16s%2Fg%2F11l6ywgqq7?authuser=0&amp;hl=en&amp;entry=ttu&amp;g_ep=EgoyMDI2MDYwMy4xIKXMDSoASAFQAw%3D%3D" TargetMode="External"/><Relationship Id="rId44" Type="http://schemas.openxmlformats.org/officeDocument/2006/relationships/hyperlink" Target="https://www.google.com/maps/place/Titik+Tengah+Surabaya/@-7.2677313,112.7339446,17z/data=!3m1!4b1!4m6!3m5!1s0x2dd7fb736e844f45:0x7cace86772822696!8m2!3d-7.2677313!4d112.7339446!16s%2Fg%2F11llcw3_fj?authuser=0&amp;hl=en&amp;entry=ttu&amp;g_ep=EgoyMDI2MDYwMy4xIKXMDSoASAFQAw%3D%3D" TargetMode="External"/><Relationship Id="rId43" Type="http://schemas.openxmlformats.org/officeDocument/2006/relationships/hyperlink" Target="https://www.google.com/maps/place/SURABAYA+COFFEE/@-7.2374956,112.7206849,17z/data=!3m1!4b1!4m6!3m5!1s0x2dd7f9600b4d7437:0x1c036ee4a56826ed!8m2!3d-7.2374956!4d112.7206849!16s%2Fg%2F11gk155q7x?authuser=0&amp;hl=en&amp;entry=ttu&amp;g_ep=EgoyMDI2MDYwMy4xIKXMDSoASAFQAw%3D%3D" TargetMode="External"/><Relationship Id="rId46" Type="http://schemas.openxmlformats.org/officeDocument/2006/relationships/hyperlink" Target="https://www.google.com/maps/place/Cafe+B.ARU/@-7.288892,112.734595,17z/data=!3m1!4b1!4m6!3m5!1s0x2dd7fb64cce2caa1:0x709aa53cf94c0da2!8m2!3d-7.288892!4d112.734595!16s%2Fg%2F11k9d48hy_?authuser=0&amp;hl=en&amp;entry=ttu&amp;g_ep=EgoyMDI2MDYwMy4xIKXMDSoASAFQAw%3D%3D" TargetMode="External"/><Relationship Id="rId45" Type="http://schemas.openxmlformats.org/officeDocument/2006/relationships/hyperlink" Target="https://www.google.com/maps/place/Glossus+Coffee/@-7.3351601,112.6993355,17z/data=!3m1!4b1!4m6!3m5!1s0x2dd7fdd37a492f61:0x63a1b201c80dc45d!8m2!3d-7.3351601!4d112.6993355!16s%2Fg%2F11q28byzp8?authuser=0&amp;hl=en&amp;entry=ttu&amp;g_ep=EgoyMDI2MDYwMy4xIKXMDSoASAFQAw%3D%3D" TargetMode="External"/><Relationship Id="rId48" Type="http://schemas.openxmlformats.org/officeDocument/2006/relationships/hyperlink" Target="https://www.google.com/maps/place/Zybrick+Coffee+%26+Cantina/@-7.3397275,112.7351597,17z/data=!3m1!4b1!4m6!3m5!1s0x2dd7fb48ef8437a5:0xbada1c81486b5bfc!8m2!3d-7.3397275!4d112.7351597!16s%2Fg%2F11c48sdmb0?authuser=0&amp;hl=en&amp;entry=ttu&amp;g_ep=EgoyMDI2MDYwMy4xIKXMDSoASAFQAw%3D%3D" TargetMode="External"/><Relationship Id="rId47" Type="http://schemas.openxmlformats.org/officeDocument/2006/relationships/hyperlink" Target="https://www.google.com/maps/place/Haewoo+One+Stop+Korean+Food+-+Dharmahusada+Indah+1/@-7.2725651,112.773655,17z/data=!3m1!4b1!4m6!3m5!1s0x2dd7fbe265170721:0xf93887d070261e8e!8m2!3d-7.2725651!4d112.773655!16s%2Fg%2F11p61px1gw?authuser=0&amp;hl=en&amp;entry=ttu&amp;g_ep=EgoyMDI2MDYwMy4xIKXMDSoASAFQAw%3D%3D" TargetMode="External"/><Relationship Id="rId49" Type="http://schemas.openxmlformats.org/officeDocument/2006/relationships/hyperlink" Target="https://www.google.com/maps/place/De'Oasis+Cafe+Eatery/@-7.2629966,112.7645719,17z/data=!3m1!4b1!4m6!3m5!1s0x2dd7f92375ba161d:0xf18309d2c115d2f6!8m2!3d-7.2629966!4d112.7645719!16s%2Fg%2F11v9z7qjgz?authuser=0&amp;hl=en&amp;entry=ttu&amp;g_ep=EgoyMDI2MDYwMy4xIKXMDSoASAFQAw%3D%3D" TargetMode="External"/><Relationship Id="rId31" Type="http://schemas.openxmlformats.org/officeDocument/2006/relationships/hyperlink" Target="https://www.google.com/maps/place/Bunbee+Korean+Bakery+and+Cafe/@-7.288463,112.731333,17z/data=!3m1!4b1!4m6!3m5!1s0x2dd7fb3fea9269c7:0xe5998872582d503a!8m2!3d-7.288463!4d112.731333!16s%2Fg%2F11qp4ml4c_?authuser=0&amp;hl=en&amp;entry=ttu&amp;g_ep=EgoyMDI2MDYwMy4xIKXMDSoASAFQAw%3D%3D" TargetMode="External"/><Relationship Id="rId30" Type="http://schemas.openxmlformats.org/officeDocument/2006/relationships/hyperlink" Target="https://www.google.com/maps/place/Brown+Bear+Bakery+Cafe/@-7.2921617,112.7153273,17z/data=!3m1!4b1!4m6!3m5!1s0x2dd7fbac3f56901b:0x6cd10ae403c0d0fe!8m2!3d-7.2921617!4d112.7153273!16s%2Fg%2F11xp31lyn8?authuser=0&amp;hl=en&amp;entry=ttu&amp;g_ep=EgoyMDI2MDYwMy4xIKXMDSoASAFQAw%3D%3D" TargetMode="External"/><Relationship Id="rId33" Type="http://schemas.openxmlformats.org/officeDocument/2006/relationships/hyperlink" Target="https://www.google.com/maps/place/Picaroll+Cafe+%26+Bakery/@-7.2888502,112.7529441,17z/data=!3m1!4b1!4m6!3m5!1s0x2dd7fbbade6eebe1:0x42977d4ff2d3ffcd!8m2!3d-7.2888502!4d112.7529441!16s%2Fg%2F11tc2wwf1m?authuser=0&amp;hl=en&amp;entry=ttu&amp;g_ep=EgoyMDI2MDYwMy4xIKXMDSoASAFQAw%3D%3D" TargetMode="External"/><Relationship Id="rId32" Type="http://schemas.openxmlformats.org/officeDocument/2006/relationships/hyperlink" Target="https://www.google.com/maps/place/MOOGS+Coffee/@-7.3227956,112.780423,17z/data=!3m1!4b1!4m6!3m5!1s0x2dd7fb74824b6f21:0xc29b820c6ca22460!8m2!3d-7.3227956!4d112.780423!16s%2Fg%2F11h1hp5t3z?authuser=0&amp;hl=en&amp;entry=ttu&amp;g_ep=EgoyMDI2MDYwMy4xIKXMDSoASAFQAw%3D%3D" TargetMode="External"/><Relationship Id="rId35" Type="http://schemas.openxmlformats.org/officeDocument/2006/relationships/hyperlink" Target="https://www.google.com/maps/place/Shisha+Boss+Cafe+Surabaya/@-7.2790442,112.7373881,17z/data=!3m1!4b1!4m6!3m5!1s0x2dd7fb9369fada09:0x5f54f0073c2d47ca!8m2!3d-7.2790442!4d112.7373881!16s%2Fg%2F11ll_4bl0w?authuser=0&amp;hl=en&amp;entry=ttu&amp;g_ep=EgoyMDI2MDYwMy4xIKXMDSoASAFQAw%3D%3D" TargetMode="External"/><Relationship Id="rId34" Type="http://schemas.openxmlformats.org/officeDocument/2006/relationships/hyperlink" Target="https://www.google.com/maps/place/Jengki+Cafe/@-7.3375527,112.7204565,17z/data=!3m1!4b1!4m6!3m5!1s0x2dd7fb3d30b0cbe5:0x326aeff691c4326!8m2!3d-7.3375527!4d112.7204565!16s%2Fg%2F11h6lx_728?authuser=0&amp;hl=en&amp;entry=ttu&amp;g_ep=EgoyMDI2MDYwMy4xIKXMDSoASAFQAw%3D%3D" TargetMode="External"/><Relationship Id="rId37" Type="http://schemas.openxmlformats.org/officeDocument/2006/relationships/hyperlink" Target="https://www.google.com/maps/place/The+Cafe/@-7.2922611,112.7153526,17z/data=!3m1!4b1!4m6!3m5!1s0x2dd7fb8a752d7d39:0x5f2530aeda6198d8!8m2!3d-7.2922611!4d112.7153526!16s%2Fg%2F11g65bv5nb?authuser=0&amp;hl=en&amp;entry=ttu&amp;g_ep=EgoyMDI2MDYwMy4xIKXMDSoASAFQAw%3D%3D" TargetMode="External"/><Relationship Id="rId36" Type="http://schemas.openxmlformats.org/officeDocument/2006/relationships/hyperlink" Target="https://www.google.com/maps/place/Reldish+%7C+Casual+Caf%C3%A9/@-7.3235333,112.7430632,17z/data=!3m1!4b1!4m6!3m5!1s0x2dd7fb2d7ade4d9b:0x4ae47678458a857c!8m2!3d-7.3235333!4d112.7430632!16s%2Fg%2F11sqc697g0?authuser=0&amp;hl=en&amp;entry=ttu&amp;g_ep=EgoyMDI2MDYwMy4xIKXMDSoASAFQAw%3D%3D" TargetMode="External"/><Relationship Id="rId39" Type="http://schemas.openxmlformats.org/officeDocument/2006/relationships/hyperlink" Target="https://www.google.com/maps/place/ADA+APA+DENGAN+KOPI+-+AADK+TEGALSARI/@-7.2655585,112.738032,17z/data=!3m1!4b1!4m6!3m5!1s0x2dd7f91f6324b4e5:0x4f37e1b390f62dc7!8m2!3d-7.2655585!4d112.738032!16s%2Fg%2F11jcmf2730?authuser=0&amp;hl=en&amp;entry=ttu&amp;g_ep=EgoyMDI2MDYwMy4xIKXMDSoASAFQAw%3D%3D" TargetMode="External"/><Relationship Id="rId38" Type="http://schemas.openxmlformats.org/officeDocument/2006/relationships/hyperlink" Target="https://www.google.com/maps/place/NARCOS+COFFEE/@-7.258356,112.7487797,17z/data=!3m1!4b1!4m6!3m5!1s0x2dd7f99da3e2aef5:0x7c2be44d71c652a2!8m2!3d-7.258356!4d112.7487797!16s%2Fg%2F11qnkxql77?authuser=0&amp;hl=en&amp;entry=ttu&amp;g_ep=EgoyMDI2MDYwMy4xIKXMDSoASAFQAw%3D%3D" TargetMode="External"/><Relationship Id="rId20" Type="http://schemas.openxmlformats.org/officeDocument/2006/relationships/hyperlink" Target="https://www.google.com/maps/place/Coste+Coffee/@-7.2862409,112.7561595,17z/data=!3m1!4b1!4m6!3m5!1s0x2dd7fbae16ba6159:0xb106b6dc19401000!8m2!3d-7.2862409!4d112.7561595!16s%2Fg%2F11rzgwj_bd?authuser=0&amp;hl=en&amp;entry=ttu&amp;g_ep=EgoyMDI2MDYwMy4xIKXMDSoASAFQAw%3D%3D" TargetMode="External"/><Relationship Id="rId22" Type="http://schemas.openxmlformats.org/officeDocument/2006/relationships/hyperlink" Target="https://www.google.com/maps/place/Halaman+78/@-7.2564304,112.7434309,17z/data=!3m1!4b1!4m6!3m5!1s0x2dd7f94651674125:0x9248d36128b30aa9!8m2!3d-7.2564304!4d112.7434309!16s%2Fg%2F11mcrr_qw0?authuser=0&amp;hl=en&amp;entry=ttu&amp;g_ep=EgoyMDI2MDYwMy4xIKXMDSoASAFQAw%3D%3D" TargetMode="External"/><Relationship Id="rId21" Type="http://schemas.openxmlformats.org/officeDocument/2006/relationships/hyperlink" Target="https://www.google.com/maps/place/The+Oak+Tree+Surabaya/@-7.2808387,112.6968022,17z/data=!3m1!4b1!4m6!3m5!1s0x2dd7fd6a7d2bb3e3:0xd35448dd1d7417b!8m2!3d-7.2808387!4d112.6968022!16s%2Fg%2F11h70s73n0?authuser=0&amp;hl=en&amp;entry=ttu&amp;g_ep=EgoyMDI2MDYwMy4xIKXMDSoASAFQAw%3D%3D" TargetMode="External"/><Relationship Id="rId24" Type="http://schemas.openxmlformats.org/officeDocument/2006/relationships/hyperlink" Target="https://www.google.com/maps/place/Grandfather+Coffeeshop/@-7.2579476,112.7573536,17z/data=!3m1!4b1!4m6!3m5!1s0x2dd7f9798f58c959:0x7b3d395d91372f73!8m2!3d-7.2579476!4d112.7573536!16s%2Fg%2F11ckrhlylv?authuser=0&amp;hl=en&amp;entry=ttu&amp;g_ep=EgoyMDI2MDYwMy4xIKXMDSoASAFQAw%3D%3D" TargetMode="External"/><Relationship Id="rId23" Type="http://schemas.openxmlformats.org/officeDocument/2006/relationships/hyperlink" Target="https://www.google.com/maps/place/Seirama+Kafe/@-7.2587001,112.7828312,17z/data=!3m1!4b1!4m6!3m5!1s0x2dd7f94d14cc66a1:0xb305433d980803dc!8m2!3d-7.2587001!4d112.7828312!16s%2Fg%2F11ny0m53xr?authuser=0&amp;hl=en&amp;entry=ttu&amp;g_ep=EgoyMDI2MDYwMy4xIKXMDSoASAFQAw%3D%3D" TargetMode="External"/><Relationship Id="rId26" Type="http://schemas.openxmlformats.org/officeDocument/2006/relationships/hyperlink" Target="https://www.google.com/maps/place/BnD+Cafe/@-7.304145,112.7944034,17z/data=!3m1!4b1!4m6!3m5!1s0x2dd7fb09b50c6013:0x601723a863fbd01e!8m2!3d-7.304145!4d112.7944034!16s%2Fg%2F11j94q6nsw?authuser=0&amp;hl=en&amp;entry=ttu&amp;g_ep=EgoyMDI2MDYwMy4xIKXMDSoASAFQAw%3D%3D" TargetMode="External"/><Relationship Id="rId25" Type="http://schemas.openxmlformats.org/officeDocument/2006/relationships/hyperlink" Target="https://www.google.com/maps/place/Oh+Gelato+Cafe/@-7.2603778,112.7510049,17z/data=!3m1!4b1!4m6!3m5!1s0x2dd7f97b4a9375eb:0x8d4bf4d09eb6821e!8m2!3d-7.2603778!4d112.7510049!16s%2Fg%2F11c60f0lvn?authuser=0&amp;hl=en&amp;entry=ttu&amp;g_ep=EgoyMDI2MDYwMy4xIKXMDSoASAFQAw%3D%3D" TargetMode="External"/><Relationship Id="rId28" Type="http://schemas.openxmlformats.org/officeDocument/2006/relationships/hyperlink" Target="https://www.google.com/maps/place/Kateko+Surabaya/data=!4m7!3m6!1s0x2dd7fb639c34c7a7:0xe02af9595390bbcc!8m2!3d-7.2677841!4d112.7512513!16s%2Fg%2F11ft39hsbs!19sChIJp8c0nGP71y0RzLuQU1n5KuA?authuser=0&amp;hl=en&amp;rclk=1" TargetMode="External"/><Relationship Id="rId27" Type="http://schemas.openxmlformats.org/officeDocument/2006/relationships/hyperlink" Target="https://www.google.com/maps/place/Baradjawa+Coffee+-+Gayungsari/@-7.3314452,112.7181276,17z/data=!3m1!4b1!4m6!3m5!1s0x2dd7fbac66c3853f:0x5301133e58599b3c!8m2!3d-7.3314452!4d112.7181276!16s%2Fg%2F11t3dw6hq9?authuser=0&amp;hl=en&amp;entry=ttu&amp;g_ep=EgoyMDI2MDYwMy4xIKXMDSoASAFQAw%3D%3D" TargetMode="External"/><Relationship Id="rId29" Type="http://schemas.openxmlformats.org/officeDocument/2006/relationships/hyperlink" Target="https://www.google.com/maps/place/Brain+Coffee+Surabaya/@-7.3029544,112.7319984,17z/data=!3m1!4b1!4m6!3m5!1s0x2dd7fbe4a7ffdb87:0x8a817c8c06e14e25!8m2!3d-7.3029544!4d112.7319984!16s%2Fg%2F11f64cflhq?authuser=0&amp;hl=en&amp;entry=ttu&amp;g_ep=EgoyMDI2MDYwMy4xIKXMDSoASAFQAw%3D%3D" TargetMode="External"/><Relationship Id="rId11" Type="http://schemas.openxmlformats.org/officeDocument/2006/relationships/hyperlink" Target="https://www.google.com/maps/place/Redback+Specialty+Coffee/@-7.2934399,112.6854477,17z/data=!3m1!4b1!4m6!3m5!1s0x2dd7fc4134abf039:0xa81da5bd83a49fe0!8m2!3d-7.2934399!4d112.6854477!16s%2Fg%2F11dxdkhbmb?authuser=0&amp;hl=en&amp;entry=ttu&amp;g_ep=EgoyMDI2MDYwMy4xIKXMDSoASAFQAw%3D%3D" TargetMode="External"/><Relationship Id="rId10" Type="http://schemas.openxmlformats.org/officeDocument/2006/relationships/hyperlink" Target="https://www.google.com/maps/place/Calibre+Coffee+Roasters/@-7.2612075,112.7488144,17z/data=!3m1!4b1!4m6!3m5!1s0x2dd7f96484aa2e85:0x9a8add2fb2242a50!8m2!3d-7.2612075!4d112.7488144!16s%2Fg%2F11bvvzglbt?authuser=0&amp;hl=en&amp;entry=ttu&amp;g_ep=EgoyMDI2MDYwMy4xIKXMDSoASAFQAw%3D%3D" TargetMode="External"/><Relationship Id="rId13" Type="http://schemas.openxmlformats.org/officeDocument/2006/relationships/hyperlink" Target="https://www.google.com/maps/place/VERTE+Caf%C3%A9/@-7.2908503,112.7321814,17z/data=!3m1!4b1!4m6!3m5!1s0x2dd7fb49db045aa1:0x8d16112d94cedc3!8m2!3d-7.2908503!4d112.7321814!16s%2Fg%2F11p5s2qtrr?authuser=0&amp;hl=en&amp;entry=ttu&amp;g_ep=EgoyMDI2MDYwMy4xIKXMDSoASAFQAw%3D%3D" TargetMode="External"/><Relationship Id="rId12" Type="http://schemas.openxmlformats.org/officeDocument/2006/relationships/hyperlink" Target="https://www.google.com/maps/place/Andzero/@-7.3045468,112.768486,17z/data=!3m1!4b1!4m6!3m5!1s0x2dd7fb465757cab9:0x5db78d1d288272e5!8m2!3d-7.3045468!4d112.768486!16s%2Fg%2F11v007w6jf?authuser=0&amp;hl=en&amp;entry=ttu&amp;g_ep=EgoyMDI2MDYwMy4xIKXMDSoASAFQAw%3D%3D" TargetMode="External"/><Relationship Id="rId15" Type="http://schemas.openxmlformats.org/officeDocument/2006/relationships/hyperlink" Target="https://www.google.com/maps/place/Demandailing+Cafe/@-7.3225321,112.7423232,17z/data=!3m1!4b1!4m6!3m5!1s0x2dd7fb147ec16a17:0x627323705bdbc865!8m2!3d-7.3225321!4d112.7423232!16s%2Fg%2F11bt_h9mr_?authuser=0&amp;hl=en&amp;entry=ttu&amp;g_ep=EgoyMDI2MDYwMy4xIKXMDSoASAFQAw%3D%3D" TargetMode="External"/><Relationship Id="rId14" Type="http://schemas.openxmlformats.org/officeDocument/2006/relationships/hyperlink" Target="https://www.google.com/maps/place/Cw+Coffee+%26+Eatery+Surabaya/@-7.2689088,112.7385203,17z/data=!3m1!4b1!4m6!3m5!1s0x2dd7fb004f7274eb:0x1954f84eea9f98d0!8m2!3d-7.2689088!4d112.7385203!16s%2Fg%2F11w1qg_4st?authuser=0&amp;hl=en&amp;entry=ttu&amp;g_ep=EgoyMDI2MDYwMy4xIKXMDSoASAFQAw%3D%3D" TargetMode="External"/><Relationship Id="rId17" Type="http://schemas.openxmlformats.org/officeDocument/2006/relationships/hyperlink" Target="https://www.google.com/maps/place/Monopole+Coffee+Lab/@-7.2828488,112.6949386,17z/data=!3m1!4b1!4m6!3m5!1s0x2dd7fc16f115e1c1:0x23ffc9b695db7529!8m2!3d-7.2828488!4d112.6949386!16s%2Fg%2F11b6dg0cvf?authuser=0&amp;hl=en&amp;entry=ttu&amp;g_ep=EgoyMDI2MDYwMy4xIKXMDSoASAFQAw%3D%3D" TargetMode="External"/><Relationship Id="rId16" Type="http://schemas.openxmlformats.org/officeDocument/2006/relationships/hyperlink" Target="https://www.google.com/maps/place/Caturra+Espresso/@-7.2582493,112.7295048,17z/data=!3m1!4b1!4m6!3m5!1s0x2dd7f95ad04d011f:0xa79c2c899ffa251!8m2!3d-7.2582493!4d112.7295048!16s%2Fg%2F11btxklh9h?authuser=0&amp;hl=en&amp;entry=ttu&amp;g_ep=EgoyMDI2MDYwMy4xIKXMDSoASAFQAw%3D%3D" TargetMode="External"/><Relationship Id="rId19" Type="http://schemas.openxmlformats.org/officeDocument/2006/relationships/hyperlink" Target="https://www.google.com/maps/place/ONNI+House+Surabaya/@-7.2858283,112.7331216,17z/data=!3m1!4b1!4m6!3m5!1s0x2dd7fbec9d70db87:0x13b94624fef33e59!8m2!3d-7.2858283!4d112.7331216!16s%2Fg%2F11bx1yxzkb?authuser=0&amp;hl=en&amp;entry=ttu&amp;g_ep=EgoyMDI2MDYwMy4xIKXMDSoASAFQAw%3D%3D" TargetMode="External"/><Relationship Id="rId18" Type="http://schemas.openxmlformats.org/officeDocument/2006/relationships/hyperlink" Target="https://www.google.com/maps/place/ALECTA/@-7.2903816,112.7500112,17z/data=!3m1!4b1!4m6!3m5!1s0x2dd7f91d92314b61:0x5505aaf970acc5a5!8m2!3d-7.2903816!4d112.7500112!16s%2Fg%2F11rchrb06d?authuser=0&amp;hl=en&amp;entry=ttu&amp;g_ep=EgoyMDI2MDYwMy4xIKXMDSoASAFQAw%3D%3D" TargetMode="External"/><Relationship Id="rId84" Type="http://schemas.openxmlformats.org/officeDocument/2006/relationships/hyperlink" Target="https://www.google.com/maps/place/Sambang+Cafe+%26+Eatery/@-7.2613916,112.7479164,17z/data=!3m1!4b1!4m6!3m5!1s0x2dd7f966f3ad93b1:0x36958792108907e9!8m2!3d-7.2613916!4d112.7479164!16s%2Fg%2F11tfk9h143?authuser=0&amp;hl=en&amp;entry=ttu&amp;g_ep=EgoyMDI2MDYwMy4xIKXMDSoASAFQAw%3D%3D" TargetMode="External"/><Relationship Id="rId83" Type="http://schemas.openxmlformats.org/officeDocument/2006/relationships/hyperlink" Target="https://www.google.com/maps/place/TITIK+KUMPUL+SURABAYA+%28WARKOP+and+CAFE%29/data=!4m7!3m6!1s0x2dd7fdedec1c8e35:0x2f58a16a6e952f2!8m2!3d-7.2756367!4d112.7103356!16s%2Fg%2F11j7kr63nh!19sChIJNY4c7O391y0R8lLpphaK9QI?authuser=0&amp;hl=en&amp;rclk=1" TargetMode="External"/><Relationship Id="rId86" Type="http://schemas.openxmlformats.org/officeDocument/2006/relationships/hyperlink" Target="https://www.google.com/maps/place/FOREMORE+CRAB/@-7.3055842,112.780706,17z/data=!3m1!4b1!4m6!3m5!1s0x2dd7fbe8a01f44c3:0xe399ee19eca128fe!8m2!3d-7.3055842!4d112.780706!16s%2Fg%2F11lgnmzpb5?authuser=0&amp;hl=en&amp;entry=ttu&amp;g_ep=EgoyMDI2MDYwMy4xIKXMDSoASAFQAw%3D%3D" TargetMode="External"/><Relationship Id="rId85" Type="http://schemas.openxmlformats.org/officeDocument/2006/relationships/hyperlink" Target="https://www.google.com/maps/place/Onetwothree+Coffee%26Eatery/@-7.2639248,112.742266,17z/data=!3m1!4b1!4m6!3m5!1s0x2dd7f90032815087:0x8562cdf45d7b0d8!8m2!3d-7.2639248!4d112.742266!16s%2Fg%2F11y30hn6np?authuser=0&amp;hl=en&amp;entry=ttu&amp;g_ep=EgoyMDI2MDYwMy4xIKXMDSoASAFQAw%3D%3D" TargetMode="External"/><Relationship Id="rId88" Type="http://schemas.openxmlformats.org/officeDocument/2006/relationships/hyperlink" Target="https://www.google.com/maps/place/SAS+Cafe+N+Resto/@-7.2702897,112.7986384,17z/data=!3m1!4b1!4m6!3m5!1s0x2dd7fa1b34a93411:0x3eb563bd94c331eb!8m2!3d-7.2702897!4d112.7986384!16s%2Fg%2F11g_yml87?authuser=0&amp;hl=en&amp;entry=ttu&amp;g_ep=EgoyMDI2MDYwMy4xIKXMDSoASAFQAw%3D%3D" TargetMode="External"/><Relationship Id="rId87" Type="http://schemas.openxmlformats.org/officeDocument/2006/relationships/hyperlink" Target="https://www.google.com/maps/place/My+Kopi-O!+-+Grand+City+Mall+Surabaya/@-7.2618041,112.7503141,17z/data=!3m1!4b1!4m6!3m5!1s0x2dd7f9632b9464e3:0x94af9afe87f78f7f!8m2!3d-7.2618041!4d112.7503141!16s%2Fg%2F1pzrfcnxg?authuser=0&amp;hl=en&amp;entry=ttu&amp;g_ep=EgoyMDI2MDYwMy4xIKXMDSoASAFQAw%3D%3D" TargetMode="External"/><Relationship Id="rId89" Type="http://schemas.openxmlformats.org/officeDocument/2006/relationships/hyperlink" Target="https://www.google.com/maps/place/KICKSTART+BREW/data=!4m7!3m6!1s0x2dd7f9000a8d97df:0x668e390d7ca066b0!8m2!3d-7.2594696!4d112.7385639!16s%2Fg%2F11yqlp90m2!19sChIJ35eNCgD51y0RsGagfA05jmY?authuser=0&amp;hl=en&amp;rclk=1" TargetMode="External"/><Relationship Id="rId80" Type="http://schemas.openxmlformats.org/officeDocument/2006/relationships/hyperlink" Target="https://www.google.com/maps/place/LOKO+CAFE+STASIUN+GUBENG/@-7.2656872,112.7523443,17z/data=!3m1!4b1!4m6!3m5!1s0x2dd7fbd7e6dd7341:0x7cfc1dcd6af793ad!8m2!3d-7.2656872!4d112.7523443!16s%2Fg%2F11np7l316q?authuser=0&amp;hl=en&amp;entry=ttu&amp;g_ep=EgoyMDI2MDYwMy4xIKXMDSoASAFQAw%3D%3D" TargetMode="External"/><Relationship Id="rId82" Type="http://schemas.openxmlformats.org/officeDocument/2006/relationships/hyperlink" Target="https://www.google.com/maps/place/Otewekopi/@-7.2654984,112.7424313,17z/data=!3m1!4b1!4m6!3m5!1s0x2dd7f9b6fd6cbbf9:0xadf984276937048a!8m2!3d-7.2654984!4d112.7424313!16s%2Fg%2F11s0zfblpp?authuser=0&amp;hl=en&amp;entry=ttu&amp;g_ep=EgoyMDI2MDYwMy4xIKXMDSoASAFQAw%3D%3D" TargetMode="External"/><Relationship Id="rId81" Type="http://schemas.openxmlformats.org/officeDocument/2006/relationships/hyperlink" Target="https://www.google.com/maps/place/Cafe+Rooftop+Mibimibi/@-7.2638032,112.7173132,17z/data=!3m1!4b1!4m6!3m5!1s0x2dd7f9e724054b91:0xf13717e3a4986c97!8m2!3d-7.2638032!4d112.7173132!16s%2Fg%2F11f9v7p_wt?authuser=0&amp;hl=en&amp;entry=ttu&amp;g_ep=EgoyMDI2MDYwMy4xIKXMDSoASAFQAw%3D%3D" TargetMode="External"/><Relationship Id="rId73" Type="http://schemas.openxmlformats.org/officeDocument/2006/relationships/hyperlink" Target="https://www.google.com/maps/place/KARMENSEVE+Coffee+Shop/@-7.2704953,112.7609238,17z/data=!3m1!4b1!4m6!3m5!1s0x2dd7fbd49a32bf13:0xa41d1f0b078e68b1!8m2!3d-7.2704953!4d112.7609238!16s%2Fg%2F11bw_5mp3f?authuser=0&amp;hl=en&amp;entry=ttu&amp;g_ep=EgoyMDI2MDYwMy4xIKXMDSoASAFQAw%3D%3D" TargetMode="External"/><Relationship Id="rId72" Type="http://schemas.openxmlformats.org/officeDocument/2006/relationships/hyperlink" Target="https://www.google.com/maps/place/C12+Coffee+%26+Ride/@-7.2891827,112.7370669,17z/data=!3m1!4b1!4m6!3m5!1s0x2dd7fbf7a0a518af:0xf956a28be2a6a035!8m2!3d-7.2891827!4d112.7370669!16s%2Fg%2F11ny5bh1l2?authuser=0&amp;hl=en&amp;entry=ttu&amp;g_ep=EgoyMDI2MDYwMy4xIKXMDSoASAFQAw%3D%3D" TargetMode="External"/><Relationship Id="rId75" Type="http://schemas.openxmlformats.org/officeDocument/2006/relationships/hyperlink" Target="https://www.google.com/maps/place/Marshal+Brew+Coffee+Surabaya/@-7.2748483,112.6598294,17z/data=!3m1!4b1!4m6!3m5!1s0x2dd7fd295ea62707:0xbc8200af97740421!8m2!3d-7.2748483!4d112.6598294!16s%2Fg%2F11p7737wnq?authuser=0&amp;hl=en&amp;entry=ttu&amp;g_ep=EgoyMDI2MDYwMy4xIKXMDSoASAFQAw%3D%3D" TargetMode="External"/><Relationship Id="rId74" Type="http://schemas.openxmlformats.org/officeDocument/2006/relationships/hyperlink" Target="https://www.google.com/maps/place/SIA+COFFEE/@-7.288321,112.7088618,17z/data=!3m1!4b1!4m6!3m5!1s0x2dd7fd76ab275a47:0x6555b8a370311d3!8m2!3d-7.288321!4d112.7088618!16s%2Fg%2F11lt9ntjmh?authuser=0&amp;hl=en&amp;entry=ttu&amp;g_ep=EgoyMDI2MDYwMy4xIKXMDSoASAFQAw%3D%3D" TargetMode="External"/><Relationship Id="rId77" Type="http://schemas.openxmlformats.org/officeDocument/2006/relationships/hyperlink" Target="https://www.google.com/maps/place/Cup+of+Hope+Coffee/@-7.2890628,112.7345523,17z/data=!3m1!4b1!4m6!3m5!1s0x2dd7fb742c4ada25:0x8bb9fcbc12948a11!8m2!3d-7.2890628!4d112.7345523!16s%2Fg%2F11qvf66kp_?authuser=0&amp;hl=en&amp;entry=ttu&amp;g_ep=EgoyMDI2MDYwMy4xIKXMDSoASAFQAw%3D%3D" TargetMode="External"/><Relationship Id="rId76" Type="http://schemas.openxmlformats.org/officeDocument/2006/relationships/hyperlink" Target="https://www.google.com/maps/place/Aucafe+Specialty+Coffee+-+Manyar+Kertoarjo+3/data=!4m7!3m6!1s0x2dd7fb63ca20ea05:0xf9ea0b7af3fbd529!8m2!3d-7.2804783!4d112.7647157!16s%2Fg%2F11j9dbfplj!19sChIJBeogymP71y0RKdX783oL6vk?authuser=0&amp;hl=en&amp;rclk=1" TargetMode="External"/><Relationship Id="rId79" Type="http://schemas.openxmlformats.org/officeDocument/2006/relationships/hyperlink" Target="https://www.google.com/maps/place/The+Localist+Coffee+and+Bistro+Surabaya/@-7.2900085,112.7770857,17z/data=!3m1!4b1!4m6!3m5!1s0x2dd7fa46709f5de1:0x81476ba21ba403ee!8m2!3d-7.2900085!4d112.7770857!16s%2Fg%2F11b7w30tb_?authuser=0&amp;hl=en&amp;entry=ttu&amp;g_ep=EgoyMDI2MDYwMy4xIKXMDSoASAFQAw%3D%3D" TargetMode="External"/><Relationship Id="rId78" Type="http://schemas.openxmlformats.org/officeDocument/2006/relationships/hyperlink" Target="https://www.google.com/maps/place/DEJAVU/data=!4m7!3m6!1s0x2dd7f964f3215fdf:0x6e4c656f316f9727!8m2!3d-7.2925846!4d112.7512433!16s%2Fg%2F119vrtf56!19sChIJ318h82T51y0RJ5dvMW9lTG4?authuser=0&amp;hl=en&amp;rclk=1" TargetMode="External"/><Relationship Id="rId71" Type="http://schemas.openxmlformats.org/officeDocument/2006/relationships/hyperlink" Target="https://www.google.com/maps/place/Common+Grounds+-+Graha+Famili/@-7.2914316,112.6856682,17z/data=!3m1!4b1!4m6!3m5!1s0x2dd7fdbaf4f73723:0xb98bf12db65bc119!8m2!3d-7.2914316!4d112.6856682!16s%2Fg%2F11q30p4qgc?authuser=0&amp;hl=en&amp;entry=ttu&amp;g_ep=EgoyMDI2MDYwMy4xIKXMDSoASAFQAw%3D%3D" TargetMode="External"/><Relationship Id="rId70" Type="http://schemas.openxmlformats.org/officeDocument/2006/relationships/hyperlink" Target="https://www.google.com/maps/place/LITTLE+CAVE+hidden+coffee+bar/@-7.290993,112.7350497,17z/data=!3m1!4b1!4m6!3m5!1s0x2dd7fbad28ab64e3:0xda56da5e25ff17b1!8m2!3d-7.290993!4d112.7350497!16s%2Fg%2F11qy723dkk?authuser=0&amp;hl=en&amp;entry=ttu&amp;g_ep=EgoyMDI2MDYwMy4xIKXMDSoASAFQAw%3D%3D" TargetMode="External"/><Relationship Id="rId62" Type="http://schemas.openxmlformats.org/officeDocument/2006/relationships/hyperlink" Target="https://www.google.com/maps/place/Djavahaus+Coffee+and+Eatery/data=!4m7!3m6!1s0x2dd7f90fd879002b:0x7167762bebba0685!8m2!3d-7.2658737!4d112.7309841!16s%2Fg%2F11v095s9t_!19sChIJKwB52A_51y0RhQa66yt2Z3E?authuser=0&amp;hl=en&amp;rclk=1" TargetMode="External"/><Relationship Id="rId61" Type="http://schemas.openxmlformats.org/officeDocument/2006/relationships/hyperlink" Target="https://www.google.com/maps/place/V%C3%B6lks+Coffee+%7C+Specialty+Coffee/@-7.2927885,112.7342035,17z/data=!3m1!4b1!4m6!3m5!1s0x2dd7fbe99abf3bb9:0x671539d3a0411b44!8m2!3d-7.2927885!4d112.7342035!16s%2Fg%2F11cm0x4dpf?authuser=0&amp;hl=en&amp;entry=ttu&amp;g_ep=EgoyMDI2MDYwMy4xIKXMDSoASAFQAw%3D%3D" TargetMode="External"/><Relationship Id="rId64" Type="http://schemas.openxmlformats.org/officeDocument/2006/relationships/hyperlink" Target="https://www.google.com/maps/place/The+Little+Prince+Coffee/@-7.2860678,112.7345952,17z/data=!3m1!4b1!4m6!3m5!1s0x2dd7fb54c3b7472f:0x97ab40242a16c35d!8m2!3d-7.2860678!4d112.7345952!16s%2Fg%2F11qm6f9skf?authuser=0&amp;hl=en&amp;entry=ttu&amp;g_ep=EgoyMDI2MDYwMy4xIKXMDSoASAFQAw%3D%3D" TargetMode="External"/><Relationship Id="rId63" Type="http://schemas.openxmlformats.org/officeDocument/2006/relationships/hyperlink" Target="https://www.google.com/maps/place/Ultra+Coffee/@-7.291607,112.7296129,17z/data=!3m1!4b1!4m6!3m5!1s0x2dd7fbbc74716d63:0x4189e257d0a96962!8m2!3d-7.291607!4d112.7296129!16s%2Fg%2F11scjrdw1w?authuser=0&amp;hl=en&amp;entry=ttu&amp;g_ep=EgoyMDI2MDYwMy4xIKXMDSoASAFQAw%3D%3D" TargetMode="External"/><Relationship Id="rId66" Type="http://schemas.openxmlformats.org/officeDocument/2006/relationships/hyperlink" Target="https://www.google.com/maps/place/ADA+APA+DENGAN+KOPI+-+AADK+HAKIM/@-7.289975,112.7882303,17z/data=!3m1!4b1!4m6!3m5!1s0x2dd7fb9a2595290b:0x4032a42758c9c3a3!8m2!3d-7.289975!4d112.7882303!16s%2Fg%2F11jzb166v1?authuser=0&amp;hl=en&amp;entry=ttu&amp;g_ep=EgoyMDI2MDYwMy4xIKXMDSoASAFQAw%3D%3D" TargetMode="External"/><Relationship Id="rId65" Type="http://schemas.openxmlformats.org/officeDocument/2006/relationships/hyperlink" Target="https://www.google.com/maps/place/The+Gade+Coffee+%26+Gold+Surabaya/@-7.2834071,112.7463577,17z/data=!3m1!4b1!4m6!3m5!1s0x2dd7fb511fe5f48b:0x8a0303b1679bdccc!8m2!3d-7.2834071!4d112.7463577!16s%2Fg%2F11gy3hx2s5?authuser=0&amp;hl=en&amp;entry=ttu&amp;g_ep=EgoyMDI2MDYwMy4xIKXMDSoASAFQAw%3D%3D" TargetMode="External"/><Relationship Id="rId68" Type="http://schemas.openxmlformats.org/officeDocument/2006/relationships/hyperlink" Target="https://www.google.com/maps/place/Percent+BLACK+%25+Speciality+Coffee+Roastery+%26+Bar/@-7.2673827,112.7712047,17z/data=!3m1!4b1!4m6!3m5!1s0x2dd7fa29afeb2fc9:0x16de258b29369173!8m2!3d-7.2673827!4d112.7712047!16s%2Fg%2F11hd7ft6yn?authuser=0&amp;hl=en&amp;entry=ttu&amp;g_ep=EgoyMDI2MDYwMy4xIKXMDSoASAFQAw%3D%3D" TargetMode="External"/><Relationship Id="rId67" Type="http://schemas.openxmlformats.org/officeDocument/2006/relationships/hyperlink" Target="https://www.google.com/maps/place/GLOWSTICK+coffee+%26+eatery/@-7.2722449,112.7475207,17z/data=!3m1!4b1!4m6!3m5!1s0x2dd7fba23ef0440f:0x2f83035f795a713b!8m2!3d-7.2722449!4d112.7475207!16s%2Fg%2F11t4738kvl?authuser=0&amp;hl=en&amp;entry=ttu&amp;g_ep=EgoyMDI2MDYwMy4xIKXMDSoASAFQAw%3D%3D" TargetMode="External"/><Relationship Id="rId60" Type="http://schemas.openxmlformats.org/officeDocument/2006/relationships/hyperlink" Target="https://www.google.com/maps/place/TETRA+Coffee+%26+Eatery+-+Surabaya/data=!4m7!3m6!1s0x2dd7fb73b554413b:0x385bdc7442e7c05!8m2!3d-7.2782914!4d112.7532476!16s%2Fg%2F11x970s5yk!19sChIJO0FUtXP71y0RBXwuRMe9hQM?authuser=0&amp;hl=en&amp;rclk=1" TargetMode="External"/><Relationship Id="rId69" Type="http://schemas.openxmlformats.org/officeDocument/2006/relationships/hyperlink" Target="https://www.google.com/maps/place/Aluama+Coffee+Bar/data=!4m7!3m6!1s0x2dd7f979d17fbd23:0xd550a4b94fc1aee2!8m2!3d-7.2526441!4d112.7446897!16s%2Fg%2F11mpv8qr24!19sChIJI71_0Xn51y0R4q7BT7mkUNU?authuser=0&amp;hl=en&amp;rclk=1" TargetMode="External"/><Relationship Id="rId51" Type="http://schemas.openxmlformats.org/officeDocument/2006/relationships/hyperlink" Target="https://www.google.com/maps/place/Cafe+Teko+-+Menanggal/@-7.3423267,112.724097,17z/data=!3m1!4b1!4m6!3m5!1s0x2dd7fba292ae7755:0x9573375d6799d06d!8m2!3d-7.3423267!4d112.724097!16s%2Fg%2F11j7f_g4zp?authuser=0&amp;hl=en&amp;entry=ttu&amp;g_ep=EgoyMDI2MDYwMy4xIKXMDSoASAFQAw%3D%3D" TargetMode="External"/><Relationship Id="rId50" Type="http://schemas.openxmlformats.org/officeDocument/2006/relationships/hyperlink" Target="https://www.google.com/maps/place/Brunsj+Cafe/@-7.3129104,112.789429,17z/data=!3m1!4b1!4m6!3m5!1s0x2dd7fb77c8e9b9b3:0x39b1ecdb61eedc12!8m2!3d-7.3129104!4d112.789429!16s%2Fg%2F11s9y9n1mj?authuser=0&amp;hl=en&amp;entry=ttu&amp;g_ep=EgoyMDI2MDYwMy4xIKXMDSoASAFQAw%3D%3D" TargetMode="External"/><Relationship Id="rId53" Type="http://schemas.openxmlformats.org/officeDocument/2006/relationships/hyperlink" Target="https://www.google.com/maps/place/Seniman+Coffee+Trunojoyo/@-7.2848579,112.735288,17z/data=!3m1!4b1!4m6!3m5!1s0x2dd7fbb97ef9ce29:0x679f76365e6fe5c0!8m2!3d-7.2848579!4d112.735288!16s%2Fg%2F11lf3f_fhd?authuser=0&amp;hl=en&amp;entry=ttu&amp;g_ep=EgoyMDI2MDYwMy4xIKXMDSoASAFQAw%3D%3D" TargetMode="External"/><Relationship Id="rId52" Type="http://schemas.openxmlformats.org/officeDocument/2006/relationships/hyperlink" Target="https://www.google.com/maps/place/Time+Coffee/data=!4m7!3m6!1s0x2dd7fb7fa09aec37:0x81f05aaa156248ae!8m2!3d-7.3170094!4d112.7232219!16s%2Fg%2F11t2xwzt9y!19sChIJN-yaoH_71y0RrkhiFapa8IE?authuser=0&amp;hl=en&amp;rclk=1" TargetMode="External"/><Relationship Id="rId55" Type="http://schemas.openxmlformats.org/officeDocument/2006/relationships/hyperlink" Target="https://www.google.com/maps/place/Deckside+Lounge+%26+Cafe/@-7.2800527,112.7814105,17z/data=!3m1!4b1!4m6!3m5!1s0x2dd7fb62be784477:0xb5079bc1d5e8f087!8m2!3d-7.2800527!4d112.7814105!16s%2Fg%2F11fmdc6m87?authuser=0&amp;hl=en&amp;entry=ttu&amp;g_ep=EgoyMDI2MDYwMy4xIKXMDSoASAFQAw%3D%3D" TargetMode="External"/><Relationship Id="rId54" Type="http://schemas.openxmlformats.org/officeDocument/2006/relationships/hyperlink" Target="https://www.google.com/maps/place/Demandailing+Cafe+%26+Eatery+-+MERR/@-7.3204521,112.7806905,17z/data=!3m1!4b1!4m6!3m5!1s0x2dd7fb6f37973cd1:0x36b75e038efbb4aa!8m2!3d-7.3204521!4d112.7806905!16s%2Fg%2F11jdnpw5ty?authuser=0&amp;hl=en&amp;entry=ttu&amp;g_ep=EgoyMDI2MDYwMy4xIKXMDSoASAFQAw%3D%3D" TargetMode="External"/><Relationship Id="rId57" Type="http://schemas.openxmlformats.org/officeDocument/2006/relationships/hyperlink" Target="https://www.google.com/maps/place/DE+BUN/@-7.2745876,112.7500753,17z/data=!3m1!4b1!4m6!3m5!1s0x2dd7fb90f3c6ec2b:0x7ba9e1f529c6bcb0!8m2!3d-7.2745876!4d112.7500753!16s%2Fg%2F11fncs94_d?authuser=0&amp;hl=en&amp;entry=ttu&amp;g_ep=EgoyMDI2MDYwMy4xIKXMDSoASAFQAw%3D%3D" TargetMode="External"/><Relationship Id="rId56" Type="http://schemas.openxmlformats.org/officeDocument/2006/relationships/hyperlink" Target="https://www.google.com/maps/place/Kokkili+Cafe/@-7.2873325,112.655854,17z/data=!3m1!4b1!4m6!3m5!1s0x2dd7fd94a77ef4d7:0x797a6211d005c15e!8m2!3d-7.2873325!4d112.655854!16s%2Fg%2F11k58312j2?authuser=0&amp;hl=en&amp;entry=ttu&amp;g_ep=EgoyMDI2MDYwMy4xIKXMDSoASAFQAw%3D%3D" TargetMode="External"/><Relationship Id="rId59" Type="http://schemas.openxmlformats.org/officeDocument/2006/relationships/hyperlink" Target="https://www.google.com/maps/place/Kopi+Nako+Daur+Baur+-+Surabaya/@-7.2755699,112.7460441,17z/data=!3m1!4b1!4m6!3m5!1s0x2dd7fb1a57a7c373:0x158af67d017ebdef!8m2!3d-7.2755699!4d112.7460441!16s%2Fg%2F11l_0drb_w?authuser=0&amp;hl=en&amp;entry=ttu&amp;g_ep=EgoyMDI2MDYwMy4xIKXMDSoASAFQAw%3D%3D" TargetMode="External"/><Relationship Id="rId58" Type="http://schemas.openxmlformats.org/officeDocument/2006/relationships/hyperlink" Target="https://www.google.com/maps/place/Coffee+TGC+basra/@-7.2644572,112.7416518,17z/data=!3m1!4b1!4m6!3m5!1s0x2dd7f9b4ecd5dadf:0x69df05aa0d2280e4!8m2!3d-7.2644572!4d112.7416518!16s%2Fg%2F11gm8vjhyy?authuser=0&amp;hl=en&amp;entry=ttu&amp;g_ep=EgoyMDI2MDYwMy4xIKXMDSoASAFQAw%3D%3D" TargetMode="External"/><Relationship Id="rId107" Type="http://schemas.openxmlformats.org/officeDocument/2006/relationships/hyperlink" Target="https://www.google.com/maps/place/Noia+Coffee+%26+Co/@-7.3296,112.7874017,17z/data=!3m1!4b1!4m6!3m5!1s0x2dd7fb37d47e5a5f:0x4a5e761e5ee432e4!8m2!3d-7.3296!4d112.7874017!16s%2Fg%2F11vkzlzmbm?authuser=0&amp;hl=en&amp;entry=ttu&amp;g_ep=EgoyMDI2MDYwMy4xIKXMDSoASAFQAw%3D%3D" TargetMode="External"/><Relationship Id="rId106" Type="http://schemas.openxmlformats.org/officeDocument/2006/relationships/hyperlink" Target="https://www.google.com/maps/place/Spread+Cafe+by+Tootoomoo/@-7.2896458,112.7348815,17z/data=!3m1!4b1!4m6!3m5!1s0x2dd7fb9fdcc83a8d:0x16a4c447d48bbd04!8m2!3d-7.2896458!4d112.7348815!16s%2Fg%2F11sjlqx6yw?authuser=0&amp;hl=en&amp;entry=ttu&amp;g_ep=EgoyMDI2MDYwMy4xIKXMDSoASAFQAw%3D%3D" TargetMode="External"/><Relationship Id="rId105" Type="http://schemas.openxmlformats.org/officeDocument/2006/relationships/hyperlink" Target="https://www.google.com/maps/place/Toko+Kopi+TUKU+-+SPBU+bp+Gubeng/@-7.2729095,112.7477386,17z/data=!3m1!4b1!4m6!3m5!1s0x2dd7fb75c4e64cd5:0xb0e1c4b6d27fdc56!8m2!3d-7.2729095!4d112.7477386!16s%2Fg%2F11qh7gstyv?authuser=0&amp;hl=en&amp;entry=ttu&amp;g_ep=EgoyMDI2MDYwMy4xIKXMDSoASAFQAw%3D%3D" TargetMode="External"/><Relationship Id="rId104" Type="http://schemas.openxmlformats.org/officeDocument/2006/relationships/hyperlink" Target="https://www.google.com/maps/place/Fifteenth+Coffee+Kota+Lama/@-7.2371665,112.7366854,17z/data=!3m1!4b1!4m6!3m5!1s0x2dd7f9b3993beaf9:0xbea16fad9924d02a!8m2!3d-7.2371665!4d112.7366854!16s%2Fg%2F11lf5mqknp?authuser=0&amp;hl=en&amp;entry=ttu&amp;g_ep=EgoyMDI2MDYwMy4xIKXMDSoASAFQAw%3D%3D" TargetMode="External"/><Relationship Id="rId109" Type="http://schemas.openxmlformats.org/officeDocument/2006/relationships/hyperlink" Target="https://www.google.com/maps/place/Le+Cafe+Gourmand/@-7.295938,112.6760177,17z/data=!3m1!4b1!4m6!3m5!1s0x2dd7f96011b013d3:0x5a98f2b925739a7c!8m2!3d-7.295938!4d112.6760177!16s%2Fg%2F11btmrf0kv?authuser=0&amp;hl=en&amp;entry=ttu&amp;g_ep=EgoyMDI2MDYwMy4xIKXMDSoASAFQAw%3D%3D" TargetMode="External"/><Relationship Id="rId108" Type="http://schemas.openxmlformats.org/officeDocument/2006/relationships/hyperlink" Target="https://www.google.com/maps/place/BOBER+cafe+%26+ruang+komunitas/@-7.3236547,112.741669,17z/data=!3m1!4b1!4m6!3m5!1s0x2dd7fb148d0d5523:0x58e784062584bac5!8m2!3d-7.3236547!4d112.741669!16s%2Fg%2F11gh3bmk8p?authuser=0&amp;hl=en&amp;entry=ttu&amp;g_ep=EgoyMDI2MDYwMy4xIKXMDSoASAFQAw%3D%3D" TargetMode="External"/><Relationship Id="rId103" Type="http://schemas.openxmlformats.org/officeDocument/2006/relationships/hyperlink" Target="https://www.google.com/maps/place/Sult+Cafe+%26+Eatery/@-7.2901885,112.7885638,17z/data=!3m1!4b1!4m6!3m5!1s0x2dd7fbad592f641f:0x69675db75f932ab3!8m2!3d-7.2901885!4d112.7885638!16s%2Fg%2F11ngk1qhg_?authuser=0&amp;hl=en&amp;entry=ttu&amp;g_ep=EgoyMDI2MDYwMy4xIKXMDSoASAFQAw%3D%3D" TargetMode="External"/><Relationship Id="rId102" Type="http://schemas.openxmlformats.org/officeDocument/2006/relationships/hyperlink" Target="https://www.google.com/maps/place/GNZA+100+-+Coffee+%26+Bakery+by+Fifteenth/@-7.289331,112.7537092,17z/data=!3m1!4b1!4m6!3m5!1s0x2dd7fb550488c1f1:0xac1cd5c8ebb9bfcf!8m2!3d-7.289331!4d112.7537092!16s%2Fg%2F11w9m737gz?authuser=0&amp;hl=en&amp;entry=ttu&amp;g_ep=EgoyMDI2MDYwMy4xIKXMDSoASAFQAw%3D%3D" TargetMode="External"/><Relationship Id="rId101" Type="http://schemas.openxmlformats.org/officeDocument/2006/relationships/hyperlink" Target="https://www.google.com/maps/place/Tera+Coffee+Society/@-7.2943175,112.7410265,17z/data=!3m1!4b1!4m6!3m5!1s0x2dd7fb4b75078c1d:0x53178d6fe49bacc5!8m2!3d-7.2943175!4d112.7410265!16s%2Fg%2F11kr8ptjvk?authuser=0&amp;hl=en&amp;entry=ttu&amp;g_ep=EgoyMDI2MDYwMy4xIKXMDSoASAFQAw%3D%3D" TargetMode="External"/><Relationship Id="rId100" Type="http://schemas.openxmlformats.org/officeDocument/2006/relationships/hyperlink" Target="https://www.google.com/maps/place/One+Pose+Cafe/data=!4m7!3m6!1s0x2dd7fc2131d63fcf:0xa47051e31350db4d!8m2!3d-7.2731142!4d112.6859436!16s%2Fg%2F11cnz8lrj2!19sChIJzz_WMSH81y0RTdtQE-NRcKQ?authuser=0&amp;hl=en&amp;rclk=1" TargetMode="External"/><Relationship Id="rId129" Type="http://schemas.openxmlformats.org/officeDocument/2006/relationships/hyperlink" Target="https://www.google.com/maps/place/Yaman+Kuliner/@-7.232525,112.741133,17z/data=!3m1!4b1!4m6!3m5!1s0x2dd7f918c5ec78d7:0x64f41ceaab433fa8!8m2!3d-7.232525!4d112.741133!16s%2Fg%2F1hm3h2ztm?authuser=0&amp;hl=en&amp;entry=ttu&amp;g_ep=EgoyMDI2MDYwMy4xIKXMDSoASAFQAw%3D%3D" TargetMode="External"/><Relationship Id="rId128" Type="http://schemas.openxmlformats.org/officeDocument/2006/relationships/hyperlink" Target="https://www.google.com/maps/place/Surabaya+Kuliner/data=!4m7!3m6!1s0x2dd7fbc2a3dde06f:0x461de4242ae2f35c!8m2!3d-7.29851!4d112.7323421!16s%2Fg%2F11tcq1hc5c!19sChIJb-Ddo8L71y0RXPPiKiTkHUY?authuser=0&amp;hl=en&amp;rclk=1" TargetMode="External"/><Relationship Id="rId127" Type="http://schemas.openxmlformats.org/officeDocument/2006/relationships/hyperlink" Target="https://www.google.com/maps/place/Sentra+Wisata+Kuliner+Embong+Sawo/@-7.2667434,112.7423959,17z/data=!3m1!4b1!4m6!3m5!1s0x2dd7f996e06809e3:0xafcbe61111c706a7!8m2!3d-7.2667434!4d112.7423959!16s%2Fg%2F11jlqgf7_r?authuser=0&amp;hl=en&amp;entry=ttu&amp;g_ep=EgoyMDI2MDYwMy4xIKXMDSoASAFQAw%3D%3D" TargetMode="External"/><Relationship Id="rId126" Type="http://schemas.openxmlformats.org/officeDocument/2006/relationships/hyperlink" Target="https://www.google.com/maps/place/Wisata+Kuliner+Embong+Blimbing/data=!4m7!3m6!1s0x2dd7fbdfc9f053fb:0x403cfaab979a14a9!8m2!3d-7.2692136!4d112.7405024!16s%2Fg%2F11g027lly1!19sChIJ-1Pwyd_71y0RqRSal6v6PEA?authuser=0&amp;hl=en&amp;rclk=1" TargetMode="External"/><Relationship Id="rId121" Type="http://schemas.openxmlformats.org/officeDocument/2006/relationships/hyperlink" Target="https://www.google.com/maps/place/Rawon+Setan+-+Embong+Malang/@-7.2590943,112.7352172,17z/data=!3m1!4b1!4m6!3m5!1s0x2dd7f9675f5ab153:0xd7718efb5cb01015!8m2!3d-7.2590943!4d112.7352172!16s%2Fg%2F1hm1z3ll5?authuser=0&amp;hl=en&amp;entry=ttu&amp;g_ep=EgoyMDI2MDYwMy4xIKXMDSoASAFQAw%3D%3D" TargetMode="External"/><Relationship Id="rId120" Type="http://schemas.openxmlformats.org/officeDocument/2006/relationships/hyperlink" Target="https://www.google.com/maps/place/Sego+Sambel+Mak+Yeye/data=!4m7!3m6!1s0x2dd7fb98a0bb520d:0x1aabc304682113bc!8m2!3d-7.3013703!4d112.7380496!16s%2Fg%2F11bytv2579!19sChIJDVK7oJj71y0RvBMhaATDqxo?authuser=0&amp;hl=en&amp;rclk=1" TargetMode="External"/><Relationship Id="rId125" Type="http://schemas.openxmlformats.org/officeDocument/2006/relationships/hyperlink" Target="https://www.google.com/maps/place/Tahu+Campur+H.+ABD.+Mahfud+Asli+Kalasan/data=!4m7!3m6!1s0x2dd7f9797f4ba83f:0xec4587e11bcf800a!8m2!3d-7.258714!4d112.7573433!16s%2Fg%2F11b69v7p5p!19sChIJP6hLf3n51y0RCoDPG-GHRew?authuser=0&amp;hl=en&amp;rclk=1" TargetMode="External"/><Relationship Id="rId124" Type="http://schemas.openxmlformats.org/officeDocument/2006/relationships/hyperlink" Target="https://www.google.com/maps/place/Sentra+Wisata+Kuliner+Dharmahusada/data=!4m7!3m6!1s0x2dd7fa289d633cf7:0x2415d06a920e042b!8m2!3d-7.2683301!4d112.7741892!16s%2Fg%2F11c1_v2fqh!19sChIJ9zxjnSj61y0RKwQOkmrQFSQ?authuser=0&amp;hl=en&amp;rclk=1" TargetMode="External"/><Relationship Id="rId123" Type="http://schemas.openxmlformats.org/officeDocument/2006/relationships/hyperlink" Target="https://www.google.com/maps/place/Warung+Bu+Kris+-+Kayon/@-7.2697603,112.7467382,17z/data=!3m1!4b1!4m6!3m5!1s0x2dd7fbd8fe821f07:0xef0c8aa179f7bd65!8m2!3d-7.2697603!4d112.7467382!16s%2Fg%2F1hd_fk36b?authuser=0&amp;hl=en&amp;entry=ttu&amp;g_ep=EgoyMDI2MDYwMy4xIKXMDSoASAFQAw%3D%3D" TargetMode="External"/><Relationship Id="rId122" Type="http://schemas.openxmlformats.org/officeDocument/2006/relationships/hyperlink" Target="https://www.google.com/maps/place/Dadar+Beredar+-+Surabaya/@-7.2565683,112.7508648,17z/data=!3m1!4b1!4m6!3m5!1s0x2e789f1c71c29e65:0xae15a5954563c555!8m2!3d-7.2565683!4d112.7508648!16s%2Fg%2F11vk5btz1r?authuser=0&amp;hl=en&amp;entry=ttu&amp;g_ep=EgoyMDI2MDYwMy4xIKXMDSoASAFQAw%3D%3D" TargetMode="External"/><Relationship Id="rId95" Type="http://schemas.openxmlformats.org/officeDocument/2006/relationships/hyperlink" Target="https://www.google.com/maps/place/Eicy+Cafe/@-7.2945429,112.768385,17z/data=!3m1!4b1!4m6!3m5!1s0x2dd7fbfe9188ab43:0x23ce9195cd20d25d!8m2!3d-7.2945429!4d112.768385!16s%2Fg%2F11qh449_hp?authuser=0&amp;hl=en&amp;entry=ttu&amp;g_ep=EgoyMDI2MDYwMy4xIKXMDSoASAFQAw%3D%3D" TargetMode="External"/><Relationship Id="rId94" Type="http://schemas.openxmlformats.org/officeDocument/2006/relationships/hyperlink" Target="https://www.google.com/maps/place/Pukul+Satu+Kopi/data=!4m7!3m6!1s0x2dd7fbe0a7893f01:0x821f3404de8a92d5!8m2!3d-7.2767447!4d112.7557838!16s%2Fg%2F11h5p_l04j!19sChIJAT-Jp-D71y0R1ZKK3gQ0H4I?authuser=0&amp;hl=en&amp;rclk=1" TargetMode="External"/><Relationship Id="rId97" Type="http://schemas.openxmlformats.org/officeDocument/2006/relationships/hyperlink" Target="https://www.google.com/maps/place/OL+and+NU+cafe+eatery/@-7.2592726,112.7497086,17z/data=!3m1!4b1!4m6!3m5!1s0x2dd7f956a1bf4e4f:0xd2578143682028d2!8m2!3d-7.2592726!4d112.7497086!16s%2Fg%2F11vprwqyws?authuser=0&amp;hl=en&amp;entry=ttu&amp;g_ep=EgoyMDI2MDYwMy4xIKXMDSoASAFQAw%3D%3D" TargetMode="External"/><Relationship Id="rId96" Type="http://schemas.openxmlformats.org/officeDocument/2006/relationships/hyperlink" Target="https://www.google.com/maps/place/Artap+Cafe+and+Bistro/@-7.2590613,112.7821549,17z/data=!3m1!4b1!4m6!3m5!1s0x2dd7f92ed9f8d27d:0x8b6565bff236e99!8m2!3d-7.2590613!4d112.7821549!16s%2Fg%2F11fb0jr5wb?authuser=0&amp;hl=en&amp;entry=ttu&amp;g_ep=EgoyMDI2MDYwMy4xIKXMDSoASAFQAw%3D%3D" TargetMode="External"/><Relationship Id="rId99" Type="http://schemas.openxmlformats.org/officeDocument/2006/relationships/hyperlink" Target="https://www.google.com/maps/place/Moengkopi+JiwARTspace/data=!4m7!3m6!1s0x2dd7faa4b7138427:0x5d3f0c82d93414dc!8m2!3d-7.325115!4d112.7946265!16s%2Fg%2F11fy4kkx22!19sChIJJ4QTt6T61y0R3BQ02YIMP10?authuser=0&amp;hl=en&amp;rclk=1" TargetMode="External"/><Relationship Id="rId98" Type="http://schemas.openxmlformats.org/officeDocument/2006/relationships/hyperlink" Target="https://www.google.com/maps/place/DeMandailing+Cafe/@-7.2885102,112.7005553,17z/data=!3m1!4b1!4m6!3m5!1s0x2dd7fc129764117f:0x7ef8cf9f143536ef!8m2!3d-7.2885102!4d112.7005553!16s%2Fg%2F11c37nyrvm?authuser=0&amp;hl=en&amp;entry=ttu&amp;g_ep=EgoyMDI2MDYwMy4xIKXMDSoASAFQAw%3D%3D" TargetMode="External"/><Relationship Id="rId91" Type="http://schemas.openxmlformats.org/officeDocument/2006/relationships/hyperlink" Target="https://www.google.com/maps/place/TENTWO+Coffee/@-7.2736181,112.7505119,17z/data=!3m1!4b1!4m6!3m5!1s0x2dd7fb3809d8d249:0x4de0e474cc183fe5!8m2!3d-7.2736181!4d112.7505119!16s%2Fg%2F11mw7rh420?authuser=0&amp;hl=en&amp;entry=ttu&amp;g_ep=EgoyMDI2MDYwMy4xIKXMDSoASAFQAw%3D%3D" TargetMode="External"/><Relationship Id="rId90" Type="http://schemas.openxmlformats.org/officeDocument/2006/relationships/hyperlink" Target="https://www.google.com/maps/place/Kedai+Ciamso/@-7.2651675,112.7426011,17z/data=!3m1!4b1!4m6!3m5!1s0x2dd7f97f2b51caf9:0xb5a10119cb9a4b1b!8m2!3d-7.2651675!4d112.7426011!16s%2Fg%2F11kjpdrqwb?authuser=0&amp;hl=en&amp;entry=ttu&amp;g_ep=EgoyMDI2MDYwMy4xIKXMDSoASAFQAw%3D%3D" TargetMode="External"/><Relationship Id="rId93" Type="http://schemas.openxmlformats.org/officeDocument/2006/relationships/hyperlink" Target="https://www.google.com/maps/place/Kanopi+-+Makan+Nongkrong+Ngopi/@-7.32156,112.7462699,17z/data=!3m1!4b1!4m6!3m5!1s0x2dd7fbb22525962f:0x8caffe2a5ac486ea!8m2!3d-7.32156!4d112.7462699!16s%2Fg%2F11s3cl17s3?authuser=0&amp;hl=en&amp;entry=ttu&amp;g_ep=EgoyMDI2MDYwMy4xIKXMDSoASAFQAw%3D%3D" TargetMode="External"/><Relationship Id="rId92" Type="http://schemas.openxmlformats.org/officeDocument/2006/relationships/hyperlink" Target="https://www.google.com/maps/place/Renekopi/@-7.308779,112.721091,17z/data=!3m1!4b1!4m6!3m5!1s0x2dd7fb78acf8ffff:0xdd441e5ab849a5fc!8m2!3d-7.308779!4d112.721091!16s%2Fg%2F11ggrqv9s5?authuser=0&amp;hl=en&amp;entry=ttu&amp;g_ep=EgoyMDI2MDYwMy4xIKXMDSoASAFQAw%3D%3D" TargetMode="External"/><Relationship Id="rId118" Type="http://schemas.openxmlformats.org/officeDocument/2006/relationships/hyperlink" Target="https://www.google.com/maps/place/Spesial+Belut+Surabaya+H.+Poer/@-7.2705095,112.7199703,17z/data=!3m1!4b1!4m6!3m5!1s0x2dd7fbfe61eabd33:0xd5893654a3c3d2cc!8m2!3d-7.2705095!4d112.7199703!16s%2Fg%2F11b6xdws2s?authuser=0&amp;hl=en&amp;entry=ttu&amp;g_ep=EgoyMDI2MDYwMy4xIKXMDSoASAFQAw%3D%3D" TargetMode="External"/><Relationship Id="rId117" Type="http://schemas.openxmlformats.org/officeDocument/2006/relationships/hyperlink" Target="https://www.google.com/maps/place/LONTONG+BALAP+PAK+GENDUT+PKL+SURABAYA/@-7.2560633,112.7315719,17z/data=!3m1!4b1!4m6!3m5!1s0x2dd7f9f44fff6a47:0x715b863c22ef94eb!8m2!3d-7.2560633!4d112.7315719!16s%2Fg%2F11cfgh64_?authuser=0&amp;hl=en&amp;entry=ttu&amp;g_ep=EgoyMDI2MDYwMy4xIKXMDSoASAFQAw%3D%3D" TargetMode="External"/><Relationship Id="rId116" Type="http://schemas.openxmlformats.org/officeDocument/2006/relationships/hyperlink" Target="https://www.google.com/maps/place/Sate+Kelopo+Ondomohen+Bu+Asih/@-7.2601075,112.7442245,17z/data=!3m1!4b1!4m6!3m5!1s0x2dd7f96423a1d5af:0xc7570172dd94b50c!8m2!3d-7.2601075!4d112.7442245!16s%2Fg%2F11b6djmjp3?authuser=0&amp;hl=en&amp;entry=ttu&amp;g_ep=EgoyMDI2MDYwMy4xIKXMDSoASAFQAw%3D%3D" TargetMode="External"/><Relationship Id="rId115" Type="http://schemas.openxmlformats.org/officeDocument/2006/relationships/hyperlink" Target="https://www.google.com/maps/place/Sentra+Wisata+Kuliner+Bratang+Binangun/data=!4m7!3m6!1s0x2dd7fbad7223083d:0xad919c035d6d60df!8m2!3d-7.297318!4d112.760383!16s%2Fg%2F11cmxv7xqz!19sChIJPQgjcq371y0R32BtXQOcka0?authuser=0&amp;hl=en&amp;rclk=1" TargetMode="External"/><Relationship Id="rId119" Type="http://schemas.openxmlformats.org/officeDocument/2006/relationships/hyperlink" Target="https://www.google.com/maps/place/Rawon+Kalkulator/@-7.2918496,112.7401047,17z/data=!3m1!4b1!4m6!3m5!1s0x2dd7fbbe23d5a7e1:0xd3486fa5af94b650!8m2!3d-7.2918496!4d112.7401047!16s%2Fg%2F1pzrq3qkb?authuser=0&amp;hl=en&amp;entry=ttu&amp;g_ep=EgoyMDI2MDYwMy4xIKXMDSoASAFQAw%3D%3D" TargetMode="External"/><Relationship Id="rId110" Type="http://schemas.openxmlformats.org/officeDocument/2006/relationships/hyperlink" Target="https://www.google.com/maps/place/LA+VILOS+COFFEE+%26+SUPERMARKET+COFFEE/data=!4m7!3m6!1s0x2dd7fbb0d7894479:0xd7794df8bdb45fe3!8m2!3d-7.2687039!4d112.7472658!16s%2Fg%2F11rmwvtjhc!19sChIJeUSJ17D71y0R41-0vfhNedc?authuser=0&amp;hl=en&amp;rclk=1" TargetMode="External"/><Relationship Id="rId114" Type="http://schemas.openxmlformats.org/officeDocument/2006/relationships/hyperlink" Target="https://www.google.com/maps/place/Bebini+Gelati+Caf%C3%A9/@-7.2671004,112.7706514,17z/data=!3m1!4b1!4m6!3m5!1s0x2dd7fa29bce687cd:0xf93f5938ee2b3c55!8m2!3d-7.2671004!4d112.7706514!16s%2Fg%2F11cs16gvqc?authuser=0&amp;hl=en&amp;entry=ttu&amp;g_ep=EgoyMDI2MDYwMy4xIKXMDSoASAFQAw%3D%3D" TargetMode="External"/><Relationship Id="rId113" Type="http://schemas.openxmlformats.org/officeDocument/2006/relationships/hyperlink" Target="https://www.google.com/maps/place/JAVAROMA+at+Sentral+Tunjungan+Surabaya/data=!4m7!3m6!1s0x2dd7f9cca5b6c2ad:0xce6324806a337674!8m2!3d-7.2609451!4d112.7408107!16s%2Fg%2F11x0wth42d!19sChIJrcK2pcz51y0RdHYzaoAkY84?authuser=0&amp;hl=en&amp;rclk=1" TargetMode="External"/><Relationship Id="rId112" Type="http://schemas.openxmlformats.org/officeDocument/2006/relationships/hyperlink" Target="https://www.google.com/maps/place/Coffee+Toffee+Apsari+Grahadi/@-7.2638516,112.7433775,17z/data=!3m1!4b1!4m6!3m5!1s0x2dd7fa2fc1a83ad5:0x1af37aad0f30d0ba!8m2!3d-7.2638516!4d112.7433775!16s%2Fg%2F1hc1snx8k?authuser=0&amp;hl=en&amp;entry=ttu&amp;g_ep=EgoyMDI2MDYwMy4xIKXMDSoASAFQAw%3D%3D" TargetMode="External"/><Relationship Id="rId111" Type="http://schemas.openxmlformats.org/officeDocument/2006/relationships/hyperlink" Target="https://www.google.com/maps/place/HOHO+Coffee+-+Tunjungan/data=!4m7!3m6!1s0x2dd7f934e95ee58f:0xb492e21d29203648!8m2!3d-7.2596594!4d112.7389009!16s%2Fg%2F11hgdzxdlr!19sChIJj-Ve6TT51y0RSDYgKR3ikrQ?authuser=0&amp;hl=en&amp;rclk=1"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google.com/maps/place/Carpentier+Kitchen/@-7.2850075,112.7362677,17z/data=!3m1!4b1!4m6!3m5!1s0x2dd7fbea561d0f9d:0x351791d80fe14db3!8m2!3d-7.2850075!4d112.7362677!16s%2Fg%2F11bw5wkt42?entry=ttu&amp;g_ep=EgoyMDI2MDYyOS4wIKXMDSoASAFQAw%3D%3D" TargetMode="External"/><Relationship Id="rId194" Type="http://schemas.openxmlformats.org/officeDocument/2006/relationships/hyperlink" Target="https://www.google.com/maps/place/Eco+Wisata+Mangrove+Gunung+Anyar/data=!4m7!3m6!1s0x2dd7f009d2865ff9:0x129ac3af639d83e5!8m2!3d-7.3307707!4d112.8171343!16s%2Fg%2F11c3vwkryn!19sChIJ-V-G0gnw1y0R5YOdY6_DmhI?authuser=0&amp;hl=zh-TW&amp;rclk=1" TargetMode="External"/><Relationship Id="rId193" Type="http://schemas.openxmlformats.org/officeDocument/2006/relationships/hyperlink" Target="https://www.google.com/maps/place/Padin+Ikan+Goreng+-+Bakar+24+Jam/data=!4m7!3m6!1s0x2dd7f9449aa643cb:0x2fc4cd0dfa545b41!8m2!3d-7.2557049!4d112.7323074!16s%2Fg%2F11b6ctqtnv!19sChIJy0OmmkT51y0RQVtU-g3NxC8?authuser=0&amp;hl=zh-TW&amp;rclk=1" TargetMode="External"/><Relationship Id="rId192" Type="http://schemas.openxmlformats.org/officeDocument/2006/relationships/hyperlink" Target="https://www.google.com/maps/place/Kepiting+Cak+Gundul+1992/data=!4m7!3m6!1s0x2dd7fc05f3af1693:0xbcfb91ff145d29b2!8m2!3d-7.2783067!4d112.7078103!16s%2Fg%2F1hm58bbdk!19sChIJkxav8wX81y0RsildFP-R-7w?authuser=0&amp;hl=zh-TW&amp;rclk=1" TargetMode="External"/><Relationship Id="rId191" Type="http://schemas.openxmlformats.org/officeDocument/2006/relationships/hyperlink" Target="https://www.google.com/maps/place/Bakso+Pak+Bakir/data=!4m7!3m6!1s0x2dd7f9793c2456d9:0x5d814beeccef2f28!8m2!3d-7.2597166!4d112.759057!16s%2Fg%2F11f2wq5qn0!19sChIJ2VYkPHn51y0RKC_vzO5LgV0?authuser=0&amp;hl=zh-TW&amp;rclk=1" TargetMode="External"/><Relationship Id="rId187" Type="http://schemas.openxmlformats.org/officeDocument/2006/relationships/hyperlink" Target="https://www.google.com/maps/place/Seafood+Center/data=!4m7!3m6!1s0x2dd7f9ca98d02b41:0x4e86c47c1972b9bb!8m2!3d-7.225576!4d112.7870017!16s%2Fg%2F11b6_vlw8q!19sChIJQSvQmMr51y0Ru7lyGXzEhk4?authuser=0&amp;hl=zh-TW&amp;rclk=1" TargetMode="External"/><Relationship Id="rId186" Type="http://schemas.openxmlformats.org/officeDocument/2006/relationships/hyperlink" Target="https://www.google.com/maps/place/ADA+APA+DENGAN+KOPI+-+AADK+TEGALSARI/data=!4m7!3m6!1s0x2dd7f91f6324b4e5:0x4f37e1b390f62dc7!8m2!3d-7.2655585!4d112.738032!16s%2Fg%2F11jcmf2730!19sChIJ5bQkYx_51y0Rxy32kLPhN08?authuser=0&amp;hl=zh-TW&amp;rclk=1" TargetMode="External"/><Relationship Id="rId185" Type="http://schemas.openxmlformats.org/officeDocument/2006/relationships/hyperlink" Target="https://www.google.com/maps/place/Ayam+Bakar+Primarasa/data=!4m7!3m6!1s0x2dd7fb424d89ca41:0x59c31a204e07b94c!8m2!3d-7.3301425!4d112.730468!16s%2Fg%2F1hm3hdflx!19sChIJQcqJTUL71y0RTLkHTiAaw1k?authuser=0&amp;hl=zh-TW&amp;rclk=1" TargetMode="External"/><Relationship Id="rId184" Type="http://schemas.openxmlformats.org/officeDocument/2006/relationships/hyperlink" Target="https://www.google.com/maps/place/Rawon+Mak+Djahid/data=!4m7!3m6!1s0x2dd7fba227de54c9:0x53a555da059db744!8m2!3d-7.3340383!4d112.7003!16s%2Fg%2F11jvb0jcps!19sChIJyVTeJ6L71y0RRLedBdpVpVM?authuser=0&amp;hl=zh-TW&amp;rclk=1" TargetMode="External"/><Relationship Id="rId189" Type="http://schemas.openxmlformats.org/officeDocument/2006/relationships/hyperlink" Target="https://www.google.com/maps/place/Warung+Penyetan+Pulo/data=!4m7!3m6!1s0x2dd7fb98c20a4549:0xab657ae72c10432e!8m2!3d-7.3007676!4d112.7365916!16s%2Fg%2F11ggb7x4nh!19sChIJSUUKwpj71y0RLkMQLOd6Zas?authuser=0&amp;hl=zh-TW&amp;rclk=1" TargetMode="External"/><Relationship Id="rId188" Type="http://schemas.openxmlformats.org/officeDocument/2006/relationships/hyperlink" Target="https://www.google.com/maps/place/Bakso+Jalil/data=!4m7!3m6!1s0x2dd7f961afed27ad:0xb64fa185662749ee!8m2!3d-7.2649135!4d112.742631!16s%2Fg%2F11cn7td0nk!19sChIJrSftr2H51y0R7kknZoWhT7Y?authuser=0&amp;hl=zh-TW&amp;rclk=1" TargetMode="External"/><Relationship Id="rId183" Type="http://schemas.openxmlformats.org/officeDocument/2006/relationships/hyperlink" Target="https://www.google.com/maps/place/Gubug+Makan+Mang+Engking+Gubeng+Surabaya/data=!4m7!3m6!1s0x2dd7fb27e4e5d3f5:0x1f44be80d59668d1!8m2!3d-7.2671284!4d112.7526298!16s%2Fg%2F11tmdwt8wm!19sChIJ9dPl5Cf71y0R0WiW1YC-RB8?authuser=0&amp;hl=zh-TW&amp;rclk=1" TargetMode="External"/><Relationship Id="rId182" Type="http://schemas.openxmlformats.org/officeDocument/2006/relationships/hyperlink" Target="https://www.google.com/maps/place/Bakso+Pak+Seger+Pirngadi/data=!4m7!3m6!1s0x2dd7f943e65007c7:0x22c94e8dd3c29f05!8m2!3d-7.2527209!4d112.7343977!16s%2Fg%2F11bw4vlns5!19sChIJxwdQ5kP51y0RBZ_C041OySI?authuser=0&amp;hl=zh-TW&amp;rclk=1" TargetMode="External"/><Relationship Id="rId181" Type="http://schemas.openxmlformats.org/officeDocument/2006/relationships/hyperlink" Target="https://www.google.com/maps/place/Andzero/@-7.3045468,112.768486,17z/data=!3m1!4b1!4m6!3m5!1s0x2dd7fb465757cab9:0x5db78d1d288272e5!8m2!3d-7.3045468!4d112.768486!16s%2Fg%2F11v007w6jf?entry=ttu&amp;g_ep=EgoyMDI2MDYyOS4wIKXMDSoASAFQAw%3D%3D" TargetMode="External"/><Relationship Id="rId180" Type="http://schemas.openxmlformats.org/officeDocument/2006/relationships/hyperlink" Target="https://www.google.com/maps/place/Soto+Ayam+Semarang+Pak+No/data=!4m7!3m6!1s0x2dd7f998285945fd:0xf031ef45c468e659!8m2!3d-7.2471077!4d112.7745904!16s%2Fg%2F11b6b9db24!19sChIJ_UVZKJj51y0RWeZoxEXvMfA?authuser=0&amp;hl=zh-TW&amp;rclk=1" TargetMode="External"/><Relationship Id="rId176" Type="http://schemas.openxmlformats.org/officeDocument/2006/relationships/hyperlink" Target="https://www.google.com/maps/place/Warung+Penyetan+%26+pecel+Ponorogo+ss2/data=!4m7!3m6!1s0x2dd7fba999a5b2ab:0xbd62b49574ae884c!8m2!3d-7.305256!4d112.7563467!16s%2Fg%2F11cls665p0!19sChIJq7Klman71y0RTIiudJW0Yr0?authuser=0&amp;hl=zh-TW&amp;rclk=1" TargetMode="External"/><Relationship Id="rId175" Type="http://schemas.openxmlformats.org/officeDocument/2006/relationships/hyperlink" Target="https://www.google.com/maps/place/Artomoro+Sea+Food/data=!4m7!3m6!1s0x2dd7fc143a41ed5f:0x67157a1c4c5a2dab!8m2!3d-7.2853492!4d112.6951792!16s%2Fg%2F11b782ps7x!19sChIJX-1BOhT81y0Rqy1aTBx6FWc?authuser=0&amp;hl=zh-TW&amp;rclk=1" TargetMode="External"/><Relationship Id="rId174" Type="http://schemas.openxmlformats.org/officeDocument/2006/relationships/hyperlink" Target="https://www.google.com/maps/place/Expat.+Roasters+Graha+Famili+Surabaya/data=!4m7!3m6!1s0x2dd7fd0af610f449:0x5f879618081d0d74!8m2!3d-7.2995694!4d112.6974452!16s%2Fg%2F11v06dh82j!19sChIJSfQQ9gr91y0RdA0dCBiWh18?authuser=0&amp;hl=zh-TW&amp;rclk=1" TargetMode="External"/><Relationship Id="rId173" Type="http://schemas.openxmlformats.org/officeDocument/2006/relationships/hyperlink" Target="https://www.google.com/maps/place/Soto+Madura+Wawan/data=!4m7!3m6!1s0x2dd7fb8dcfa9c133:0xa9b69914489621c3!8m2!3d-7.292037!4d112.7247467!16s%2Fg%2F1hm4t1fvt!19sChIJM8Gpz4371y0RwyGWSBSZtqk?authuser=0&amp;hl=zh-TW&amp;rclk=1" TargetMode="External"/><Relationship Id="rId179" Type="http://schemas.openxmlformats.org/officeDocument/2006/relationships/hyperlink" Target="https://www.google.com/maps/place/wantutu.+Pemuda/@-7.2743182,112.7417736,15z/data=!4m10!1m2!2m1!1swantutu.!3m6!1s0x2dd7fb5f07f8e511:0x98a29ed0ecf00015!8m2!3d-7.266522!4d112.7510129!15sCgh3YW50dXR1LloJIgd3YW50dXR1kgELY29mZmVlX3Nob3DgAQA!16s%2Fg%2F11kspznqt8?entry=ttu&amp;g_ep=EgoyMDI2MDYyOS4wIKXMDSoASAFQAw%3D%3D" TargetMode="External"/><Relationship Id="rId178" Type="http://schemas.openxmlformats.org/officeDocument/2006/relationships/hyperlink" Target="https://www.google.com/maps/place/Edu+Wisata+Lontar+Sewu+%28Hendrosari%29/data=!4m7!3m6!1s0x2e78015da9598863:0x1458d5cd0242acfe!8m2!3d-7.2386399!4d112.5835162!16s%2Fg%2F11gxmtbw39!19sChIJY4hZqV0BeC4R_qxCAs3VWBQ?authuser=0&amp;hl=zh-TW&amp;rclk=1" TargetMode="External"/><Relationship Id="rId177" Type="http://schemas.openxmlformats.org/officeDocument/2006/relationships/hyperlink" Target="https://www.google.com/maps/place/Taman+Prestasi+Surabaya/data=!4m7!3m6!1s0x2dd7f966cbf14633:0xa3125b26dcc2d9ea!8m2!3d-7.2614722!4d112.7428284!16s%2Fg%2F11bxfw7cgj!19sChIJM0bxy2b51y0R6tnC3CZbEqM?authuser=0&amp;hl=zh-TW&amp;rclk=1" TargetMode="External"/><Relationship Id="rId198" Type="http://schemas.openxmlformats.org/officeDocument/2006/relationships/hyperlink" Target="https://www.google.com/maps/place/Soto+Daging+Cak+Toha/data=!4m7!3m6!1s0x2dd7fbcaf4f2a8d3:0xa770cb2e964e3ae9!8m2!3d-7.2847504!4d112.7601806!16s%2Fg%2F11c5sr03c7!19sChIJ06jy9Mr71y0R6TpOli7LcKc?authuser=0&amp;hl=zh-TW&amp;rclk=1" TargetMode="External"/><Relationship Id="rId197" Type="http://schemas.openxmlformats.org/officeDocument/2006/relationships/hyperlink" Target="https://www.google.com/maps/place/Nasi+Pecel+Bambu+Runcing+Bu+Wuri/@-7.2681392,112.7450797,17z/data=!3m1!4b1!4m6!3m5!1s0x2dd7fbd8b57a8593:0xe21fd0ffaaae6d27!8m2!3d-7.2681392!4d112.7450797!16s%2Fg%2F11c5bkc4n8?entry=ttu&amp;g_ep=EgoyMDI2MDYyOS4wIKXMDSoASAFQAw%3D%3D" TargetMode="External"/><Relationship Id="rId196" Type="http://schemas.openxmlformats.org/officeDocument/2006/relationships/hyperlink" Target="https://www.google.com/maps/place/Sego+Sambel+Mak+Yeye/data=!4m7!3m6!1s0x2dd7fb98a0bb520d:0x1aabc304682113bc!8m2!3d-7.3013703!4d112.7380496!16s%2Fg%2F11bytv2579!19sChIJDVK7oJj71y0RvBMhaATDqxo?authuser=0&amp;hl=zh-TW&amp;rclk=1" TargetMode="External"/><Relationship Id="rId195" Type="http://schemas.openxmlformats.org/officeDocument/2006/relationships/hyperlink" Target="https://www.google.com/maps/place/Taman+Bermain+Bintang+Diponggo/data=!4m7!3m6!1s0x2dd7fbf4b7611525:0xd9fd995a66848a3b!8m2!3d-7.2876348!4d112.7199438!16s%2Fg%2F11gb3ztn0z!19sChIJJRVht_T71y0RO4qEZlqZ_dk?authuser=0&amp;hl=zh-TW&amp;rclk=1" TargetMode="External"/><Relationship Id="rId199" Type="http://schemas.openxmlformats.org/officeDocument/2006/relationships/hyperlink" Target="https://www.google.com/maps/place/AREK+Coffee+%26+Eatery/@-7.2577318,112.7370745,17z/data=!3m1!4b1!4m6!3m5!1s0x2dd7f9feb5cc4c33:0xc9a47c349a4d2373!8m2!3d-7.2577318!4d112.7370745!16s%2Fg%2F11vc0ctmqh?entry=ttu&amp;g_ep=EgoyMDI2MDYyOS4wIKXMDSoASAFQAw%3D%3D" TargetMode="External"/><Relationship Id="rId150" Type="http://schemas.openxmlformats.org/officeDocument/2006/relationships/hyperlink" Target="https://www.google.com/maps/place/Depot+mie+dan+lemper+special+168/data=!4m7!3m6!1s0x2dd7f96417e1d7df:0xbf3cc3f2dfbff286!8m2!3d-7.2602441!4d112.7445893!16s%2Fg%2F1hc77cqmg!19sChIJ39fhF2T51y0RhvK_3_LDPL8?authuser=0&amp;hl=zh-TW&amp;rclk=1" TargetMode="External"/><Relationship Id="rId392" Type="http://schemas.openxmlformats.org/officeDocument/2006/relationships/hyperlink" Target="https://www.google.com/maps/place/Sari+Laut+Kapasan+Cabang+Rungkut/data=!4m7!3m6!1s0x2dd7fac49828b0eb:0xf341ded3cca16770!8m2!3d-7.3310734!4d112.7735633!16s%2Fg%2F11dyzdch37!19sChIJ67AomMT61y0RcGehzNPeQfM?authuser=0&amp;hl=zh-TW&amp;rclk=1" TargetMode="External"/><Relationship Id="rId391" Type="http://schemas.openxmlformats.org/officeDocument/2006/relationships/hyperlink" Target="https://www.google.com/maps/place/Pangsit+Mie+Ayam+BMW/data=!4m7!3m6!1s0x2dd7f979823d7407:0xb00ed97d2340f685!8m2!3d-7.2585661!4d112.7575006!16s%2Fg%2F11b6bc8tnd!19sChIJB3Q9gnn51y0RhfZAI33ZDrA?authuser=0&amp;hl=zh-TW&amp;rclk=1" TargetMode="External"/><Relationship Id="rId390" Type="http://schemas.openxmlformats.org/officeDocument/2006/relationships/hyperlink" Target="https://www.google.com/maps/place/Dapur+Fizzul+%28Surabaya%29+-+Spesialis+Ikan+Kuah+Kuning+Kenari+%26+Papeda+No+1+di+Dunia/data=!4m7!3m6!1s0x2dd7fb5d013c8d39:0x4079c2499408aefc!8m2!3d-7.2670573!4d112.7611443!16s%2Fg%2F11vlt3q20h!19sChIJOY08AV371y0R_K4IlEnCeUA?authuser=0&amp;hl=zh-TW&amp;rclk=1" TargetMode="External"/><Relationship Id="rId1" Type="http://schemas.openxmlformats.org/officeDocument/2006/relationships/hyperlink" Target="https://www.google.com/maps/place/Firstfloor+Coffee/data=!4m7!3m6!1s0x2dd7f917b5dc05eb:0x37540165efe74421!8m2!3d-7.2598901!4d112.7393419!16s%2Fg%2F11lnmwdcj9!19sChIJ6wXctRf51y0RIUTn72UBVDc?authuser=0&amp;hl=zh-TW&amp;rclk=1" TargetMode="External"/><Relationship Id="rId2" Type="http://schemas.openxmlformats.org/officeDocument/2006/relationships/hyperlink" Target="https://www.google.com/maps/place/ONNI+House+Surabaya/data=!4m7!3m6!1s0x2dd7fbec9d70db87:0x13b94624fef33e59!8m2!3d-7.2858283!4d112.7331216!16s%2Fg%2F11bx1yxzkb!19sChIJh9twnez71y0RWT7z_iRGuRM?authuser=0&amp;hl=zh-TW&amp;rclk=1" TargetMode="External"/><Relationship Id="rId3" Type="http://schemas.openxmlformats.org/officeDocument/2006/relationships/hyperlink" Target="https://www.google.com/maps/place/Undaan+Pangsit+Chicken+Noodles/data=!4m7!3m6!1s0x2dd7f969494cb457:0x8ce8227873785b5d!8m2!3d-7.2525207!4d112.7446953!16s%2Fg%2F1hm2wwfjz!19sChIJV7RMSWn51y0RXVt4c3gi6Iw?authuser=0&amp;hl=zh-TW&amp;rclk=1" TargetMode="External"/><Relationship Id="rId149" Type="http://schemas.openxmlformats.org/officeDocument/2006/relationships/hyperlink" Target="https://www.google.com/maps/place/Bakso+Pak+Sabar/data=!4m7!3m6!1s0x2dd7fbb34efd37e9:0x63325eefca8d3d22!8m2!3d-7.2918667!4d112.7623854!16s%2Fg%2F1hm2z5xfv!19sChIJ6Tf9TrP71y0RIj2Nyu9eMmM?authuser=0&amp;hl=zh-TW&amp;rclk=1" TargetMode="External"/><Relationship Id="rId4" Type="http://schemas.openxmlformats.org/officeDocument/2006/relationships/hyperlink" Target="https://www.google.com/maps/place/Bebek+Canggih/data=!4m7!3m6!1s0x2dd7fbc5bfd93de7:0x9a2c9b140a59c8e0!8m2!3d-7.2802789!4d112.7494287!16s%2Fg%2F11b69_r3p7!19sChIJ5z3Zv8X71y0R4MhZChSbLJo?authuser=0&amp;hl=zh-TW&amp;rclk=1" TargetMode="External"/><Relationship Id="rId148" Type="http://schemas.openxmlformats.org/officeDocument/2006/relationships/hyperlink" Target="https://www.google.com/maps/place/Penyetan+Mbak+Sulimah+Pandegiling/data=!4m7!3m6!1s0x2dd7fbe7e4fe8e15:0xc96ca6aba9886a92!8m2!3d-7.2759829!4d112.7360568!16s%2Fg%2F11cn94n982!19sChIJFY7-5Of71y0RkmqIqaumbMk?authuser=0&amp;hl=zh-TW&amp;rclk=1" TargetMode="External"/><Relationship Id="rId9" Type="http://schemas.openxmlformats.org/officeDocument/2006/relationships/hyperlink" Target="https://www.google.com/maps/place/Seafood+Cahaya+86/data=!4m7!3m6!1s0x2dd7fc0f6825d675:0xde02d59b91b9260c!8m2!3d-7.2748924!4d112.7011636!16s%2Fg%2F11f0kvgs4t!19sChIJddYlaA_81y0RDCa5kZvVAt4?authuser=0&amp;hl=zh-TW&amp;rclk=1" TargetMode="External"/><Relationship Id="rId143" Type="http://schemas.openxmlformats.org/officeDocument/2006/relationships/hyperlink" Target="https://www.google.com/maps/place/Bakso+-+Mie+Ayam+Bang+Nano/data=!4m7!3m6!1s0x2dd7fbf6ea979d45:0x52aaae9a45da3e93!8m2!3d-7.2818207!4d112.719737!16s%2Fg%2F11b6ggsf1q!19sChIJRZ2X6vb71y0Rkz7aRZquqlI?authuser=0&amp;hl=zh-TW&amp;rclk=1" TargetMode="External"/><Relationship Id="rId385" Type="http://schemas.openxmlformats.org/officeDocument/2006/relationships/hyperlink" Target="https://www.google.com/maps/place/Djangkar+Seafood+Surabaya/data=!4m7!3m6!1s0x2dd7f9a8c1238443:0xedde1d0f5ece6eb!8m2!3d-7.2483145!4d112.7504374!16s%2Fg%2F11ycyhlbw5!19sChIJQ4Qjwaj51y0R6-bs9dDh3Q4?authuser=0&amp;hl=zh-TW&amp;rclk=1" TargetMode="External"/><Relationship Id="rId142" Type="http://schemas.openxmlformats.org/officeDocument/2006/relationships/hyperlink" Target="https://www.google.com/maps/place/Es+Teller+Tanjung+Anom/data=!4m7!3m6!1s0x2dd7f961a65c75df:0x477f504dab4a4f4f!8m2!3d-7.2648603!4d112.7429983!16s%2Fg%2F11b6d2vh01!19sChIJ33VcpmH51y0RT09Kq01Qf0c?authuser=0&amp;hl=zh-TW&amp;rclk=1" TargetMode="External"/><Relationship Id="rId384" Type="http://schemas.openxmlformats.org/officeDocument/2006/relationships/hyperlink" Target="https://www.google.com/maps/place/Soto+Tapak+Siring/data=!4m7!3m6!1s0x2dd7f98009fc3719:0xd5269e4a8e8e1ba7!8m2!3d-7.2657187!4d112.7638623!16s%2Fg%2F11bxg5wxhx!19sChIJGTf8CYD51y0RpxuOjkqeJtU?authuser=0&amp;hl=zh-TW&amp;rclk=1" TargetMode="External"/><Relationship Id="rId141" Type="http://schemas.openxmlformats.org/officeDocument/2006/relationships/hyperlink" Target="https://www.google.com/maps/place/Pecel+Kriuk+Dan+Rawon+:+Bu.+Lilis/data=!4m7!3m6!1s0x2dd7fe9930811a8b:0x762f9c391da3d8cc!8m2!3d-7.2649481!4d112.6876369!16s%2Fg%2F11bzzddw2z!19sChIJixqBMJn-1y0RzNijHTmcL3Y?authuser=0&amp;hl=zh-TW&amp;rclk=1" TargetMode="External"/><Relationship Id="rId383" Type="http://schemas.openxmlformats.org/officeDocument/2006/relationships/hyperlink" Target="https://www.google.com/maps/place/Jakarta+Yamin+Noodle+Cak+Hendrat/data=!4m7!3m6!1s0x2dd7fbebd16a2d69:0x2ef5955759c32bf2!8m2!3d-7.2710826!4d112.7538405!16s%2Fg%2F11mvw6ryts!19sChIJaS1q0ev71y0R8ivDWVeV9S4?authuser=0&amp;hl=zh-TW&amp;rclk=1" TargetMode="External"/><Relationship Id="rId140" Type="http://schemas.openxmlformats.org/officeDocument/2006/relationships/hyperlink" Target="https://www.google.com/maps/place/Reldish+%7C+Casual+Caf%C3%A9/data=!4m7!3m6!1s0x2dd7fb2d7ade4d9b:0x4ae47678458a857c!8m2!3d-7.3235333!4d112.7430632!16s%2Fg%2F11sqc697g0!19sChIJm03eei371y0RfIWKRXh25Eo?authuser=0&amp;hl=zh-TW&amp;rclk=1" TargetMode="External"/><Relationship Id="rId382" Type="http://schemas.openxmlformats.org/officeDocument/2006/relationships/hyperlink" Target="https://www.google.com/maps/place/Warung+Bebek+Purnama+%22P.+Saridin%22/data=!4m7!3m6!1s0x2dd7fbc3735ca65d:0x615bdaa455a2d5e4!8m2!3d-7.29291!4d112.7521859!16s%2Fg%2F11c5ss23jf!19sChIJXaZcc8P71y0R5NWiVaTaW2E?authuser=0&amp;hl=zh-TW&amp;rclk=1" TargetMode="External"/><Relationship Id="rId5" Type="http://schemas.openxmlformats.org/officeDocument/2006/relationships/hyperlink" Target="https://www.google.com/maps/place/Tunjungan+Romansa/@-7.2603878,112.7395077,17z/data=!3m1!4b1!4m6!3m5!1s0x2dd7f9281642f615:0xb5af7c74a7d86b75!8m2!3d-7.2603878!4d112.7395077!16s%2Fg%2F11t82_qnz5?entry=ttu&amp;g_ep=EgoyMDI2MDYyOS4wIKXMDSoASAFQAw%3D%3D" TargetMode="External"/><Relationship Id="rId147" Type="http://schemas.openxmlformats.org/officeDocument/2006/relationships/hyperlink" Target="https://www.google.com/maps/place/Suroboyo+Park/data=!4m7!3m6!1s0x2dd7f9cabc1df2db:0x5af54dd18a72b9ca!8m2!3d-7.2253727!4d112.7880641!16s%2Fg%2F11c6w_4ylb!19sChIJ2_IdvMr51y0RyrlyitFN9Vo?authuser=0&amp;hl=zh-TW&amp;rclk=1" TargetMode="External"/><Relationship Id="rId389" Type="http://schemas.openxmlformats.org/officeDocument/2006/relationships/hyperlink" Target="https://www.google.com/maps/place/DE+BUN/data=!4m7!3m6!1s0x2dd7fb90f3c6ec2b:0x7ba9e1f529c6bcb0!8m2!3d-7.2745876!4d112.7500753!16s%2Fg%2F11fncs94_d!19sChIJK-zG85D71y0RsLzGKfXhqXs?authuser=0&amp;hl=zh-TW&amp;rclk=1" TargetMode="External"/><Relationship Id="rId6" Type="http://schemas.openxmlformats.org/officeDocument/2006/relationships/hyperlink" Target="https://www.google.com/maps/place/Calibre+Coffee+Roasters/@-7.2612075,112.7488144,17z/data=!3m1!4b1!4m6!3m5!1s0x2dd7f96484aa2e85:0x9a8add2fb2242a50!8m2!3d-7.2612075!4d112.7488144!16s%2Fg%2F11bvvzglbt?entry=ttu&amp;g_ep=EgoyMDI2MDYyOS4wIKXMDSoASAFQAw%3D%3D" TargetMode="External"/><Relationship Id="rId146" Type="http://schemas.openxmlformats.org/officeDocument/2006/relationships/hyperlink" Target="https://www.google.com/maps/place/Sari+Laut+Kapasan+cabang+Wiyung/data=!4m7!3m6!1s0x2dd7fd698a573567:0xc32288feca9e424d!8m2!3d-7.3123595!4d112.6899705!16s%2Fg%2F11h51hzz26!19sChIJZzVXimn91y0RTUKeyv6IIsM?authuser=0&amp;hl=zh-TW&amp;rclk=1" TargetMode="External"/><Relationship Id="rId388" Type="http://schemas.openxmlformats.org/officeDocument/2006/relationships/hyperlink" Target="https://www.google.com/maps/place/Bajawa+Flores+NTT+Surabaya+KOTA+-+Tengah/data=!4m7!3m6!1s0x2dd7fbe2ffdfad17:0x3d4dbd1798b4a8c9!8m2!3d-7.2732098!4d112.7486985!16s%2Fg%2F11wy5qt_z3!19sChIJF63f_-L71y0Ryai0mBe9TT0?authuser=0&amp;hl=zh-TW&amp;rclk=1" TargetMode="External"/><Relationship Id="rId7" Type="http://schemas.openxmlformats.org/officeDocument/2006/relationships/hyperlink" Target="https://www.google.com/maps/place/Restaurant+Sear/data=!4m7!3m6!1s0x2dd7fd004ab4252b:0x7d4ae23cda281cab!8m2!3d-7.2886644!4d112.678333!16s%2Fg%2F11x2p_r1g6!19sChIJKyW0SgD91y0Rqxwo2jziSn0?authuser=0&amp;hl=zh-TW&amp;rclk=1" TargetMode="External"/><Relationship Id="rId145" Type="http://schemas.openxmlformats.org/officeDocument/2006/relationships/hyperlink" Target="https://www.google.com/maps/place/Pangsit+Mie+Ayam+%22Istana%22/data=!4m7!3m6!1s0x2dd7fb71a8309083:0x9188a4ffdb148847!8m2!3d-7.3154042!4d112.7307312!16s%2Fg%2F11bwh9x_bj!19sChIJg5AwqHH71y0RR4gU2_-kiJE?authuser=0&amp;hl=zh-TW&amp;rclk=1" TargetMode="External"/><Relationship Id="rId387" Type="http://schemas.openxmlformats.org/officeDocument/2006/relationships/hyperlink" Target="https://www.google.com/maps/place/Upper+Room+Cafe+%26+Resto/data=!4m7!3m6!1s0x2dd7faff788650c1:0xe37a13e5d4dbb0f0!8m2!3d-7.3065735!4d112.7657903!16s%2Fg%2F11g9dt89lj!19sChIJwVCGeP_61y0R8LDb1OUTeuM?authuser=0&amp;hl=zh-TW&amp;rclk=1" TargetMode="External"/><Relationship Id="rId8" Type="http://schemas.openxmlformats.org/officeDocument/2006/relationships/hyperlink" Target="https://www.google.com/maps/place/Pak+Djo+Meatball/data=!4m7!3m6!1s0x2dd7fa49a0442179:0x771a7f8dbd6f8188!8m2!3d-7.2878148!4d112.7682769!16s%2Fg%2F1pzv8tdtq!19sChIJeSFEoEn61y0RiIFvvY1_Gnc?authuser=0&amp;hl=zh-TW&amp;rclk=1" TargetMode="External"/><Relationship Id="rId144" Type="http://schemas.openxmlformats.org/officeDocument/2006/relationships/hyperlink" Target="https://www.google.com/maps/place/TAMAN+BACAAN/data=!4m7!3m6!1s0x2dd7f932cef66613:0x8b888e5704d69b88!8m2!3d-7.239859!4d112.7157059!16s%2Fg%2F11c7607dkl!19sChIJE2b2zjL51y0RiJvWBFeOiIs?authuser=0&amp;hl=zh-TW&amp;rclk=1" TargetMode="External"/><Relationship Id="rId386" Type="http://schemas.openxmlformats.org/officeDocument/2006/relationships/hyperlink" Target="https://www.google.com/maps/place/Nikmat+Rasa/data=!4m7!3m6!1s0x2dd7fb04426e2391:0x48200e7e67e98715!8m2!3d-7.3216069!4d112.7453881!16s%2Fg%2F11zxsjb6l!19sChIJkSNuQgT71y0RFYfpZ34OIEg?authuser=0&amp;hl=zh-TW&amp;rclk=1" TargetMode="External"/><Relationship Id="rId381" Type="http://schemas.openxmlformats.org/officeDocument/2006/relationships/hyperlink" Target="https://www.google.com/maps/place/Kota+Tua+Surabaya/data=!4m7!3m6!1s0x2dd7f95a3aaa1d3d:0xa90acbdfee33266f!8m2!3d-7.2390004!4d112.7396805!16s%2Fg%2F11ghn4yw57!19sChIJPR2qOlr51y0RbyYz7t_LCqk?authuser=0&amp;hl=zh-TW&amp;rclk=1" TargetMode="External"/><Relationship Id="rId380" Type="http://schemas.openxmlformats.org/officeDocument/2006/relationships/hyperlink" Target="https://www.google.com/maps/place/Bakso+Malam+Pak+To+-+Sukomanunggal/data=!4m7!3m6!1s0x2dd7fc1121b8d2cb:0x82de9e3a15e26ef8!8m2!3d-7.2838161!4d112.7041931!16s%2Fg%2F11b6mhh31p!19sChIJy9K4IRH81y0R-G7iFTqe3oI?authuser=0&amp;hl=zh-TW&amp;rclk=1" TargetMode="External"/><Relationship Id="rId139" Type="http://schemas.openxmlformats.org/officeDocument/2006/relationships/hyperlink" Target="https://www.google.com/maps/place/Wapo+Resto+-+Airlangga/data=!4m7!3m6!1s0x2dd7fbd486736e29:0x703f50fba3cdfe7e!8m2!3d-7.2705024!4d112.7602896!16s%2Fg%2F11gzwlgp9!19sChIJKW5zhtT71y0Rfv7No_tQP3A?authuser=0&amp;hl=zh-TW&amp;rclk=1" TargetMode="External"/><Relationship Id="rId138" Type="http://schemas.openxmlformats.org/officeDocument/2006/relationships/hyperlink" Target="https://www.google.com/maps/place/Sate+warok+Ponorogo+GAYUNGSARI/data=!4m7!3m6!1s0x2dd7fb13530b0841:0x4f0232394c9a2bdf!8m2!3d-7.3377436!4d112.7203893!16s%2Fg%2F11kb13k216!19sChIJQQgLUxP71y0R3yuaTDkyAk8?authuser=0&amp;hl=zh-TW&amp;rclk=1" TargetMode="External"/><Relationship Id="rId137" Type="http://schemas.openxmlformats.org/officeDocument/2006/relationships/hyperlink" Target="https://www.google.com/maps/place/Demandailing+Cafe/data=!4m7!3m6!1s0x2dd7fb147ec16a17:0x627323705bdbc865!8m2!3d-7.3225321!4d112.7423232!16s%2Fg%2F11bt_h9mr_!19sChIJF2rBfhT71y0RZcjbW3Ajc2I?authuser=0&amp;hl=zh-TW&amp;rclk=1" TargetMode="External"/><Relationship Id="rId379" Type="http://schemas.openxmlformats.org/officeDocument/2006/relationships/hyperlink" Target="https://www.google.com/maps/place/Yaman+Kuliner/data=!4m7!3m6!1s0x2dd7f918c5ec78d7:0x64f41ceaab433fa8!8m2!3d-7.232525!4d112.741133!16s%2Fg%2F1hm3h2ztm!19sChIJ13jsxRj51y0RqD9Dq-oc9GQ?authuser=0&amp;hl=zh-TW&amp;rclk=1" TargetMode="External"/><Relationship Id="rId132" Type="http://schemas.openxmlformats.org/officeDocument/2006/relationships/hyperlink" Target="https://www.google.com/maps/place/Thirty+Three+Brew+-+Tunjungan/@-7.2579337,112.7379135,17z/data=!3m1!4b1!4m6!3m5!1s0x2dd7f979a8020753:0x8f37919aa0214f46!8m2!3d-7.2579337!4d112.7379135!16s%2Fg%2F11jv9k_qnb?entry=ttu&amp;g_ep=EgoyMDI2MDYyOS4wIKXMDSoASAFQAw%3D%3D" TargetMode="External"/><Relationship Id="rId374" Type="http://schemas.openxmlformats.org/officeDocument/2006/relationships/hyperlink" Target="https://www.google.com/maps/place/Pangsit+Mie+Ayam+Jakarta+PAK+DOEL/data=!4m7!3m6!1s0x2dd7fbd36b937647:0x657b6dab3826fdd7!8m2!3d-7.2719923!4d112.7609044!16s%2Fg%2F11fxftjfj4!19sChIJR3aTa9P71y0R1_0mOKtte2U?authuser=0&amp;hl=zh-TW&amp;rclk=1" TargetMode="External"/><Relationship Id="rId131" Type="http://schemas.openxmlformats.org/officeDocument/2006/relationships/hyperlink" Target="https://www.google.com/maps/place/KYND+BAKER+Cafe/data=!4m7!3m6!1s0x2dd7fd3c5f7edfdb:0x4aa59c3eca009cf1!8m2!3d-7.294534!4d112.6520661!16s%2Fg%2F11y5jxt3h6!19sChIJ299-Xzz91y0R8ZwAyj6cpUo?authuser=0&amp;hl=zh-TW&amp;rclk=1" TargetMode="External"/><Relationship Id="rId373" Type="http://schemas.openxmlformats.org/officeDocument/2006/relationships/hyperlink" Target="https://www.google.com/maps/place/Sansekerta+-+The+Authentic+Taste+Of+Indonesia/data=!4m7!3m6!1s0x2dd7f964852dc18b:0x25c2a828000aadff!8m2!3d-7.2611209!4d112.7486801!16s%2Fg%2F11f5dz5xms!19sChIJi8EthWT51y0R_60KACiowiU?authuser=0&amp;hl=zh-TW&amp;rclk=1" TargetMode="External"/><Relationship Id="rId130" Type="http://schemas.openxmlformats.org/officeDocument/2006/relationships/hyperlink" Target="https://www.google.com/maps/place/Penyetan+Rajawali+Cak+Gendut/data=!4m7!3m6!1s0x2dd7f95a5f222ec1:0x1dbd8542ee335539!8m2!3d-7.2292449!4d112.7295312!16s%2Fg%2F11ghdrdfkf!19sChIJwS4iX1r51y0ROVUz7kKFvR0?authuser=0&amp;hl=zh-TW&amp;rclk=1" TargetMode="External"/><Relationship Id="rId372" Type="http://schemas.openxmlformats.org/officeDocument/2006/relationships/hyperlink" Target="https://www.google.com/maps/place/Holy+Crabs+-+Spesial+Kepiting+Surabaya/data=!4m7!3m6!1s0x2dd7fd1575170c21:0xf99b119208e901b4!8m2!3d-7.30788!4d112.6789279!16s%2Fg%2F11hfycggmr!19sChIJIQwXdRX91y0RtAHpCJIRm_k?authuser=0&amp;hl=zh-TW&amp;rclk=1" TargetMode="External"/><Relationship Id="rId371" Type="http://schemas.openxmlformats.org/officeDocument/2006/relationships/hyperlink" Target="https://www.google.com/maps/place/DEPOT+SEDERHANA+%28GUBENG+POJOK%29/data=!4m7!3m6!1s0x2dd7f963d2d4fb4d:0xc8bf1c2a9ed2f725!8m2!3d-7.2664351!4d112.7518896!16s%2Fg%2F11b6br_w71!19sChIJTfvU0mP51y0RJffSniocv8g?authuser=0&amp;hl=zh-TW&amp;rclk=1" TargetMode="External"/><Relationship Id="rId136" Type="http://schemas.openxmlformats.org/officeDocument/2006/relationships/hyperlink" Target="https://www.google.com/maps/place/Penyetan+Bu+Yuli+Mulyorejo/data=!4m7!3m6!1s0x2dd7fb06917d2329:0x8ea74e2e46af0af5!8m2!3d-7.2685234!4d112.7757983!16s%2Fg%2F11mn03xr5p!19sChIJKSN9kQb71y0R9QqvRi5Op44?authuser=0&amp;hl=zh-TW&amp;rclk=1" TargetMode="External"/><Relationship Id="rId378" Type="http://schemas.openxmlformats.org/officeDocument/2006/relationships/hyperlink" Target="https://www.google.com/maps/place/coffee+at+louis/data=!4m2!3m1!1s0x2dd7fbeba4d8407f:0x646c7a3a7e6e628a?sa=X&amp;ved=1t:242&amp;ictx=111" TargetMode="External"/><Relationship Id="rId135" Type="http://schemas.openxmlformats.org/officeDocument/2006/relationships/hyperlink" Target="https://www.google.com/maps/place/Penyetan+Hot+Teh+Ary/data=!4m7!3m6!1s0x2dd7fbae5a94df1b:0xab7619b8e056d832!8m2!3d-7.2984896!4d112.754791!16s%2Fg%2F11f3t4474w!19sChIJG9-UWq771y0RMthW4LgZdqs?authuser=0&amp;hl=zh-TW&amp;rclk=1" TargetMode="External"/><Relationship Id="rId377" Type="http://schemas.openxmlformats.org/officeDocument/2006/relationships/hyperlink" Target="https://www.google.com/maps/place/Adventure+Land+Romokalisari/data=!4m7!3m6!1s0x2dd7ff3bb2f709a1:0xecc9852fb13f96a1!8m2!3d-7.1985305!4d112.6648135!16s%2Fg%2F11s7v1qtpt!19sChIJoQn3sjv_1y0RoZY_sS-Fyew?authuser=0&amp;hl=zh-TW&amp;rclk=1" TargetMode="External"/><Relationship Id="rId134" Type="http://schemas.openxmlformats.org/officeDocument/2006/relationships/hyperlink" Target="https://www.google.com/maps/place/Soto+Daging+Cak+Mat/data=!4m7!3m6!1s0x2dd7fb9e1d26253d:0x9006e1f4bc4497dc!8m2!3d-7.2954525!4d112.7181153!16s%2Fg%2F11h6v0w3ph!19sChIJPSUmHZ771y0R3JdEvPThBpA?authuser=0&amp;hl=zh-TW&amp;rclk=1" TargetMode="External"/><Relationship Id="rId376" Type="http://schemas.openxmlformats.org/officeDocument/2006/relationships/hyperlink" Target="https://www.google.com/maps/place/Bon+Ami+Restaurant/data=!4m7!3m6!1s0x2dd7fbe070dfeeb9:0xdfcb535c3b2dafb1!8m2!3d-7.2688889!4d112.7386167!16s%2Fg%2F11bbrg6ygg!19sChIJue7fcOD71y0Rsa8tO1xTy98?authuser=0&amp;hl=zh-TW&amp;rclk=1" TargetMode="External"/><Relationship Id="rId133" Type="http://schemas.openxmlformats.org/officeDocument/2006/relationships/hyperlink" Target="https://www.google.com/maps/place/Soto+Ayam+Lamongan+Cak+Kan/data=!4m7!3m6!1s0x2dd7fb006b165401:0xadf9260f0b60fada!8m2!3d-7.3075871!4d112.7610768!16s%2Fg%2F1hm5v0flv!19sChIJAVQWawD71y0R2vpgCw8m-a0?authuser=0&amp;hl=zh-TW&amp;rclk=1" TargetMode="External"/><Relationship Id="rId375" Type="http://schemas.openxmlformats.org/officeDocument/2006/relationships/hyperlink" Target="https://www.google.com/maps/place/Taman+Karah+Indah+I/data=!4m7!3m6!1s0x2dd7fb7edc0d51f9:0xa82a0dab657e7605!8m2!3d-7.311235!4d112.720591!16s%2Fg%2F11bwqft8nt!19sChIJ-VEN3H771y0RBXZ-ZasNKqg?authuser=0&amp;hl=zh-TW&amp;rclk=1" TargetMode="External"/><Relationship Id="rId172" Type="http://schemas.openxmlformats.org/officeDocument/2006/relationships/hyperlink" Target="https://www.google.com/maps/place/Monopole+Coffee+Lab/@-7.2898167,112.6874943,15z/data=!4m10!1m2!2m1!1sMonopole+Coffee+Lab+Darmo!3m6!1s0x2dd7fc16f115e1c1:0x23ffc9b695db7529!8m2!3d-7.2828488!4d112.6949386!15sChlNb25vcG9sZSBDb2ZmZWUgTGFiIERhcm1vWhsiGW1vbm9wb2xlIGNvZmZlZSBsYWIgZGFybW-SAQRjYWZl4AEA!16s%2Fg%2F11b6dg0cvf?entry=ttu&amp;g_ep=EgoyMDI2MDYyOS4wIKXMDSoASAFQAw%3D%3D" TargetMode="External"/><Relationship Id="rId171" Type="http://schemas.openxmlformats.org/officeDocument/2006/relationships/hyperlink" Target="https://www.google.com/maps/place/Penyetan+Indah/data=!4m7!3m6!1s0x2dd7fbd48e18ec4d:0x118d5f1d079de4ce!8m2!3d-7.2706579!4d112.7608529!16s%2Fg%2F11gfdyx2pf!19sChIJTewYjtT71y0RzuSdBx1fjRE?authuser=0&amp;hl=zh-TW&amp;rclk=1" TargetMode="External"/><Relationship Id="rId170" Type="http://schemas.openxmlformats.org/officeDocument/2006/relationships/hyperlink" Target="https://www.google.com/maps/place/Ciccia+Ristorante+-+Italian+Restaurant+and+Steak+House/data=!4m7!3m6!1s0x2dd7fbf97663caad:0x902060f91f9c9ce!8m2!3d-7.2813385!4d112.7354883!16s%2Fg%2F11qz7zfdw3!19sChIJrcpjdvn71y0Rzsn5kQ8GAgk?authuser=0&amp;hl=zh-TW&amp;rclk=1" TargetMode="External"/><Relationship Id="rId165" Type="http://schemas.openxmlformats.org/officeDocument/2006/relationships/hyperlink" Target="https://www.google.com/maps/place/Bon+Ami+Restaurant+-+Dr.+Soetomo/@-7.2833237,112.7353172,17z/data=!3m1!4b1!4m6!3m5!1s0x2dd7fbebc62d52a5:0x7b44731e55ef119b!8m2!3d-7.2833237!4d112.7353172!16s%2Fg%2F1td8ft81?entry=ttu&amp;g_ep=EgoyMDI2MDYyOS4wIKXMDSoASAFQAw%3D%3D" TargetMode="External"/><Relationship Id="rId164" Type="http://schemas.openxmlformats.org/officeDocument/2006/relationships/hyperlink" Target="https://www.google.com/maps/place/Wisata+Sontoh+Laut/@-7.2278548,112.6842941,17z/data=!3m1!4b1!4m6!3m5!1s0x2dd7ff70e9232dcb:0x5b9d07786d2218e1!8m2!3d-7.2278548!4d112.6842941!16s%2Fg%2F11qg4kbkzb?entry=ttu&amp;g_ep=EgoyMDI2MDYyOS4wIKXMDSoASAFQAw%3D%3D" TargetMode="External"/><Relationship Id="rId163" Type="http://schemas.openxmlformats.org/officeDocument/2006/relationships/hyperlink" Target="https://www.google.com/maps/place/Soto+Daging+H.+Abidin/data=!4m7!3m6!1s0x2dd7fde5dfc6cb7f:0x1e5374bc1f6fa1e5!8m2!3d-7.2807312!4d112.7089185!16s%2Fg%2F11h27ltg2j!19sChIJf8vG3-X91y0R5aFvH7x0Ux4?authuser=0&amp;hl=zh-TW&amp;rclk=1" TargetMode="External"/><Relationship Id="rId162" Type="http://schemas.openxmlformats.org/officeDocument/2006/relationships/hyperlink" Target="https://www.google.com/maps/place/Pangsit+Mie+Ayam+Jakarta+%22DI+JUAL+CEPAT%22/data=!4m7!3m6!1s0x2dd7f96bcd3a238b:0x37323fbff46b597d!8m2!3d-7.2336977!4d112.7621203!16s%2Fg%2F11gj72k5m9!19sChIJiyM6zWv51y0RfVlr9L8_Mjc?authuser=0&amp;hl=zh-TW&amp;rclk=1" TargetMode="External"/><Relationship Id="rId169" Type="http://schemas.openxmlformats.org/officeDocument/2006/relationships/hyperlink" Target="https://www.google.com/maps/place/Steak+Lab+SteakHouse/data=!4m7!3m6!1s0x2dd7fb6d552a2bc7:0xa54f870fe5bcbbc7!8m2!3d-7.2995063!4d112.6636811!16s%2Fg%2F11k6xv0l8x!19sChIJxysqVW371y0Rx7u85Q-HT6U?authuser=0&amp;hl=zh-TW&amp;rclk=1" TargetMode="External"/><Relationship Id="rId168" Type="http://schemas.openxmlformats.org/officeDocument/2006/relationships/hyperlink" Target="https://www.google.com/maps/place/Park+of+US+Bomber+B-26B+AURI+M265+-+Sungai+Kalimas/data=!4m7!3m6!1s0x2dd7fb9b5fb6a39f:0x8352911ce671365f!8m2!3d-7.2624065!4d112.7442389!16s%2Fg%2F11f66cjp1t!19sChIJn6O2X5v71y0RXzZx5hyRUoM?authuser=0&amp;hl=zh-TW&amp;rclk=1" TargetMode="External"/><Relationship Id="rId167" Type="http://schemas.openxmlformats.org/officeDocument/2006/relationships/hyperlink" Target="https://www.google.com/maps/place/Me%27nate+Steak+%26+Seafood+Surabaya/data=!4m7!3m6!1s0x2dd7fb291a47f3e5:0x9fe4b7ecfb1e797!8m2!3d-7.280376!4d112.767531!16s%2Fg%2F11ltfszd82!19sChIJ5fNHGin71y0Rl-exz35L_gk?authuser=0&amp;hl=zh-TW&amp;rclk=1" TargetMode="External"/><Relationship Id="rId166" Type="http://schemas.openxmlformats.org/officeDocument/2006/relationships/hyperlink" Target="https://www.google.com/maps/place/Komunitas+coffee+and+space/data=!4m7!3m6!1s0x2dd7fb54f833f5f5:0x7811a52ca5a6dd9b!8m2!3d-7.2934256!4d112.7582858!16s%2Fg%2F11h194y52n!19sChIJ9fUz-FT71y0Rm92mpSylEXg?authuser=0&amp;hl=zh-TW&amp;rclk=1" TargetMode="External"/><Relationship Id="rId161" Type="http://schemas.openxmlformats.org/officeDocument/2006/relationships/hyperlink" Target="https://www.google.com/maps/place/Nasi+Ayam+%26+Nasi+Bebek+Cak+Da%27i/data=!4m7!3m6!1s0x2dd7fb4522012993:0x4bf2d7511f76c1e5!8m2!3d-7.3359679!4d112.7285799!16s%2Fg%2F11b6t33x7z!19sChIJkykBIkX71y0R5cF2H1HX8ks?authuser=0&amp;hl=zh-TW&amp;rclk=1" TargetMode="External"/><Relationship Id="rId160" Type="http://schemas.openxmlformats.org/officeDocument/2006/relationships/hyperlink" Target="https://www.google.com/maps/place/KAE+KOPI+SURABAYA/data=!4m7!3m6!1s0x2dd7fddbddd7eeb5:0x540b90ba1eac1a4f!8m2!3d-7.2757603!4d112.7111635!16s%2Fg%2F11sfdbp6g5!19sChIJte7X3dv91y0RTxqsHrqQC1Q?authuser=0&amp;hl=zh-TW&amp;rclk=1" TargetMode="External"/><Relationship Id="rId159" Type="http://schemas.openxmlformats.org/officeDocument/2006/relationships/hyperlink" Target="https://www.google.com/maps/place/Kota+Lama+Surabaya/@-7.2363085,112.7373439,17z/data=!3m1!4b1!4m6!3m5!1s0x2dd7f9002a6c31e1:0x136d216464ad11be!8m2!3d-7.2363085!4d112.7373439!16s%2Fg%2F11vy73nmr4?entry=ttu&amp;g_ep=EgoyMDI2MDYyOS4wIKXMDSoASAFQAw%3D%3D" TargetMode="External"/><Relationship Id="rId154" Type="http://schemas.openxmlformats.org/officeDocument/2006/relationships/hyperlink" Target="https://www.google.com/maps/place/Penyetan+%27SS%27/data=!4m7!3m6!1s0x2dd7fbc907404433:0xfa4e79f15294cfba!8m2!3d-7.2844039!4d112.7547596!16s%2Fg%2F11bxfv_hqb!19sChIJM0RAB8n71y0Rus-UUvF5Tvo?authuser=0&amp;hl=zh-TW&amp;rclk=1" TargetMode="External"/><Relationship Id="rId396" Type="http://schemas.openxmlformats.org/officeDocument/2006/relationships/hyperlink" Target="https://www.google.com/maps/place/Soto+Daging+Rawon+Iga+45/data=!4m7!3m6!1s0x2dd7fb29f59981d1:0xb79c2ef1d416ad99!8m2!3d-7.2902023!4d112.719402!16s%2Fg%2F11rsd_rt90!19sChIJ0YGZ9Sn71y0Rma0W1PEunLc?authuser=0&amp;hl=zh-TW&amp;rclk=1" TargetMode="External"/><Relationship Id="rId153" Type="http://schemas.openxmlformats.org/officeDocument/2006/relationships/hyperlink" Target="https://www.google.com/maps/place/Dapur+Rawon+by+Rawon+Setan/data=!4m7!3m6!1s0x2dd7fb7586846c55:0xe2ebea093a3ca53b!8m2!3d-7.3223417!4d112.7857089!16s%2Fg%2F11j0r9l78y!19sChIJVWyEhnX71y0RO6U8Ognq6-I?authuser=0&amp;hl=zh-TW&amp;rclk=1" TargetMode="External"/><Relationship Id="rId395" Type="http://schemas.openxmlformats.org/officeDocument/2006/relationships/hyperlink" Target="https://www.google.com/maps/place/Bakso+%26+Mie+Ayam+Cak+Jay/data=!4m7!3m6!1s0x2dd7fb9739deb379:0x6601c5ca82d0ab!8m2!3d-7.296029!4d112.7338222!16s%2Fg%2F11btmq5m5h!19sChIJebPeOZf71y0Rq9CCysUBZgA?authuser=0&amp;hl=zh-TW&amp;rclk=1" TargetMode="External"/><Relationship Id="rId152" Type="http://schemas.openxmlformats.org/officeDocument/2006/relationships/hyperlink" Target="https://www.google.com/maps/place/Bakmi+Jogja+Gending+Sari+Surabaya/data=!4m7!3m6!1s0x2dd7fb658a852973:0xbebeff1fef56e084!8m2!3d-7.3277262!4d112.7810987!16s%2Fg%2F11qn2wq5_0!19sChIJcymFimX71y0RhOBW7x__vr4?authuser=0&amp;hl=zh-TW&amp;rclk=1" TargetMode="External"/><Relationship Id="rId394" Type="http://schemas.openxmlformats.org/officeDocument/2006/relationships/hyperlink" Target="https://www.google.com/maps/place/Rawon+Mas+Popon/data=!4m7!3m6!1s0x2dd7f92fcec2a6fd:0x1a15cbe8034b0738!8m2!3d-7.256672!4d112.763515!16s%2Fg%2F11j81c1rzk!19sChIJ_abCzi_51y0ROAdLA-jLFRo?authuser=0&amp;hl=zh-TW&amp;rclk=1" TargetMode="External"/><Relationship Id="rId151" Type="http://schemas.openxmlformats.org/officeDocument/2006/relationships/hyperlink" Target="https://www.google.com/maps/place/Sambang+Cafe+%26+Eatery/data=!4m7!3m6!1s0x2dd7f966f3ad93b1:0x36958792108907e9!8m2!3d-7.2613916!4d112.7479164!16s%2Fg%2F11tfk9h143!19sChIJsZOt82b51y0R6QeJEJKHlTY?authuser=0&amp;hl=zh-TW&amp;rclk=1" TargetMode="External"/><Relationship Id="rId393" Type="http://schemas.openxmlformats.org/officeDocument/2006/relationships/hyperlink" Target="https://www.google.com/maps/place/Nasi+Bebek+Sayank+Anak+Pak+Yudi/data=!4m7!3m6!1s0x2dd7f93e6654248f:0x7d3ad9260df4d347!8m2!3d-7.2431322!4d112.7366051!16s%2Fg%2F11b6hv3bdp!19sChIJjyRUZj751y0RR9P0DSbZOn0?authuser=0&amp;hl=zh-TW&amp;rclk=1" TargetMode="External"/><Relationship Id="rId158" Type="http://schemas.openxmlformats.org/officeDocument/2006/relationships/hyperlink" Target="https://www.google.com/maps/place/Bakso+Super+Pak+De+Bogowonto/data=!4m7!3m6!1s0x2dd7fd8fe35334df:0xbc41b8aa8aed2ecb!8m2!3d-7.2891872!4d112.7332307!16s%2Fg%2F11fvx6_ch6!19sChIJ3zRT44_91y0Ryy7tiqq4Qbw?authuser=0&amp;hl=zh-TW&amp;rclk=1" TargetMode="External"/><Relationship Id="rId157" Type="http://schemas.openxmlformats.org/officeDocument/2006/relationships/hyperlink" Target="https://www.google.com/maps/place/Karbs+Social+-+Bakery+%26+Cafe/@-7.286058,112.7331023,17z/data=!3m1!4b1!4m6!3m5!1s0x2dd7fbb4bc47dc5d:0x31b4a0c0c7f0573!8m2!3d-7.286058!4d112.7331023!16s%2Fg%2F11y0mm0b31?entry=ttu&amp;g_ep=EgoyMDI2MDYyOS4wIKXMDSoASAFQAw%3D%3D" TargetMode="External"/><Relationship Id="rId399" Type="http://schemas.openxmlformats.org/officeDocument/2006/relationships/hyperlink" Target="https://www.google.com/maps/place/Nasi+Bebek+H.+Fauzi/data=!4m7!3m6!1s0x2dd7fbb1ca89e947:0x273590fb9d993b18!8m2!3d-7.2953277!4d112.7541238!16s%2Fg%2F11cm75l9tf!19sChIJR-mJyrH71y0RGDuZnfuQNSc?authuser=0&amp;hl=zh-TW&amp;rclk=1" TargetMode="External"/><Relationship Id="rId156" Type="http://schemas.openxmlformats.org/officeDocument/2006/relationships/hyperlink" Target="https://www.google.com/maps/place/Depot+Bebek+H.+Wachid+Hasyim/data=!4m7!3m6!1s0x2dd7fb6a031a447f:0x812c67c328523581!8m2!3d-7.3273005!4d112.7332611!16s%2Fg%2F1hm30m340!19sChIJf0QaA2r71y0RgTVSKMNnLIE?authuser=0&amp;hl=zh-TW&amp;rclk=1" TargetMode="External"/><Relationship Id="rId398" Type="http://schemas.openxmlformats.org/officeDocument/2006/relationships/hyperlink" Target="https://www.google.com/maps/place/Taman+M.+Duryat/data=!4m7!3m6!1s0x2dd7fbe072a25673:0x528db17315bd3586!8m2!3d-7.2684728!4d112.7383377!16s%2Fg%2F11g698y8w2!19sChIJc1aicuD71y0RhjW9FXOxjVI?authuser=0&amp;hl=zh-TW&amp;rclk=1" TargetMode="External"/><Relationship Id="rId155" Type="http://schemas.openxmlformats.org/officeDocument/2006/relationships/hyperlink" Target="https://www.google.com/maps/place/Rawon+Gusti/data=!4m7!3m6!1s0x2dd7fdb74b1e3795:0xc14420d0ab6f656b!8m2!3d-7.2855334!4d112.6525378!16s%2Fg%2F11xn9xm0ls!19sChIJlTceS7f91y0Ra2Vvq9AgRME?authuser=0&amp;hl=zh-TW&amp;rclk=1" TargetMode="External"/><Relationship Id="rId397" Type="http://schemas.openxmlformats.org/officeDocument/2006/relationships/hyperlink" Target="https://www.google.com/maps/place/New+Pelabuhan+Seafood+%26+Chinese+Food+Restaurant/data=!4m7!3m6!1s0x2dd7fb1b66d204eb:0x6a25942af8042301!8m2!3d-7.3225098!4d112.7451301!16s%2Fg%2F11fs9p1smn!19sChIJ6wTSZhv71y0RASME-CqUJWo?authuser=0&amp;hl=zh-TW&amp;rclk=1" TargetMode="External"/><Relationship Id="rId40" Type="http://schemas.openxmlformats.org/officeDocument/2006/relationships/hyperlink" Target="https://www.google.com/maps/place/Depot+Singaraja+Pak+Gede/data=!4m7!3m6!1s0x2dd7f96a561e3cad:0x1e4a35b872b0c0fd!8m2!3d-7.2497684!4d112.741108!16s%2Fg%2F11b6d41l69!19sChIJrTweVmr51y0R_cCwcrg1Sh4?authuser=0&amp;hl=zh-TW&amp;rclk=1" TargetMode="External"/><Relationship Id="rId42" Type="http://schemas.openxmlformats.org/officeDocument/2006/relationships/hyperlink" Target="https://www.google.com/maps/place/Bebini+Gelati+Caf%C3%A9/data=!4m7!3m6!1s0x2dd7fa29bce687cd:0xf93f5938ee2b3c55!8m2!3d-7.2671004!4d112.7706514!16s%2Fg%2F11cs16gvqc!19sChIJzYfmvCn61y0RVTwr7jhZP_k?authuser=0&amp;hl=zh-TW&amp;rclk=1" TargetMode="External"/><Relationship Id="rId41" Type="http://schemas.openxmlformats.org/officeDocument/2006/relationships/hyperlink" Target="https://www.google.com/maps/place/Yoi+Kona+2.0/data=!4m7!3m6!1s0x2dd7fb9ffc2cde45:0x5fdf9347e67f4747!8m2!3d-7.26979!4d112.744348!16s%2Fg%2F11thbyp200!19sChIJRd4s_J_71y0RR0d_5keT318?authuser=0&amp;hl=zh-TW&amp;rclk=1" TargetMode="External"/><Relationship Id="rId44" Type="http://schemas.openxmlformats.org/officeDocument/2006/relationships/hyperlink" Target="https://www.google.com/maps/place/Bakso+Iwan+Prasmanan+Cabang+Arjuno/data=!4m7!3m6!1s0x2dd7f9582881e7b7:0xb91ba50e315b993f!8m2!3d-7.265728!4d112.7272991!16s%2Fg%2F11ggbrsvm4!19sChIJt-eBKFj51y0RP5lbMQ6lG7k?authuser=0&amp;hl=zh-TW&amp;rclk=1" TargetMode="External"/><Relationship Id="rId43" Type="http://schemas.openxmlformats.org/officeDocument/2006/relationships/hyperlink" Target="https://www.google.com/maps/place/Bakso+Putra+Mantep/data=!4m7!3m6!1s0x2dd7f9937f8f8da5:0xea0d61976529b232!8m2!3d-7.249548!4d112.7827012!16s%2Fg%2F11g6rbhsff!19sChIJpY2Pf5P51y0RMrIpZZdhDeo?authuser=0&amp;hl=zh-TW&amp;rclk=1" TargetMode="External"/><Relationship Id="rId46" Type="http://schemas.openxmlformats.org/officeDocument/2006/relationships/hyperlink" Target="https://www.google.com/maps/place/Warung+Bu+Kris/data=!4m7!3m6!1s0x2dd7fa33986b16fb:0xd8f806fb14ca632a!8m2!3d-7.2777432!4d112.7653907!16s%2Fg%2F1hc16bbtr!19sChIJ-xZrmDP61y0RKmPKFPsG-Ng?authuser=0&amp;hl=zh-TW&amp;rclk=1" TargetMode="External"/><Relationship Id="rId45" Type="http://schemas.openxmlformats.org/officeDocument/2006/relationships/hyperlink" Target="https://www.google.com/maps/place/Ria+Beach+Kenjeran/data=!4m7!3m6!1s0x2e79be2f20f43191:0xad5c2fdaadec1f28!8m2!3d-7.2509164!4d112.8009332!16s%2Fg%2F1tj3hh0v!19sChIJkTH0IC--eS4RKB_srdovXK0?authuser=0&amp;hl=zh-TW&amp;rclk=1" TargetMode="External"/><Relationship Id="rId509" Type="http://schemas.openxmlformats.org/officeDocument/2006/relationships/hyperlink" Target="https://www.google.com/maps/place/Graha+Natura+Park/data=!4m7!3m6!1s0x2dd7fd3ebd0d4a13:0xbbeee0f669e1c0c5!8m2!3d-7.2755677!4d112.6671294!16s%2Fg%2F11hm70gc79!19sChIJE0oNvT791y0RxcDhafbg7rs?authuser=0&amp;hl=zh-TW&amp;rclk=1" TargetMode="External"/><Relationship Id="rId508" Type="http://schemas.openxmlformats.org/officeDocument/2006/relationships/hyperlink" Target="https://www.google.com/maps/place/SIA+COFFEE/data=!4m7!3m6!1s0x2dd7fd76ab275a47:0x6555b8a370311d3!8m2!3d-7.288321!4d112.7088618!16s%2Fg%2F11lt9ntjmh!19sChIJR1onq3b91y0R0xEDN4pbVQY?authuser=0&amp;hl=zh-TW&amp;rclk=1" TargetMode="External"/><Relationship Id="rId503" Type="http://schemas.openxmlformats.org/officeDocument/2006/relationships/hyperlink" Target="https://www.google.com/maps/place/Bakso+asli+solo+Pak+Tono/data=!4m7!3m6!1s0x2dd7fa1592e94ecb:0x76cfc9c7e54c90f6!8m2!3d-7.2812233!4d112.7873977!16s%2Fg%2F11bxdzh6bb!19sChIJy07pkhX61y0R9pBM5cfJz3Y?authuser=0&amp;hl=zh-TW&amp;rclk=1" TargetMode="External"/><Relationship Id="rId745" Type="http://schemas.openxmlformats.org/officeDocument/2006/relationships/hyperlink" Target="https://www.google.com/maps/place/Domicile+Kitchen+Lounge/data=!4m7!3m6!1s0x2dd7fbd9ce98e1fd:0x7d23e2e7537c2996!8m2!3d-7.2692707!4d112.7501173!16s%2Fg%2F11b6cq5n94!19sChIJ_eGYztn71y0Rlil8U-fiI30?authuser=0&amp;hl=zh-TW&amp;rclk=1" TargetMode="External"/><Relationship Id="rId502" Type="http://schemas.openxmlformats.org/officeDocument/2006/relationships/hyperlink" Target="https://www.google.com/maps/place/Danau+Angsa+Pakuwon+City/data=!4m7!3m6!1s0x2dd7fa063bb30d4f:0x8158254a0cb4357c!8m2!3d-7.2728801!4d112.8066985!16s%2Fg%2F11clyt0ghk!19sChIJTw2zOwb61y0RfDW0DEolWIE?authuser=0&amp;hl=zh-TW&amp;rclk=1" TargetMode="External"/><Relationship Id="rId744" Type="http://schemas.openxmlformats.org/officeDocument/2006/relationships/hyperlink" Target="https://www.google.com/maps/place/Pangsit+Mie+Ayam+Jakarta/data=!4m7!3m6!1s0x2dd7fbd42c907be5:0xff63c58650fd9c00!8m2!3d-7.281993!4d112.7163115!16s%2Fg%2F11bw5mdk60!19sChIJ5XuQLNT71y0RAJz9UIbFY_8?authuser=0&amp;hl=zh-TW&amp;rclk=1" TargetMode="External"/><Relationship Id="rId501" Type="http://schemas.openxmlformats.org/officeDocument/2006/relationships/hyperlink" Target="https://www.google.com/maps/place/Nasi+Pecel+Madiun+Dan+Rawon+RMI/data=!4m7!3m6!1s0x2dd7fbad78608ad3:0x75e4b4279f2a3c5d!8m2!3d-7.2968498!4d112.7600703!16s%2Fg%2F11gmb4h1v6!19sChIJ04pgeK371y0RXTwqnye05HU?authuser=0&amp;hl=zh-TW&amp;rclk=1" TargetMode="External"/><Relationship Id="rId743" Type="http://schemas.openxmlformats.org/officeDocument/2006/relationships/hyperlink" Target="https://www.google.com/maps/place/Culinary+Sentra+Dharmawangsa+%2F+Hokky+Open+24+Hours/data=!4m7!3m6!1s0x2dd7fbd60d244851:0x1bd60c87ef84a349!8m2!3d-7.2673172!4d112.7561795!16s%2Fg%2F11b69bcrbv!19sChIJUUgkDdb71y0RSaOE74cM1hs?authuser=0&amp;hl=zh-TW&amp;rclk=1" TargetMode="External"/><Relationship Id="rId500" Type="http://schemas.openxmlformats.org/officeDocument/2006/relationships/hyperlink" Target="https://www.google.com/maps/place/Museum+Mpu+Tantular/data=!4m7!3m6!1s0x2dd7f963d2d4fb4d:0xfd521173211bad9f!8m2!3d-7.4333832!4d112.7198449!16s%2Fg%2F12203whl!19sChIJTfvU0mP51y0Rn60bIXMRUv0?authuser=0&amp;hl=zh-TW&amp;rclk=1" TargetMode="External"/><Relationship Id="rId742" Type="http://schemas.openxmlformats.org/officeDocument/2006/relationships/hyperlink" Target="https://www.google.com/maps/place/Pangsit+Mie+Ayam+Tidar+238/data=!4m7!3m6!1s0x2dd7f94e6d895423:0x2434f9e80ee0350!8m2!3d-7.2565314!4d112.7218806!16s%2Fg%2F11bwp1q3bm!19sChIJI1SJbU751y0RUAPugJ5PQwI?authuser=0&amp;hl=zh-TW&amp;rclk=1" TargetMode="External"/><Relationship Id="rId507" Type="http://schemas.openxmlformats.org/officeDocument/2006/relationships/hyperlink" Target="https://www.google.com/maps/place/Bakso+Kikil+Sapi+Asli+Manunggal+Cak+Mat/data=!4m7!3m6!1s0x2dd7f979c91fc90d:0xf8e4834fc7791716!8m2!3d-7.2567877!4d112.7591215!16s%2Fg%2F11cm4485nb!19sChIJDckfyXn51y0RFhd5x0-D5Pg?authuser=0&amp;hl=zh-TW&amp;rclk=1" TargetMode="External"/><Relationship Id="rId749" Type="http://schemas.openxmlformats.org/officeDocument/2006/relationships/hyperlink" Target="https://www.google.com/maps/place/Taman+Rungkut+Madya/data=!4m7!3m6!1s0x2dd7fbf7d578c85b:0x7bb9fd278578c87!8m2!3d-7.3314015!4d112.7815532!16s%2Fg%2F11sj5pvztw!19sChIJW8h41ff71y0Rh4xXeNKfuwc?authuser=0&amp;hl=zh-TW&amp;rclk=1" TargetMode="External"/><Relationship Id="rId506" Type="http://schemas.openxmlformats.org/officeDocument/2006/relationships/hyperlink" Target="https://www.google.com/maps/place/Xiang+Fu+Hai+Cuisine/data=!4m7!3m6!1s0x2dd7fd5f04548265:0x66eab3a88e0c137c!8m2!3d-7.2861622!4d112.6993178!16s%2Fg%2F11gh9568wx!19sChIJZYJUBF_91y0RfBMMjqiz6mY?authuser=0&amp;hl=zh-TW&amp;rclk=1" TargetMode="External"/><Relationship Id="rId748" Type="http://schemas.openxmlformats.org/officeDocument/2006/relationships/hyperlink" Target="https://www.google.com/maps/place/Muphus+Seafood+Surabaya+2/data=!4m7!3m6!1s0x2dd7ff003ca0a513:0xe7eb221578555f57!8m2!3d-7.2430094!4d112.6310949!16s%2Fg%2F11wq3g8_v9!19sChIJE6WgPAD_1y0RV19VeBUi6-c?authuser=0&amp;hl=zh-TW&amp;rclk=1" TargetMode="External"/><Relationship Id="rId505" Type="http://schemas.openxmlformats.org/officeDocument/2006/relationships/hyperlink" Target="https://www.google.com/maps/place/Xiang+Fu+Hai+Cuisine/data=!4m7!3m6!1s0x2dd7fd5f04548265:0x66eab3a88e0c137c!8m2!3d-7.2861622!4d112.6993178!16s%2Fg%2F11gh9568wx!19sChIJZYJUBF_91y0RfBMMjqiz6mY?authuser=0&amp;hl=zh-TW&amp;rclk=1" TargetMode="External"/><Relationship Id="rId747" Type="http://schemas.openxmlformats.org/officeDocument/2006/relationships/hyperlink" Target="https://www.google.com/maps/place/DIMSUM+MBLEDOS+MERR/@-7.2595452,112.7826906,17z/data=!3m1!4b1!4m6!3m5!1s0x2dd7f98c76b11215:0x28b75e5050f13585!8m2!3d-7.2595452!4d112.7826906!16s%2Fg%2F11b6v6j4gj?entry=ttu&amp;g_ep=EgoyMDI2MDYyOS4wIKXMDSoASAFQAw%3D%3D" TargetMode="External"/><Relationship Id="rId504" Type="http://schemas.openxmlformats.org/officeDocument/2006/relationships/hyperlink" Target="https://www.google.com/maps/place/Bakso+Daging+Sapi+P.Sabar/data=!4m7!3m6!1s0x2dd7fbd37cf37f97:0xf2a87e6343240ea9!8m2!3d-7.27131!4d112.760384!16s%2Fg%2F1pzt2_6rq!19sChIJl3_zfNP71y0RqQ4kQ2N-qPI?authuser=0&amp;hl=zh-TW&amp;rclk=1" TargetMode="External"/><Relationship Id="rId746" Type="http://schemas.openxmlformats.org/officeDocument/2006/relationships/hyperlink" Target="https://www.google.com/maps/place/Wisata+Kuliner+Embong+Blimbing/data=!4m7!3m6!1s0x2dd7fbdfc9f053fb:0x403cfaab979a14a9!8m2!3d-7.2692136!4d112.7405024!16s%2Fg%2F11g027lly1!19sChIJ-1Pwyd_71y0RqRSal6v6PEA?authuser=0&amp;hl=zh-TW&amp;rclk=1" TargetMode="External"/><Relationship Id="rId48" Type="http://schemas.openxmlformats.org/officeDocument/2006/relationships/hyperlink" Target="https://www.google.com/maps/place/jawa+garden+alam+park/data=!4m7!3m6!1s0x2dd7fb4a0c010479:0x597a8bd203ca78b9!8m2!3d-7.28882!4d112.7386058!16s%2Fg%2F11y5gy948q!19sChIJeQQBDEr71y0RuXjKA9KLelk?authuser=0&amp;hl=zh-TW&amp;rclk=1" TargetMode="External"/><Relationship Id="rId47" Type="http://schemas.openxmlformats.org/officeDocument/2006/relationships/hyperlink" Target="https://www.google.com/maps/place/Mie+Pitik+dan+Bakso+%22Barcelona%22/data=!4m7!3m6!1s0x2dd7fbaf67abd88f:0x631c7b12e7c77c34!8m2!3d-7.272653!4d112.7660788!16s%2Fg%2F11f6y6pk2n!19sChIJj9irZ6_71y0RNHzH5xJ7HGM?authuser=0&amp;hl=zh-TW&amp;rclk=1" TargetMode="External"/><Relationship Id="rId49" Type="http://schemas.openxmlformats.org/officeDocument/2006/relationships/hyperlink" Target="https://www.google.com/maps/place/Soto+Madura+Dan+Soto+Ayam+H.+Syafik+Arief+Rahman+Hakim+%28Warung+Makan+Soto,+Soto+Madura+Asli,+Soto+Daging+Madura,+Soto+Ayam%29/data=!4m7!3m6!1s0x2dd7fa4691d3c2bb:0x5b2a071aed9641e8!8m2!3d-7.2893881!4d112.7785537!16s%2Fg%2F11cn8ys_0n!19sChIJu8LTkUb61y0R6EGW7RoHKls?authuser=0&amp;hl=zh-TW&amp;rclk=1" TargetMode="External"/><Relationship Id="rId741" Type="http://schemas.openxmlformats.org/officeDocument/2006/relationships/hyperlink" Target="https://www.google.com/maps/place/Kuliner+Malam+Jeng+Tika/data=!4m7!3m6!1s0x2dd7fbfca99f89fd:0x2d81e952425a7a5!8m2!3d-7.3220213!4d112.7787137!16s%2Fg%2F11sq890q8f!19sChIJ_Ymfqfz71y0RpaclJJUe2AI?authuser=0&amp;hl=zh-TW&amp;rclk=1" TargetMode="External"/><Relationship Id="rId740" Type="http://schemas.openxmlformats.org/officeDocument/2006/relationships/hyperlink" Target="https://www.google.com/maps/place/3C+Cafe+-+Margorejo+Indah/data=!4m7!3m6!1s0x2dd7fb4ec6b73dc1:0xe0000e42984495b3!8m2!3d-7.3176746!4d112.745818!16s%2Fg%2F11t0sqww__!19sChIJwT23xk771y0Rs5VEmEIOAOA?authuser=0&amp;hl=zh-TW&amp;rclk=1" TargetMode="External"/><Relationship Id="rId31" Type="http://schemas.openxmlformats.org/officeDocument/2006/relationships/hyperlink" Target="https://www.google.com/maps/place/Cafe+Rooftop+Mibimibi/data=!4m7!3m6!1s0x2dd7f9e724054b91:0xf13717e3a4986c97!8m2!3d-7.2638032!4d112.7173132!16s%2Fg%2F11f9v7p_wt!19sChIJkUsFJOf51y0Rl2yYpOMXN_E?authuser=0&amp;hl=zh-TW&amp;rclk=1" TargetMode="External"/><Relationship Id="rId30" Type="http://schemas.openxmlformats.org/officeDocument/2006/relationships/hyperlink" Target="https://www.google.com/maps/place/Crab+N+Co+Restaurant/data=!4m7!3m6!1s0x2dd7fdda680f2979:0x9994aaf04ca801c1!8m2!3d-7.2868057!4d112.6470856!16s%2Fg%2F11pckj51zh!19sChIJeSkPaNr91y0RwQGoTPCqlJk?authuser=0&amp;hl=zh-TW&amp;rclk=1" TargetMode="External"/><Relationship Id="rId33" Type="http://schemas.openxmlformats.org/officeDocument/2006/relationships/hyperlink" Target="https://www.google.com/maps/place/Kapas+Krampung+Street+Food+Culinary+Center,+Surabaya/data=!4m7!3m6!1s0x2dd7f99c5c107609:0x29d363e56fe4453a!8m2!3d-7.252782!4d112.7670666!16s%2Fg%2F11c325y6rd!19sChIJCXYQXJz51y0ROkXkb-Vj0yk?authuser=0&amp;hl=zh-TW&amp;rclk=1" TargetMode="External"/><Relationship Id="rId32" Type="http://schemas.openxmlformats.org/officeDocument/2006/relationships/hyperlink" Target="https://www.google.com/maps/place/Shigoto+Coffee+-+Dukuh+Kupang+Barat/data=!4m7!3m6!1s0x2dd7fdf00defde55:0x6a3f5adc286e7b47!8m2!3d-7.2838563!4d112.7082899!16s%2Fg%2F11wj95kjqf!19sChIJVd7vDfD91y0RR3tuKNxaP2o?authuser=0&amp;hl=zh-TW&amp;rclk=1" TargetMode="External"/><Relationship Id="rId35" Type="http://schemas.openxmlformats.org/officeDocument/2006/relationships/hyperlink" Target="https://www.google.com/maps/place/Penyetan+Bu+NUR/data=!4m7!3m6!1s0x2dd7fb4c7fe1ee5f:0x7445d9f8c1c32203!8m2!3d-7.2974774!4d112.7331763!16s%2Fg%2F11fjtl95zq!19sChIJX-7hf0z71y0RAyLDwfjZRXQ?authuser=0&amp;hl=zh-TW&amp;rclk=1" TargetMode="External"/><Relationship Id="rId34" Type="http://schemas.openxmlformats.org/officeDocument/2006/relationships/hyperlink" Target="https://www.google.com/maps/place/Warung+sumber+rejeki+%28Rawon+Bu+Sri%29/data=!4m7!3m6!1s0x2dd7fc05026fe349:0xa178b0cb3465d620!8m2!3d-7.2764531!4d112.7058434!16s%2Fg%2F11gcf3xwvm!19sChIJSeNvAgX81y0RINZlNMuweKE?authuser=0&amp;hl=zh-TW&amp;rclk=1" TargetMode="External"/><Relationship Id="rId739" Type="http://schemas.openxmlformats.org/officeDocument/2006/relationships/hyperlink" Target="https://www.google.com/maps/place/Monumen+Kapal+Selam+Surabaya/data=!4m7!3m6!1s0x2dd7f9628df520e5:0x577443720136fb0b!8m2!3d-7.265591!4d112.7503272!16s%2Fg%2F121_5bz_!19sChIJ5SD1jWL51y0RC_s2AXJDdFc?authuser=0&amp;hl=zh-TW&amp;rclk=1" TargetMode="External"/><Relationship Id="rId734" Type="http://schemas.openxmlformats.org/officeDocument/2006/relationships/hyperlink" Target="https://www.google.com/maps/place/Imari+Japanese+Restaurant+at+JW+Marriott+Surabaya/data=!4m7!3m6!1s0x2dd7f95cf3c44ec7:0xb9d003f8e5afe15d!8m2!3d-7.259647!4d112.734734!16s%2Fg%2F11cfhh5c7!19sChIJx07E81z51y0RXeGv5fgD0Lk?authuser=0&amp;hl=zh-TW&amp;rclk=1" TargetMode="External"/><Relationship Id="rId733" Type="http://schemas.openxmlformats.org/officeDocument/2006/relationships/hyperlink" Target="https://www.google.com/maps/place/Baradjawa+Coffee+-+Gayungsari/data=!4m7!3m6!1s0x2dd7fbac66c3853f:0x5301133e58599b3c!8m2!3d-7.3314452!4d112.7181276!16s%2Fg%2F11t3dw6hq9!19sChIJP4XDZqz71y0RPJtZWD4TAVM?authuser=0&amp;hl=zh-TW&amp;rclk=1" TargetMode="External"/><Relationship Id="rId732" Type="http://schemas.openxmlformats.org/officeDocument/2006/relationships/hyperlink" Target="https://www.google.com/maps/place/SATE+AYAM+DAN+SATE+KLOPO+ABA+MAKRUF/data=!4m7!3m6!1s0x2dd7f94f09617049:0x101c0404f3155deb!8m2!3d-7.2554016!4d112.7251419!16s%2Fg%2F11f2cky1f1!19sChIJSXBhCU_51y0R610V8wQEHBA?authuser=0&amp;hl=zh-TW&amp;rclk=1" TargetMode="External"/><Relationship Id="rId731" Type="http://schemas.openxmlformats.org/officeDocument/2006/relationships/hyperlink" Target="https://www.google.com/maps/place/Sari+Laut+Cak+Aris+Khas+Lamongan/@-7.2921493,112.7476508,17z/data=!3m1!4b1!4m6!3m5!1s0x2dd7fbba1acfc8c3:0x99d6e25a8482cc!8m2!3d-7.2921546!4d112.7502257!16s%2Fg%2F11bzsg_m61?entry=ttu&amp;g_ep=EgoyMDI2MDYyOS4wIKXMDSoASAFQAw%3D%3D" TargetMode="External"/><Relationship Id="rId738" Type="http://schemas.openxmlformats.org/officeDocument/2006/relationships/hyperlink" Target="https://www.google.com/maps/place/Seafood+AMEN/data=!4m7!3m6!1s0x2dd7fa5f4c52c4b1:0xc9be1f2b9a92ba3e!8m2!3d-7.304443!4d112.781004!16s%2Fg%2F11b6tzlslv!19sChIJscRSTF_61y0RPrqSmisfvsk?authuser=0&amp;hl=zh-TW&amp;rclk=1" TargetMode="External"/><Relationship Id="rId737" Type="http://schemas.openxmlformats.org/officeDocument/2006/relationships/hyperlink" Target="https://www.google.com/maps/place/Taman+Jagir+Wonokromo/data=!4m7!3m6!1s0x2dd7fbe982624801:0x6d0fca33aab9485!8m2!3d-7.3017507!4d112.744372!16s%2Fg%2F11h75jj68q!19sChIJAUhigun71y0RhZSrOqP80AY?authuser=0&amp;hl=zh-TW&amp;rclk=1" TargetMode="External"/><Relationship Id="rId736" Type="http://schemas.openxmlformats.org/officeDocument/2006/relationships/hyperlink" Target="https://www.google.com/maps/place/Taman+Mentari/@-7.2331605,112.7902023,17z/data=!3m1!4b1!4m6!3m5!1s0x2dd7f9c88c5a5da9:0xd1c0ab39457d05f1!8m2!3d-7.2331605!4d112.7902023!16s%2Fg%2F11f3tjqggm?entry=ttu&amp;g_ep=EgoyMDI2MDYyOS4wIKXMDSoASAFQAw%3D%3D" TargetMode="External"/><Relationship Id="rId735" Type="http://schemas.openxmlformats.org/officeDocument/2006/relationships/hyperlink" Target="https://www.google.com/maps/place/Pakal+Park/data=!4m7!3m6!1s0x2dd7fe2f8c4855b9:0x48ebc04897b7037f!8m2!3d-7.2420068!4d112.6297684!16s%2Fg%2F11b7khs0p7!19sChIJuVVIjC_-1y0RfwO3l0jA60g?authuser=0&amp;hl=zh-TW&amp;rclk=1" TargetMode="External"/><Relationship Id="rId37" Type="http://schemas.openxmlformats.org/officeDocument/2006/relationships/hyperlink" Target="https://www.google.com/maps/place/Hari+Hari+Restaurant/data=!4m7!3m6!1s0x2dd7fb934cbf946f:0x8dc307166bbd4da7!8m2!3d-7.287681!4d112.731984!16s%2Fg%2F1hc1v5f3z!19sChIJb5S_TJP71y0Rp029axYHw40?authuser=0&amp;hl=zh-TW&amp;rclk=1" TargetMode="External"/><Relationship Id="rId36" Type="http://schemas.openxmlformats.org/officeDocument/2006/relationships/hyperlink" Target="https://www.google.com/maps/place/Penyetan+Spesial+Sambel+Uleg+Cak+Naryo/data=!4m7!3m6!1s0x2dd7fc89489610e3:0xdd3f2561bba4ded8!8m2!3d-7.3135353!4d112.6968003!16s%2Fg%2F11cm4h7np8!19sChIJ4xCWSIn81y0R2N6ku2ElP90?authuser=0&amp;hl=zh-TW&amp;rclk=1" TargetMode="External"/><Relationship Id="rId39" Type="http://schemas.openxmlformats.org/officeDocument/2006/relationships/hyperlink" Target="https://www.google.com/maps/place/Rindu+Malam+Solo%27s+Meatballs/data=!4m7!3m6!1s0x2dd7fb972c8289b3:0xd235ac96aa9c53d2!8m2!3d-7.2956457!4d112.7333035!16s%2Fg%2F1hm4v8tn6!19sChIJs4mCLJf71y0R0lOcqpasNdI?authuser=0&amp;hl=zh-TW&amp;rclk=1" TargetMode="External"/><Relationship Id="rId38" Type="http://schemas.openxmlformats.org/officeDocument/2006/relationships/hyperlink" Target="https://www.google.com/maps/place/Seirama+Kafe/data=!4m7!3m6!1s0x2dd7f94d14cc66a1:0xb305433d980803dc!8m2!3d-7.2587001!4d112.7828312!16s%2Fg%2F11ny0m53xr!19sChIJoWbMFE351y0R3AMImD1DBbM?authuser=0&amp;hl=zh-TW&amp;rclk=1" TargetMode="External"/><Relationship Id="rId730" Type="http://schemas.openxmlformats.org/officeDocument/2006/relationships/hyperlink" Target="https://www.google.com/maps/place/BAKSO+SOLO+DAN+MIE+AYAM+CEKER+ECO+ECO/data=!4m7!3m6!1s0x2dd7f963f63d74bb:0x3d18f1576ef3193d!8m2!3d-7.2330095!4d112.723428!16s%2Fg%2F11b6s_prfn!19sChIJu3Q99mP51y0RPRnzblfxGD0?authuser=0&amp;hl=zh-TW&amp;rclk=1" TargetMode="External"/><Relationship Id="rId20" Type="http://schemas.openxmlformats.org/officeDocument/2006/relationships/hyperlink" Target="https://www.google.com/maps/place/bebek+semangat+royal+plaza/data=!4m7!3m6!1s0x2dd7fb0f988b2cf7:0x1f1bc631f42fc04a!8m2!3d-7.3092342!4d112.7346233!16s%2Fg%2F11pbyyvz6j!19sChIJ9yyLmA_71y0RSsAv9DHGGx8?authuser=0&amp;hl=zh-TW&amp;rclk=1" TargetMode="External"/><Relationship Id="rId22" Type="http://schemas.openxmlformats.org/officeDocument/2006/relationships/hyperlink" Target="https://www.google.com/maps/place/DEJAVU/data=!4m7!3m6!1s0x2dd7f964f3215fdf:0x6e4c656f316f9727!8m2!3d-7.2925846!4d112.7512433!16s%2Fg%2F119vrtf56!19sChIJ318h82T51y0RJ5dvMW9lTG4?authuser=0&amp;hl=zh-TW&amp;rclk=1" TargetMode="External"/><Relationship Id="rId21" Type="http://schemas.openxmlformats.org/officeDocument/2006/relationships/hyperlink" Target="https://www.google.com/maps/place/Tempe+Penyet+C+-+Ho/data=!4m7!3m6!1s0x2dd7fa2a7bdc2fbf:0xb3643ef08b2d54fe!8m2!3d-7.2660166!4d112.7664359!16s%2Fg%2F11b67q3d05!19sChIJvy_ceyr61y0R_lQti_A-ZLM?authuser=0&amp;hl=zh-TW&amp;rclk=1" TargetMode="External"/><Relationship Id="rId24" Type="http://schemas.openxmlformats.org/officeDocument/2006/relationships/hyperlink" Target="https://www.google.com/maps/place/Taman+Rungkut+Menanggal/data=!4m7!3m6!1s0x2dd7fbe9f736566f:0xa8394d160a441174!8m2!3d-7.3385112!4d112.7673209!16s%2Fg%2F11gvz8p0qk!19sChIJb1Y29-n71y0RdBFEChZNOag?authuser=0&amp;hl=zh-TW&amp;rclk=1" TargetMode="External"/><Relationship Id="rId23" Type="http://schemas.openxmlformats.org/officeDocument/2006/relationships/hyperlink" Target="https://www.google.com/maps/place/Sate+Kelopo+Ondomohen+Bu+Asih/data=!4m7!3m6!1s0x2dd7f96423a1d5af:0xc7570172dd94b50c!8m2!3d-7.2601075!4d112.7442245!16s%2Fg%2F11b6djmjp3!19sChIJr9WhI2T51y0RDLWU3XIBV8c?authuser=0&amp;hl=zh-TW&amp;rclk=1" TargetMode="External"/><Relationship Id="rId525" Type="http://schemas.openxmlformats.org/officeDocument/2006/relationships/hyperlink" Target="https://www.google.com/maps/place/PENYETAN+PAK+USTADZ+%22KHAS+PONDOK%22/data=!4m7!3m6!1s0x2dd7fbb7bbdfea2b:0x73a6332d469e9d6e!8m2!3d-7.2948976!4d112.7339537!16s%2Fg%2F11t7cw38kt!19sChIJK-rfu7f71y0Rbp2eRi0zpnM?authuser=0&amp;hl=zh-TW&amp;rclk=1" TargetMode="External"/><Relationship Id="rId767" Type="http://schemas.openxmlformats.org/officeDocument/2006/relationships/hyperlink" Target="https://www.google.com/maps/place/UYCC+Art+Gallery/@-7.2680568,112.745225,17z/data=!3m1!4b1!4m6!3m5!1s0x2dd7fbba0ecf7001:0x4b6154623e3a2150!8m2!3d-7.2680621!4d112.7477999!16s%2Fg%2F11txjw2b14?entry=ttu&amp;g_ep=EgoyMDI2MDYyOS4wIKXMDSoASAFQAw%3D%3D" TargetMode="External"/><Relationship Id="rId524" Type="http://schemas.openxmlformats.org/officeDocument/2006/relationships/hyperlink" Target="http://google.com/maps/place/LITTLE+CAVE+hidden+coffee+bar/@-7.284928,112.739425,17z/data=!4m6!3m5!1s0x2dd7fbad28ab64e3:0xda56da5e25ff17b1!8m2!3d-7.290993!4d112.7350497!16s%2Fg%2F11qy723dkk?entry=ttu&amp;g_ep=EgoyMDI2MDYyOS4wIKXMDSoASAFQAw%3D%3D" TargetMode="External"/><Relationship Id="rId766" Type="http://schemas.openxmlformats.org/officeDocument/2006/relationships/hyperlink" Target="https://www.google.com/maps/place/Galeri+Merah+Putih+Surabaya/@-7.26398,112.7454831,17z/data=!3m1!4b1!4m6!3m5!1s0x2dd7f900514b573b:0xbc4710c10d68e6db!8m2!3d-7.26398!4d112.7454831!16s%2Fg%2F11w24j_0rn?entry=ttu&amp;g_ep=EgoyMDI2MDYyOS4wIKXMDSoASAFQAw%3D%3D" TargetMode="External"/><Relationship Id="rId523" Type="http://schemas.openxmlformats.org/officeDocument/2006/relationships/hyperlink" Target="https://www.google.com/maps/place/Doux+Butter/data=!4m7!3m6!1s0x2dd7fbb9dd356deb:0x59c1bd9699c07642!8m2!3d-7.2658557!4d112.7961571!16s%2Fg%2F11k520pqdq!19sChIJ62013bn71y0RQnbAmZa9wVk?authuser=0&amp;hl=zh-TW&amp;rclk=1" TargetMode="External"/><Relationship Id="rId765" Type="http://schemas.openxmlformats.org/officeDocument/2006/relationships/hyperlink" Target="https://www.google.com/maps/place/Galeri+Prabangkara/@-7.2565236,112.7401734,17z/data=!3m1!4b1!4m6!3m5!1s0x2dd7f96808b375f3:0x2e87e6e8a1068a36!8m2!3d-7.2565236!4d112.7401734!16s%2Fg%2F11g6wdxy58?entry=ttu&amp;g_ep=EgoyMDI2MDYyOS4wIKXMDSoASAFQAw%3D%3D" TargetMode="External"/><Relationship Id="rId522" Type="http://schemas.openxmlformats.org/officeDocument/2006/relationships/hyperlink" Target="https://www.google.com/maps/place/Bakso+bratang+Pindahan+%28ITATS%29/data=!4m7!3m6!1s0x2dd7fa5129afafa7:0x70256566d43e94da!8m2!3d-7.3001846!4d112.7716963!16s%2Fg%2F11gfn417t9!19sChIJp6-vKVH61y0R2pQ-1GZlJXA?authuser=0&amp;hl=zh-TW&amp;rclk=1" TargetMode="External"/><Relationship Id="rId764" Type="http://schemas.openxmlformats.org/officeDocument/2006/relationships/hyperlink" Target="http://google.com/maps/place/Museum+Pusat+TNI+AL+Jalesveva+Jayamahe/@-7.2218125,112.7400625,17z/data=!3m1!4b1!4m6!3m5!1s0x2dd7f929f5c6077d:0xb44b611cbfff6e96!8m2!3d-7.2218125!4d112.7400625!16s%2Fg%2F11stq03qlp?entry=ttu&amp;g_ep=EgoyMDI2MDYyOS4wIKXMDSoASAFQAw%3D%3D" TargetMode="External"/><Relationship Id="rId529" Type="http://schemas.openxmlformats.org/officeDocument/2006/relationships/hyperlink" Target="https://www.google.com/maps/place/Nasi+Jagung+Khas+Madura/@-7.2269964,112.7455875,17z/data=!3m1!4b1!4m6!3m5!1s0x2dd7f91df9900001:0x9a2efc279eb74131!8m2!3d-7.2269964!4d112.7455875!16s%2Fg%2F11f03m_n2q?entry=ttu&amp;g_ep=EgoyMDI2MDYyOS4wIKXMDSoASAFQAw%3D%3D" TargetMode="External"/><Relationship Id="rId528" Type="http://schemas.openxmlformats.org/officeDocument/2006/relationships/hyperlink" Target="https://www.google.com/maps/place/Toko+Kopi+Padma/@-7.2586356,112.7358068,17z/data=!3m1!4b1!4m6!3m5!1s0x2dd7f9a0eac9e03d:0xacbd48350bef8d43!8m2!3d-7.2586409!4d112.7383817!16s%2Fg%2F11t3fc2mx4?entry=ttu&amp;g_ep=EgoyMDI2MDYyOS4wIKXMDSoASAFQAw%3D%3D" TargetMode="External"/><Relationship Id="rId527" Type="http://schemas.openxmlformats.org/officeDocument/2006/relationships/hyperlink" Target="https://www.google.com/maps/place/Sate+Klopo+Kak+Mad/data=!4m7!3m6!1s0x2dd7fbc968337c37:0x5e22b4b2a9c3415a!8m2!3d-7.2826313!4d112.7560031!16s%2Fg%2F11c2pd7q29!19sChIJN3wzaMn71y0RWkHDqbK0Il4?authuser=0&amp;hl=zh-TW&amp;rclk=1" TargetMode="External"/><Relationship Id="rId769" Type="http://schemas.openxmlformats.org/officeDocument/2006/relationships/hyperlink" Target="https://www.google.com/maps/place/Kampoeng+Seni/@-7.254636,112.73302,17z/data=!3m1!4b1!4m6!3m5!1s0x2dd7f9447f6e7f03:0x8fe5cc5a5cd9ba32!8m2!3d-7.254636!4d112.73302!16s%2Fg%2F11b6s3nwr6?entry=ttu&amp;g_ep=EgoyMDI2MDYyOS4wIKXMDSoASAFQAw%3D%3D" TargetMode="External"/><Relationship Id="rId526" Type="http://schemas.openxmlformats.org/officeDocument/2006/relationships/hyperlink" Target="https://www.google.com/maps/place/Sentra+Wisata+Kuliner+Terminal+Manukan/data=!4m7!3m6!1s0x2dd7fe7e33880247:0x301235ccc237160a!8m2!3d-7.268225!4d112.6662802!16s%2Fg%2F11c58tfh5h!19sChIJRwKIM37-1y0RChY3wsw1EjA?authuser=0&amp;hl=zh-TW&amp;rclk=1" TargetMode="External"/><Relationship Id="rId768" Type="http://schemas.openxmlformats.org/officeDocument/2006/relationships/hyperlink" Target="https://www.google.com/maps/place/Teh+Villa+Gallery/@-7.3285925,112.7639834,17z/data=!3m1!4b1!4m6!3m5!1s0x2dd7fb08074b8ef9:0xcd2ab06ad0bb81fb!8m2!3d-7.3285925!4d112.7639834!16s%2Fg%2F11k51mtmym?entry=ttu&amp;g_ep=EgoyMDI2MDYyOS4wIKXMDSoASAFQAw%3D%3D" TargetMode="External"/><Relationship Id="rId26" Type="http://schemas.openxmlformats.org/officeDocument/2006/relationships/hyperlink" Target="https://www.google.com/maps/place/Dining+Club/data=!4m7!3m6!1s0x2dd7fbcca0de2fc5:0x31cb3e65f32c26be!8m2!3d-7.2732746!4d112.7466362!16s%2Fg%2F11rw7m2tqn!19sChIJxS_eoMz71y0RviYs82U-yzE?authuser=0&amp;hl=zh-TW&amp;rclk=1" TargetMode="External"/><Relationship Id="rId25" Type="http://schemas.openxmlformats.org/officeDocument/2006/relationships/hyperlink" Target="https://www.google.com/maps/place/Titik+Koma+Grand+Eastern/data=!4m7!3m6!1s0x2dd7f9acfbd7f011:0x16ba722caf2aaa48!8m2!3d-7.2917597!4d112.812315!16s%2Fg%2F11vl92d_v6!19sChIJEfDX-6z51y0RSKoqryxyuhY?authuser=0&amp;hl=zh-TW&amp;rclk=1" TargetMode="External"/><Relationship Id="rId28" Type="http://schemas.openxmlformats.org/officeDocument/2006/relationships/hyperlink" Target="https://www.google.com/maps/place/Warung+Kuning/data=!4m7!3m6!1s0x2dd7fbb5316dd829:0xbbd99620398a695d!8m2!3d-7.2877322!4d112.7624485!16s%2Fg%2F11b6xgd_g2!19sChIJKdhtMbX71y0RXWmKOSCW2bs?authuser=0&amp;hl=zh-TW&amp;rclk=1" TargetMode="External"/><Relationship Id="rId27" Type="http://schemas.openxmlformats.org/officeDocument/2006/relationships/hyperlink" Target="https://www.google.com/maps/place/Pangsit+Mie+Ayam+Jakarta+Sidomoro+Pak+Yanto/data=!4m7!3m6!1s0x2dd7f9bf6a25c30d:0xd477ade52da9f54f!8m2!3d-7.2465379!4d112.7572979!16s%2Fg%2F11glwgp4zk!19sChIJDcMlar_51y0RT_WpLeWtd9Q?authuser=0&amp;hl=zh-TW&amp;rclk=1" TargetMode="External"/><Relationship Id="rId521" Type="http://schemas.openxmlformats.org/officeDocument/2006/relationships/hyperlink" Target="https://www.google.com/maps/place/Trimurti+Restaurant/@-7.284928,112.739425,17z/data=!3m1!4b1!4m6!3m5!1s0x2dd7fbc1d347cbcb:0xd1a97a5e642c66!8m2!3d-7.284928!4d112.739425!16s%2Fg%2F1pzq94l4w?entry=ttu&amp;g_ep=EgoyMDI2MDYyOS4wIKXMDSoASAFQAw%3D%3D" TargetMode="External"/><Relationship Id="rId763" Type="http://schemas.openxmlformats.org/officeDocument/2006/relationships/hyperlink" Target="https://www.google.com/maps/place/Suroboyo+Skate+%26+BMX+Park/@-7.2639221,112.7503111,17z/data=!3m1!4b1!4m6!3m5!1s0x2dd7f963288689e5:0x193aa102acba9766!8m2!3d-7.2639221!4d112.7503111!16s%2Fg%2F11f06j7v72?entry=ttu&amp;g_ep=EgoyMDI2MDYyOS4wIKXMDSoASAFQAw%3D%3D" TargetMode="External"/><Relationship Id="rId29" Type="http://schemas.openxmlformats.org/officeDocument/2006/relationships/hyperlink" Target="https://www.google.com/maps/place/Wisata+Kuliner+Tanah+Merah/data=!4m7!3m6!1s0x2dd7f9ab60aa8085:0x305de8d002dd4d1a!8m2!3d-7.2266081!4d112.7684107!16s%2Fg%2F11cjj09sbv!19sChIJhYCqYKv51y0RGk3dAtDoXTA?authuser=0&amp;hl=zh-TW&amp;rclk=1" TargetMode="External"/><Relationship Id="rId520" Type="http://schemas.openxmlformats.org/officeDocument/2006/relationships/hyperlink" Target="https://www.google.com/maps/place/Sky+36+Restaurant/data=!4m7!3m6!1s0x2dd7fbd8359cb981:0x84cea495f21be5c1!8m2!3d-7.269212!4d112.749755!16s%2Fg%2F11b7ys8t_z!19sChIJgbmcNdj71y0RweUb8pWkzoQ?authuser=0&amp;hl=zh-TW&amp;rclk=1" TargetMode="External"/><Relationship Id="rId762" Type="http://schemas.openxmlformats.org/officeDocument/2006/relationships/hyperlink" Target="https://www.google.com/maps/place/Brunsj+Bake+House/@-7.2754879,112.7504945,17z/data=!3m1!4b1!4m6!3m5!1s0x2dd7fb002d4f6bb1:0xecc18b44ee628b62!8m2!3d-7.2754879!4d112.7504945!16s%2Fg%2F11ms_1cryj?entry=ttu&amp;g_ep=EgoyMDI2MDYyOS4wIKXMDSoASAFQAw%3D%3D" TargetMode="External"/><Relationship Id="rId761" Type="http://schemas.openxmlformats.org/officeDocument/2006/relationships/hyperlink" Target="https://www.google.com/maps/place/Allegra/@-7.274772,112.74877,17z/data=!3m1!4b1!4m6!3m5!1s0x2dd7fb12dfdd37e3:0x4692eb113d89dd9!8m2!3d-7.274772!4d112.74877!16s%2Fg%2F11jy_v38vd?entry=ttu&amp;g_ep=EgoyMDI2MDYyOS4wIKXMDSoASAFQAw%3D%3D" TargetMode="External"/><Relationship Id="rId760" Type="http://schemas.openxmlformats.org/officeDocument/2006/relationships/hyperlink" Target="https://www.google.com/maps/place/Pelican+Hill+Park/@-7.2604342,112.6377358,17z/data=!3m1!4b1!4m6!3m5!1s0x2dd7ff659a0ee11f:0xf6abe51c08722610!8m2!3d-7.2604342!4d112.6377358!16s%2Fg%2F11fjz2fg6v?entry=ttu&amp;g_ep=EgoyMDI2MDYyOS4wIKXMDSoASAFQAw%3D%3D" TargetMode="External"/><Relationship Id="rId11" Type="http://schemas.openxmlformats.org/officeDocument/2006/relationships/hyperlink" Target="https://www.google.com/maps/place/Bakso+Royal/data=!4m7!3m6!1s0x2dd7f9799218adcd:0x1e8a0a4d511a823!8m2!3d-7.2576953!4d112.7579731!16s%2Fg%2F1hm1qh4bh!19sChIJza0Yknn51y0RI6gR1aSg6AE?authuser=0&amp;hl=zh-TW&amp;rclk=1" TargetMode="External"/><Relationship Id="rId10" Type="http://schemas.openxmlformats.org/officeDocument/2006/relationships/hyperlink" Target="https://www.google.com/maps/place/Nasi+Bebek+%26+Ayam+Barokah/data=!4m7!3m6!1s0x2dd7fbd86a6bb47b:0xdfea15ef4d6cf361!8m2!3d-7.2677907!4d112.7492986!16s%2Fg%2F11b66h7stx!19sChIJe7Rratj71y0RYfNsTe8V6t8?authuser=0&amp;hl=zh-TW&amp;rclk=1" TargetMode="External"/><Relationship Id="rId13" Type="http://schemas.openxmlformats.org/officeDocument/2006/relationships/hyperlink" Target="https://www.google.com/maps/place/Taman+Cinta+Kampus+C+Unair/data=!4m7!3m6!1s0x2dd7fb7a536922d3:0xa83e435692998200!8m2!3d-7.2691696!4d112.7830632!16s%2Fg%2F11q227v30c!19sChIJ0yJpU3r71y0RAIKZklZDPqg?authuser=0&amp;hl=zh-TW&amp;rclk=1" TargetMode="External"/><Relationship Id="rId12" Type="http://schemas.openxmlformats.org/officeDocument/2006/relationships/hyperlink" Target="https://www.google.com/maps/place/Kakkoii+Japanese+BBQ+%26+Shabu-Shabu/data=!4m7!3m6!1s0x2dd7fb0512db8239:0x13fc99f2ca58b515!8m2!3d-7.2945121!4d112.7326607!16s%2Fg%2F11r_xlr_r4!19sChIJOYLbEgX71y0RFbVYyvKZ_BM?authuser=0&amp;hl=zh-TW&amp;rclk=1" TargetMode="External"/><Relationship Id="rId519" Type="http://schemas.openxmlformats.org/officeDocument/2006/relationships/hyperlink" Target="https://www.google.com/maps/place/Saga+Japanese+Restaurant/data=!4m7!3m6!1s0x2dd7fb8a4088c60d:0x7c45af545b4e96a1!8m2!3d-7.2920203!4d112.7169736!16s%2Fg%2F1pzr449_9!19sChIJDcaIQIr71y0RoZZOW1SvRXw?authuser=0&amp;hl=zh-TW&amp;rclk=1" TargetMode="External"/><Relationship Id="rId514" Type="http://schemas.openxmlformats.org/officeDocument/2006/relationships/hyperlink" Target="https://www.google.com/maps/place/Tera+Coffee+Society/@-7.2943175,112.7410265,17z/data=!3m1!4b1!4m6!3m5!1s0x2dd7fb4b75078c1d:0x53178d6fe49bacc5!8m2!3d-7.2943175!4d112.7410265!16s%2Fg%2F11kr8ptjvk?entry=ttu&amp;g_ep=EgoyMDI2MDYyOS4wIKXMDSoASAFQAw%3D%3D" TargetMode="External"/><Relationship Id="rId756" Type="http://schemas.openxmlformats.org/officeDocument/2006/relationships/hyperlink" Target="https://www.google.com/maps/place/Alas+Dapuda/@-7.3353081,112.6697325,17z/data=!3m1!4b1!4m6!3m5!1s0x2dd7fcdf3d09ba4f:0x41cc8dc17781897b!8m2!3d-7.3353081!4d112.6697325!16s%2Fg%2F11csr3r_m0?entry=ttu&amp;g_ep=EgoyMDI2MDYyOS4wIKXMDSoASAFQAw%3D%3D" TargetMode="External"/><Relationship Id="rId513" Type="http://schemas.openxmlformats.org/officeDocument/2006/relationships/hyperlink" Target="https://www.google.com/maps/place/Ronggolawe+Chicken+Noodles/data=!4m7!3m6!1s0x2dd7fb5929e0b2df:0xe952791c05771478!8m2!3d-7.2807822!4d112.7790755!16s%2Fg%2F11fhqrqmwt!19sChIJ37LgKVn71y0ReBR3BRx5Uuk?authuser=0&amp;hl=zh-TW&amp;rclk=1" TargetMode="External"/><Relationship Id="rId755" Type="http://schemas.openxmlformats.org/officeDocument/2006/relationships/hyperlink" Target="https://www.google.com/maps/place/TETRA+Coffee+%26+Eatery+-+Surabaya/@-7.2782914,112.7532476,17z/data=!3m1!4b1!4m6!3m5!1s0x2dd7fb73b554413b:0x385bdc7442e7c05!8m2!3d-7.2782914!4d112.7532476!16s%2Fg%2F11x970s5yk?entry=ttu&amp;g_ep=EgoyMDI2MDYyOS4wIKXMDSoASAFQAw%3D%3D" TargetMode="External"/><Relationship Id="rId512" Type="http://schemas.openxmlformats.org/officeDocument/2006/relationships/hyperlink" Target="https://www.google.com/maps/place/Caturra+Espresso/@-7.2582493,112.7295048,17z/data=!3m1!4b1!4m6!3m5!1s0x2dd7f95ad04d011f:0xa79c2c899ffa251!8m2!3d-7.2582493!4d112.7295048!16s%2Fg%2F11btxklh9h?entry=ttu&amp;g_ep=EgoyMDI2MDYyOS4wIKXMDSoASAFQAw%3D%3D" TargetMode="External"/><Relationship Id="rId754" Type="http://schemas.openxmlformats.org/officeDocument/2006/relationships/hyperlink" Target="https://www.google.com/maps/place/OMAH+JOGLO+BALAS/@-7.3321946,112.6907989,17z/data=!3m1!4b1!4m6!3m5!1s0x2dd7fd8ff2af3ef1:0x720fc97db2cfba79!8m2!3d-7.3321946!4d112.6907989!16s%2Fg%2F11vhd5hhs8?entry=ttu&amp;g_ep=EgoyMDI2MDYyOS4wIKXMDSoASAFQAw%3D%3D" TargetMode="External"/><Relationship Id="rId511" Type="http://schemas.openxmlformats.org/officeDocument/2006/relationships/hyperlink" Target="https://www.google.com/maps/place/Monumen+Bambu+Runcing/data=!4m7!3m6!1s0x2dd7fbddb2a74839:0x88761ff5fd601d21!8m2!3d-7.267778!4d112.7443989!16s%2Fg%2F1pzt98g9p!19sChIJOUinst371y0RIR1g_fUfdog?authuser=0&amp;hl=zh-TW&amp;rclk=1" TargetMode="External"/><Relationship Id="rId753" Type="http://schemas.openxmlformats.org/officeDocument/2006/relationships/hyperlink" Target="https://www.google.com/maps/place/Makam+Sunan+Ampel/@-7.2298511,112.7425029,17z/data=!3m1!4b1!4m6!3m5!1s0x2dd7f9889af0b327:0x561ad7e20546f097!8m2!3d-7.2298511!4d112.7425029!16s%2Fg%2F11q9gjwwg0?entry=ttu&amp;g_ep=EgoyMDI2MDYyOS4wIKXMDSoASAFQAw%3D%3D" TargetMode="External"/><Relationship Id="rId518" Type="http://schemas.openxmlformats.org/officeDocument/2006/relationships/hyperlink" Target="https://www.google.com/maps/place/Penyetan+Murmer+Kranggan/data=!4m7!3m6!1s0x2dd7f99ce094537f:0xca1eeb5d385931b6!8m2!3d-7.255943!4d112.7315939!16s%2Fg%2F11h2fqh6vl!19sChIJf1OU4Jz51y0RtjFZOF3rHso?authuser=0&amp;hl=zh-TW&amp;rclk=1" TargetMode="External"/><Relationship Id="rId517" Type="http://schemas.openxmlformats.org/officeDocument/2006/relationships/hyperlink" Target="https://www.google.com/maps/place/Monumen+Gubernur+Suryo/@-7.2637159,112.7428224,17z/data=!3m1!4b1!4m6!3m5!1s0x2dd7f961127d890d:0xce9f58c317788b59!8m2!3d-7.2637159!4d112.7428224!16s%2Fg%2F1hm6d55m6?entry=ttu&amp;g_ep=EgoyMDI2MDYyOS4wIKXMDSoASAFQAw%3D%3D" TargetMode="External"/><Relationship Id="rId759" Type="http://schemas.openxmlformats.org/officeDocument/2006/relationships/hyperlink" Target="https://www.google.com/maps/place/Notredame+Wisata+bukit+mas+2/@-7.3153605,112.6635047,17z/data=!3m1!4b1!4m6!3m5!1s0x2dd7fd01963c60dd:0xe403e58129fc06ff!8m2!3d-7.3153605!4d112.6635047!16s%2Fg%2F11cllcmxqg?entry=ttu&amp;g_ep=EgoyMDI2MDYyOS4wIKXMDSoASAFQAw%3D%3D" TargetMode="External"/><Relationship Id="rId516" Type="http://schemas.openxmlformats.org/officeDocument/2006/relationships/hyperlink" Target="https://www.google.com/maps/place/Pasar+Ikan+Pabean/data=!4m7!3m6!1s0x2dd7f922a6cbb375:0x8b1ee57b384568f4!8m2!3d-7.2344314!4d112.7397358!16s%2Fg%2F1hm36dzb5!19sChIJdbPLpiL51y0R9GhFOHvlHos?authuser=0&amp;hl=zh-TW&amp;rclk=1" TargetMode="External"/><Relationship Id="rId758" Type="http://schemas.openxmlformats.org/officeDocument/2006/relationships/hyperlink" Target="https://www.google.com/maps/place/Hutan+Kota+(Tahura)+Sumur+Welut,+Dinas+Pertanian+Kota+Surabaya/@-7.3324759,112.6330862,13z/data=!4m10!1m2!2m1!1shutan+kota+tahur!3m6!1s0x2dd7fd809bf20bb9:0x76e5e6751bdfab08!8m2!3d-7.3324759!4d112.6681051!15sChBodXRhbiBrb3RhIHRhaHVyWhIiEGh1dGFuIGtvdGEgdGFodXKSAQRwYXJrmgEjQ2haRFNVaE5NRzluUzBWSlEwRm5TVVJpWDBveVJVcG5FQUXgAQD6AQUI2QEQSQ!16s%2Fg%2F11rwrw99gk?entry=ttu&amp;g_ep=EgoyMDI2MDYyOS4wIKXMDSoASAFQAw%3D%3D" TargetMode="External"/><Relationship Id="rId515" Type="http://schemas.openxmlformats.org/officeDocument/2006/relationships/hyperlink" Target="https://www.google.com/maps/place/Bakso+Depan+Bonet/data=!4m7!3m6!1s0x2dd7fbca32523789:0xa467d34bddc97d04!8m2!3d-7.2839081!4d112.7578706!16s%2Fg%2F11c0xjnd5j!19sChIJiTdSMsr71y0RBH3J3UvTZ6Q?authuser=0&amp;hl=zh-TW&amp;rclk=1" TargetMode="External"/><Relationship Id="rId757" Type="http://schemas.openxmlformats.org/officeDocument/2006/relationships/hyperlink" Target="https://www.google.com/maps/place/ALECTA/@-7.2903816,112.7500112,17z/data=!3m1!4b1!4m6!3m5!1s0x2dd7f91d92314b61:0x5505aaf970acc5a5!8m2!3d-7.2903816!4d112.7500112!16s%2Fg%2F11rchrb06d?entry=ttu&amp;g_ep=EgoyMDI2MDYyOS4wIKXMDSoASAFQAw%3D%3D" TargetMode="External"/><Relationship Id="rId15" Type="http://schemas.openxmlformats.org/officeDocument/2006/relationships/hyperlink" Target="https://www.google.com/maps/place/Warung+Mbak+Yanti/data=!4m7!3m6!1s0x2dd7fc04faa0b2b5:0x32b6f57dc13536d5!8m2!3d-7.275834!4d112.7053885!16s%2Fg%2F11g69hrqy5!19sChIJtbKg-gT81y0R1TY1wX31tjI?authuser=0&amp;hl=zh-TW&amp;rclk=1" TargetMode="External"/><Relationship Id="rId14" Type="http://schemas.openxmlformats.org/officeDocument/2006/relationships/hyperlink" Target="https://www.google.com/maps/place/Soto+Ayam+Cak+To+Merr/data=!4m7!3m6!1s0x2dd7f98db5ea0291:0x9fda6f50ab519ae9!8m2!3d-7.2543638!4d112.7823786!16s%2Fg%2F11d_v3vpm9!19sChIJkQLqtY351y0R6ZpRq1Bv2p8?authuser=0&amp;hl=zh-TW&amp;rclk=1" TargetMode="External"/><Relationship Id="rId17" Type="http://schemas.openxmlformats.org/officeDocument/2006/relationships/hyperlink" Target="https://www.google.com/maps/place/Penyetan+Bu+Tri/data=!4m7!3m6!1s0x2dd7fb3094da652d:0xfa4c4dd6a58003d!8m2!3d-7.3434727!4d112.7372855!16s%2Fg%2F11q1s2fkt8!19sChIJLWXalDD71y0RPQBYat3EpA8?authuser=0&amp;hl=zh-TW&amp;rclk=1" TargetMode="External"/><Relationship Id="rId16" Type="http://schemas.openxmlformats.org/officeDocument/2006/relationships/hyperlink" Target="https://www.google.com/maps/place/Penyetan+Mas+Brooo+spesial+pedas/data=!4m7!3m6!1s0x2dd7fb981395fc49:0xc4acadfb3ab3c9e8!8m2!3d-7.3002765!4d112.7728283!16s%2Fg%2F11g14j3197!19sChIJSfyVE5j71y0R6MmzOvutrMQ?authuser=0&amp;hl=zh-TW&amp;rclk=1" TargetMode="External"/><Relationship Id="rId19" Type="http://schemas.openxmlformats.org/officeDocument/2006/relationships/hyperlink" Target="https://www.google.com/maps/place/Warung+Penyetan+Sido+Mulyo+Cak+Benyamin+-+Surabaya+Barat/data=!4m7!3m6!1s0x2dd7fdc5f481751f:0x633517f72db5a6f1!8m2!3d-7.2742691!4d112.636627!16s%2Fg%2F11h3b2p1b7!19sChIJH3WB9MX91y0R8aa1LfcXNWM?authuser=0&amp;hl=zh-TW&amp;rclk=1" TargetMode="External"/><Relationship Id="rId510" Type="http://schemas.openxmlformats.org/officeDocument/2006/relationships/hyperlink" Target="https://www.google.com/maps/place/Warung+Rawon+Bu+Saodah/data=!4m7!3m6!1s0x2dd7fdadb4dadefb:0x591209ac299c91a3!8m2!3d-7.3038768!4d112.6638241!16s%2Fg%2F11b6__9kl_!19sChIJ-97atK391y0Ro5GcKawJElk?authuser=0&amp;hl=zh-TW&amp;rclk=1" TargetMode="External"/><Relationship Id="rId752" Type="http://schemas.openxmlformats.org/officeDocument/2006/relationships/hyperlink" Target="https://www.google.com/maps/place/Toby's+Estate+Coffee+Roasters+-+Tunjungan+Plaza/@-7.261542,112.7045906,13z/data=!4m10!1m2!2m1!1stobys+estate!3m6!1s0x2dd7f96cbf0f97cb:0x2daf811cbeed5a12!8m2!3d-7.261542!4d112.7396095!15sCgx0b2J5cyBlc3RhdGUiA4gBAVoOIgx0b2J5cyBlc3RhdGWSAQtjb2ZmZWVfc2hvcOABAA!16s%2Fg%2F11g1mcb7mr?entry=ttu&amp;g_ep=EgoyMDI2MDYyOS4wIKXMDSoASAFQAw%3D%3D" TargetMode="External"/><Relationship Id="rId18" Type="http://schemas.openxmlformats.org/officeDocument/2006/relationships/hyperlink" Target="https://www.google.com/maps/place/Kampoeng+Lawas+Maspati/data=!4m7!3m6!1s0x2dd7f940a6a92b13:0x68a328ac980e56c6!8m2!3d-7.2475283!4d112.7341726!16s%2Fg%2F11bwf76cw3!19sChIJEyuppkD51y0RxlYOmKwoo2g?authuser=0&amp;hl=zh-TW&amp;rclk=1" TargetMode="External"/><Relationship Id="rId751" Type="http://schemas.openxmlformats.org/officeDocument/2006/relationships/hyperlink" Target="https://www.google.com/maps/place/BM+Coffee+Surabaya+-Merr/@-7.32642,112.7809127,17z/data=!3m1!4b1!4m6!3m5!1s0x2dd7fb59597b7879:0xfff81420c89dfb74!8m2!3d-7.32642!4d112.7809127!16s%2Fg%2F11y76q4zhz?entry=ttu&amp;g_ep=EgoyMDI2MDYyOS4wIKXMDSoASAFQAw%3D%3D" TargetMode="External"/><Relationship Id="rId750" Type="http://schemas.openxmlformats.org/officeDocument/2006/relationships/hyperlink" Target="https://www.google.com/maps/place/Warung+Tempe+Penyet+Mbak+Noer/data=!4m7!3m6!1s0x2dd7fba64224f3bb:0x730586c6d7df468a!8m2!3d-7.3032388!4d112.7490363!16s%2Fg%2F1hm5msk3r!19sChIJu_MkQqb71y0Rikbf18aGBXM?authuser=0&amp;hl=zh-TW&amp;rclk=1" TargetMode="External"/><Relationship Id="rId84" Type="http://schemas.openxmlformats.org/officeDocument/2006/relationships/hyperlink" Target="https://www.google.com/maps/place/Taman+AIS+Nasution+Surabaya/data=!4m7!3m6!1s0x2dd7fbdf5abe2039:0xf1e39042be08ceb1!8m2!3d-7.2673876!4d112.744186!16s%2Fg%2F11dyqy5njj!19sChIJOSC-Wt_71y0Rsc4IvkKQ4_E?authuser=0&amp;hl=zh-TW&amp;rclk=1" TargetMode="External"/><Relationship Id="rId83" Type="http://schemas.openxmlformats.org/officeDocument/2006/relationships/hyperlink" Target="https://www.google.com/maps/place/Ekowisata+Mangrove+Medokan+Ayu/data=!4m7!3m6!1s0x2dd7f1fe7bc97d41:0x2f2decc055da393!8m2!3d-7.3298177!4d112.8207124!16s%2Fg%2F11h7sn3lnf!19sChIJQX3Je_7x1y0Rk6NdBcze8gI?authuser=0&amp;hl=zh-TW&amp;rclk=1" TargetMode="External"/><Relationship Id="rId86" Type="http://schemas.openxmlformats.org/officeDocument/2006/relationships/hyperlink" Target="https://www.google.com/maps/place/C12+Coffee+%26+Ride/data=!4m7!3m6!1s0x2dd7fbf7a0a518af:0xf956a28be2a6a035!8m2!3d-7.2891827!4d112.7370669!16s%2Fg%2F11ny5bh1l2!19sChIJrxiloPf71y0RNaCm4ouiVvk?authuser=0&amp;hl=zh-TW&amp;rclk=1" TargetMode="External"/><Relationship Id="rId85" Type="http://schemas.openxmlformats.org/officeDocument/2006/relationships/hyperlink" Target="https://www.google.com/maps/place/Mie+Tidar/data=!4m7!3m6!1s0x2dd7f94e3356d9d5:0x73127e6b56489868!8m2!3d-7.257989!4d112.7321891!16s%2Fg%2F1hm3rh6sq!19sChIJ1dlWM0751y0RaJhIVmt-EnM?authuser=0&amp;hl=zh-TW&amp;rclk=1" TargetMode="External"/><Relationship Id="rId88" Type="http://schemas.openxmlformats.org/officeDocument/2006/relationships/hyperlink" Target="https://www.google.com/maps/place/Gajah+Mada+Pangsit+Mie+Ayam/data=!4m7!3m6!1s0x2dd7fa298c34dcfb:0xc74fdbe624c9b2bf!8m2!3d-7.2670157!4d112.7693953!16s%2Fg%2F1hc3jp5vs!19sChIJ-9w0jCn61y0Rv7LJJObbT8c?authuser=0&amp;hl=zh-TW&amp;rclk=1" TargetMode="External"/><Relationship Id="rId87" Type="http://schemas.openxmlformats.org/officeDocument/2006/relationships/hyperlink" Target="https://www.google.com/maps/place/Muphus+Seafood+Surabaya+Unesa/data=!4m7!3m6!1s0x2dd7fda6cc3d15cd:0x28925092075ba3ee!8m2!3d-7.2982948!4d112.6706293!16s%2Fg%2F11w9n1n0hg!19sChIJzRU9zKb91y0R7qNbB5JQkig?authuser=0&amp;hl=zh-TW&amp;rclk=1" TargetMode="External"/><Relationship Id="rId89" Type="http://schemas.openxmlformats.org/officeDocument/2006/relationships/hyperlink" Target="https://www.google.com/maps/place/Pangsit+Mie+Ayam+Jakarta/data=!4m7!3m6!1s0x2dd7fa3fcd004e21:0x80f4deb068072395!8m2!3d-7.2823374!4d112.7858515!16s%2Fg%2F11bx0b02rh!19sChIJIU4AzT_61y0RlSMHaLDe9IA?authuser=0&amp;hl=zh-TW&amp;rclk=1" TargetMode="External"/><Relationship Id="rId709" Type="http://schemas.openxmlformats.org/officeDocument/2006/relationships/hyperlink" Target="https://www.google.com/maps/place/Penyetan+Lauk+Pauk+Pakuwon+City/data=!4m7!3m6!1s0x2dd7fbc62e4b9785:0x1665d233b5f77cc0!8m2!3d-7.2655679!4d112.8053637!16s%2Fg%2F11vztxv4y9!19sChIJhZdLLsb71y0RwHz3tTPSZRY?authuser=0&amp;hl=zh-TW&amp;rclk=1" TargetMode="External"/><Relationship Id="rId708" Type="http://schemas.openxmlformats.org/officeDocument/2006/relationships/hyperlink" Target="https://www.google.com/maps/place/Prapanca+Jakartan+Chicken+Noodle/data=!4m7!3m6!1s0x2dd7fb27d1d84ddb:0x655bd7a7a2cca080!8m2!3d-7.284567!4d112.731928!16s%2Fg%2F11f8jhqsc1!19sChIJ203Y0Sf71y0RgKDMoqfXW2U?authuser=0&amp;hl=zh-TW&amp;rclk=1" TargetMode="External"/><Relationship Id="rId707" Type="http://schemas.openxmlformats.org/officeDocument/2006/relationships/hyperlink" Target="https://www.google.com/maps/place/Nasi+Pecel+Rawon+Pucang+Moro+Seneng/data=!4m7!3m6!1s0x2dd7fbc9aeb01779:0xcc054ce1e40ab595!8m2!3d-7.2842801!4d112.7543599!16s%2Fg%2F11bxg0b268!19sChIJeRewrsn71y0RlbUK5OFMBcw?authuser=0&amp;hl=zh-TW&amp;rclk=1" TargetMode="External"/><Relationship Id="rId706" Type="http://schemas.openxmlformats.org/officeDocument/2006/relationships/hyperlink" Target="https://www.google.com/maps/place/Alun+-+Alun+Surabaya/data=!4m7!3m6!1s0x2dd7f92cdeef8595:0xd38a95482769b82c!8m2!3d-7.2635899!4d112.7453173!16s%2Fg%2F11kn291r80!19sChIJlYXv3iz51y0RLLhpJ0iVitM?authuser=0&amp;hl=zh-TW&amp;rclk=1" TargetMode="External"/><Relationship Id="rId80" Type="http://schemas.openxmlformats.org/officeDocument/2006/relationships/hyperlink" Target="https://www.google.com/maps/place/Bakso+Cak+Ilung/data=!4m7!3m6!1s0x2dd7fb8cee499487:0x50c6a8ece6bcb152!8m2!3d-7.2902827!4d112.7196796!16s%2Fg%2F1pzwfctcx!19sChIJh5RJ7oz71y0RUrG85uyoxlA?authuser=0&amp;hl=zh-TW&amp;rclk=1" TargetMode="External"/><Relationship Id="rId82" Type="http://schemas.openxmlformats.org/officeDocument/2006/relationships/hyperlink" Target="https://www.google.com/maps/place/Kampung+Warna+Warni+Asem+Rowo/data=!4m7!3m6!1s0x2dd7ffb7e5dd40db:0x7bdb73630d3ea332!8m2!3d-7.2289058!4d112.685404!16s%2Fg%2F11rjqhx7gb!19sChIJ20Dd5bf_1y0RMqM-DWNz23s?authuser=0&amp;hl=zh-TW&amp;rclk=1" TargetMode="External"/><Relationship Id="rId81" Type="http://schemas.openxmlformats.org/officeDocument/2006/relationships/hyperlink" Target="https://www.google.com/maps/place/Indigo+Restaurant/data=!4m7!3m6!1s0x2dd7f95d7c3a9981:0x8c5f4fd9cd14d904!8m2!3d-7.2601208!4d112.7396083!16s%2Fg%2F1hc1ms0v2!19sChIJgZk6fF351y0RBNkUzdlPX4w?authuser=0&amp;hl=zh-TW&amp;rclk=1" TargetMode="External"/><Relationship Id="rId701" Type="http://schemas.openxmlformats.org/officeDocument/2006/relationships/hyperlink" Target="http://google.com/maps/place/Bebek+Hitam+Klampis+Asli/@-7.2796814,112.7603124,17z/data=!4m6!3m5!1s0x2dd7fa47ed6731b5:0x7a808e9f0f9faad4!8m2!3d-7.2859058!4d112.7761495!16s%2Fg%2F11gbzb_xwy?entry=ttu&amp;g_ep=EgoyMDI2MDYyOS4wIKXMDSoASAFQAw%3D%3D" TargetMode="External"/><Relationship Id="rId700" Type="http://schemas.openxmlformats.org/officeDocument/2006/relationships/hyperlink" Target="https://www.google.com/maps/place/Sari+Laut+PAK+JI/data=!4m7!3m6!1s0x2dd7f9694679f091:0xa174c5a5941b439e!8m2!3d-7.2527047!4d112.7440808!16s%2Fg%2F11c2l3wx5y!19sChIJkfB5Rmn51y0RnkMblKXFdKE?authuser=0&amp;hl=zh-TW&amp;rclk=1" TargetMode="External"/><Relationship Id="rId705" Type="http://schemas.openxmlformats.org/officeDocument/2006/relationships/hyperlink" Target="https://www.google.com/maps/place/Sentra+Wisata+Kuliner+Manukan+Lor/data=!4m7!3m6!1s0x2dd7fe630796250b:0x163b7ff9d7a96d83!8m2!3d-7.2594155!4d112.6633096!16s%2Fg%2F11bztf67d6!19sChIJCyWWB2P-1y0Rg22p1_l_OxY?authuser=0&amp;hl=zh-TW&amp;rclk=1" TargetMode="External"/><Relationship Id="rId704" Type="http://schemas.openxmlformats.org/officeDocument/2006/relationships/hyperlink" Target="https://www.google.com/maps/place/Hutan+Kota+Surabaya/data=!4m7!3m6!1s0x2dd7fdf209c871c1:0xf78cdb65dfe44fa0!8m2!3d-7.297311!4d112.702529!16s%2Fg%2F11smqlgsbj!19sChIJwXHICfL91y0RoE_k32XbjPc?authuser=0&amp;hl=zh-TW&amp;rclk=1" TargetMode="External"/><Relationship Id="rId703" Type="http://schemas.openxmlformats.org/officeDocument/2006/relationships/hyperlink" Target="https://www.google.com/maps/place/PENYETAN+BANG+ALI+SIMPANG+DARMO/data=!4m7!3m6!1s0x2dd7fc24f91ae135:0xa16ce1c50e5341c9!8m2!3d-7.2777209!4d112.682985!16s%2Fg%2F11b6_j2012!19sChIJNeEa-ST81y0RyUFTDsXhbKE?authuser=0&amp;hl=zh-TW&amp;rclk=1" TargetMode="External"/><Relationship Id="rId702" Type="http://schemas.openxmlformats.org/officeDocument/2006/relationships/hyperlink" Target="https://www.google.com/maps/place/Sate+Kelinci+Simokerto+SKS/data=!4m7!3m6!1s0x2dd7f9b71d9f2f8b:0x8ee61fe22407c1f8!8m2!3d-7.2392155!4d112.7521743!16s%2Fg%2F11svspr961!19sChIJiy-fHbf51y0R-MEHJOIf5o4?authuser=0&amp;hl=zh-TW&amp;rclk=1" TargetMode="External"/><Relationship Id="rId73" Type="http://schemas.openxmlformats.org/officeDocument/2006/relationships/hyperlink" Target="https://www.google.com/maps/place/BAKSO+KUSUKA/data=!4m7!3m6!1s0x2dd7fb9594909a03:0x4bff32148d817b04!8m2!3d-7.2938386!4d112.7547485!16s%2Fg%2F11dztrc4l_!19sChIJA5qQlJX71y0RBHuBjRQy_0s?authuser=0&amp;hl=zh-TW&amp;rclk=1" TargetMode="External"/><Relationship Id="rId72" Type="http://schemas.openxmlformats.org/officeDocument/2006/relationships/hyperlink" Target="https://www.google.com/maps/place/Ah+Yat+Abalone+Forum+Restaurant/data=!4m7!3m6!1s0x2dd7fb8d2a4ca493:0xc67176af2b6cc9fc!8m2!3d-7.2914406!4d112.7154215!16s%2Fg%2F1tl1f8z7!19sChIJk6RMKo371y0R_MlsK692ccY?authuser=0&amp;hl=zh-TW&amp;rclk=1" TargetMode="External"/><Relationship Id="rId75" Type="http://schemas.openxmlformats.org/officeDocument/2006/relationships/hyperlink" Target="https://www.google.com/maps/place/PANTAI+PASIR+PUTIH+SURABAYA/data=!4m7!3m6!1s0x2dd7f1dbf2965c27:0x78e92f24d72477dc!8m2!3d-7.3083125!4d112.8445625!16s%2Fg%2F11p5qj3q0k!19sChIJJ1yW8tvx1y0R3Hck1yQv6Xg?authuser=0&amp;hl=zh-TW&amp;rclk=1" TargetMode="External"/><Relationship Id="rId74" Type="http://schemas.openxmlformats.org/officeDocument/2006/relationships/hyperlink" Target="https://www.google.com/maps/place/Bakso+Tetelan+Pak+Sabar/data=!4m7!3m6!1s0x2dd7fb9abb492e87:0x5bdb32da32b691cc!8m2!3d-7.2986379!4d112.7279963!16s%2Fg%2F11g9nfyqym!19sChIJhy5Ju5r71y0RzJG2Mtoy21s?authuser=0&amp;hl=zh-TW&amp;rclk=1" TargetMode="External"/><Relationship Id="rId77" Type="http://schemas.openxmlformats.org/officeDocument/2006/relationships/hyperlink" Target="https://www.google.com/maps/place/de+Soematra+1910/data=!4m7!3m6!1s0x2dd7fbd97d105b21:0xf5bb90ede92d68bb!8m2!3d-7.2715355!4d112.7473151!16s%2Fg%2F1q5cccjym!19sChIJIVsQfdn71y0Ru2gt6e2Qu_U?authuser=0&amp;hl=zh-TW&amp;rclk=1" TargetMode="External"/><Relationship Id="rId76" Type="http://schemas.openxmlformats.org/officeDocument/2006/relationships/hyperlink" Target="https://www.google.com/maps/place/Penyetan+%22Mbak+Nur%22/data=!4m7!3m6!1s0x2dd7fbc8e68c74e7:0xff83f922f86e9302!8m2!3d-7.3032367!4d112.7490103!16s%2Fg%2F11j36zd2h8!19sChIJ53SM5sj71y0RApNu-CL5g_8?authuser=0&amp;hl=zh-TW&amp;rclk=1" TargetMode="External"/><Relationship Id="rId79" Type="http://schemas.openxmlformats.org/officeDocument/2006/relationships/hyperlink" Target="https://www.google.com/maps/place/The+Atjeh+Connection+SURABAYA/data=!4m7!3m6!1s0x2dd7f94ebd03047b:0xcb0b69fa99b42939!8m2!3d-7.2585699!4d112.727524!16s%2Fg%2F11gvzdcdc0!19sChIJewQDvU751y0ROSm0mfppC8s?authuser=0&amp;hl=zh-TW&amp;rclk=1" TargetMode="External"/><Relationship Id="rId78" Type="http://schemas.openxmlformats.org/officeDocument/2006/relationships/hyperlink" Target="https://www.google.com/maps/place/Bebek+tuan+muda/data=!4m7!3m6!1s0x2dd7fd002efe38e1:0xd6486281e060edfc!8m2!3d-7.2851947!4d112.6566625!16s%2Fg%2F11wng1v2v8!19sChIJ4Tj-LgD91y0R_O1g4IFiSNY?authuser=0&amp;hl=zh-TW&amp;rclk=1" TargetMode="External"/><Relationship Id="rId71" Type="http://schemas.openxmlformats.org/officeDocument/2006/relationships/hyperlink" Target="https://www.google.com/maps/place/Mangrove+petani+tambak+turnodjoyo+%28Pak+Suratno%29/data=!4m7!3m6!1s0x2dd7f111450ff63b:0x582fd8d1670d3efc!8m2!3d-7.3117104!4d112.8235237!16s%2Fg%2F11j3wp3vzd!19sChIJO_YPRRHx1y0R_D4NZ9HYL1g?authuser=0&amp;hl=zh-TW&amp;rclk=1" TargetMode="External"/><Relationship Id="rId70" Type="http://schemas.openxmlformats.org/officeDocument/2006/relationships/hyperlink" Target="https://www.google.com/maps/place/Sate+Ayam+Ponorogo+Pak+Seger/data=!4m7!3m6!1s0x2dd7fbce1a3e8c01:0x207db03b3286bc66!8m2!3d-7.2798719!4d112.7560594!16s%2Fg%2F1hm56zd3t!19sChIJAYw-Gs771y0RZryGMjuwfSA?authuser=0&amp;hl=zh-TW&amp;rclk=1" TargetMode="External"/><Relationship Id="rId62" Type="http://schemas.openxmlformats.org/officeDocument/2006/relationships/hyperlink" Target="https://www.google.com/maps/place/Bakso+Solo+Dan+Es+Campur+Pak+Sabar/data=!4m7!3m6!1s0x2dd7fbd08b70f425:0xa93290240f2c17b0!8m2!3d-7.2735004!4d112.7521441!16s%2Fg%2F11bwpd1z6l!19sChIJJfRwi9D71y0RsBcsDySQMqk?authuser=0&amp;hl=zh-TW&amp;rclk=1" TargetMode="External"/><Relationship Id="rId61" Type="http://schemas.openxmlformats.org/officeDocument/2006/relationships/hyperlink" Target="https://www.google.com/maps/place/Pantai+Kenjeran+Lama/data=!4m7!3m6!1s0x2dd7f9c590a1a9a3:0xc62c6855e5b63c45!8m2!3d-7.2381863!4d112.7955159!16s%2Fg%2F11bxfm0plv!19sChIJo6mhkMX51y0RRTy25VVoLMY?authuser=0&amp;hl=zh-TW&amp;rclk=1" TargetMode="External"/><Relationship Id="rId64" Type="http://schemas.openxmlformats.org/officeDocument/2006/relationships/hyperlink" Target="https://www.google.com/maps/place/Taman+PUPR+Keputih+Surabaya/data=!4m7!3m6!1s0x2dd7fb337d845aa5:0x3ec717156f00d8b6!8m2!3d-7.3007106!4d112.8024759!16s%2Fg%2F11kwb2lz8y!19sChIJpVqEfTP71y0RttgAbxUXxz4?authuser=0&amp;hl=zh-TW&amp;rclk=1" TargetMode="External"/><Relationship Id="rId63" Type="http://schemas.openxmlformats.org/officeDocument/2006/relationships/hyperlink" Target="https://www.google.com/maps/place/Taman+Pakuwon/data=!4m7!3m6!1s0x2dd7fc4abf86d06b:0x2aec024551c1d8ff!8m2!3d-7.2921856!4d112.6688692!16s%2Fg%2F11g8cr2xn7!19sChIJa9CGv0r81y0R_9jBUUUC7Co?authuser=0&amp;hl=zh-TW&amp;rclk=1" TargetMode="External"/><Relationship Id="rId66" Type="http://schemas.openxmlformats.org/officeDocument/2006/relationships/hyperlink" Target="https://www.google.com/maps/place/Bamboo+Forest+Keputih+Surabaya/data=!4m7!3m6!1s0x2dd7f900d37fae9b:0x637bddc13af0df47!8m2!3d-7.2941909!4d112.8017238!16s%2Fg%2F11b7rtm8fv!19sChIJm65_0wD51y0RR9_wOsHde2M?authuser=0&amp;hl=zh-TW&amp;rclk=1" TargetMode="External"/><Relationship Id="rId65" Type="http://schemas.openxmlformats.org/officeDocument/2006/relationships/hyperlink" Target="https://www.google.com/maps/place/The+Gallery+Restaurant+-+Ciputra+World+Hotel+Surabaya/data=!4m7!3m6!1s0x2dd7fb000d1c3a6f:0x9bd32906094fef9c!8m2!3d-7.292156!4d112.7189564!16s%2Fg%2F11y317fx0v!19sChIJbzocDQD71y0RnO9PCQYp05s?authuser=0&amp;hl=zh-TW&amp;rclk=1" TargetMode="External"/><Relationship Id="rId68" Type="http://schemas.openxmlformats.org/officeDocument/2006/relationships/hyperlink" Target="https://www.google.com/maps/place/Bakwan+Pak+Nur/data=!4m7!3m6!1s0x2dd7fbe94c6984af:0x3a9186ecda29bcc2!8m2!3d-7.2816342!4d112.7335055!16s%2Fg%2F11btwqh9j_!19sChIJr4RpTOn71y0Rwrwp2uyGkTo?authuser=0&amp;hl=zh-TW&amp;rclk=1" TargetMode="External"/><Relationship Id="rId67" Type="http://schemas.openxmlformats.org/officeDocument/2006/relationships/hyperlink" Target="https://www.google.com/maps/place/Warung+Leko/data=!4m7!3m6!1s0x2dd7fa33a84ab17d:0xd15b711951f1f689!8m2!3d-7.2775083!4d112.7659981!16s%2Fg%2F1pzrfjk6t!19sChIJfbFKqDP61y0RifbxURlxW9E?authuser=0&amp;hl=zh-TW&amp;rclk=1" TargetMode="External"/><Relationship Id="rId729" Type="http://schemas.openxmlformats.org/officeDocument/2006/relationships/hyperlink" Target="https://www.google.com/maps/place/Bebek+Tumapel+Mbak+Roh/data=!4m7!3m6!1s0x2dd7fbc046aa3d35:0xf40295e623ccb469!8m2!3d-7.2855545!4d112.7409039!16s%2Fg%2F11c2pzh5yf!19sChIJNT2qRsD71y0RabTMI-aVAvQ?authuser=0&amp;hl=zh-TW&amp;rclk=1" TargetMode="External"/><Relationship Id="rId728" Type="http://schemas.openxmlformats.org/officeDocument/2006/relationships/hyperlink" Target="https://www.google.com/maps/place/Nasi+Babat+Kampung+Malang+Surabaya/data=!4m7!3m6!1s0x2dd7fbe10fb69f45:0x3fb2a844d676d0af!8m2!3d-7.2681961!4d112.7349789!16s%2Fg%2F11dztt3kjt!19sChIJRZ-2D-H71y0Rr9B21kSosj8?authuser=0&amp;hl=zh-TW&amp;rclk=1" TargetMode="External"/><Relationship Id="rId60" Type="http://schemas.openxmlformats.org/officeDocument/2006/relationships/hyperlink" Target="https://www.google.com/maps/place/Penyetan+Cok+-+Transmart+Surabaya/data=!4m7!3m6!1s0x2dd7fba718c10c03:0xea7a8b5014587199!8m2!3d-7.3207557!4d112.7706718!16s%2Fg%2F11f63010_n!19sChIJAwzBGKf71y0RmXFYFFCLeuo?authuser=0&amp;hl=zh-TW&amp;rclk=1" TargetMode="External"/><Relationship Id="rId723" Type="http://schemas.openxmlformats.org/officeDocument/2006/relationships/hyperlink" Target="http://google.com/maps/place/Djavahaus+Coffee+and+Eatery/@-7.256757,112.7398604,17z/data=!4m6!3m5!1s0x2dd7f90fd879002b:0x7167762bebba0685!8m2!3d-7.2658737!4d112.7309841!16s%2Fg%2F11v095s9t_?entry=ttu&amp;g_ep=EgoyMDI2MDYyOS4wIKXMDSoASAFQAw%3D%3D" TargetMode="External"/><Relationship Id="rId722" Type="http://schemas.openxmlformats.org/officeDocument/2006/relationships/hyperlink" Target="https://www.google.com/maps/place/OL+and+NU+cafe+eatery/data=!4m7!3m6!1s0x2dd7f956a1bf4e4f:0xd2578143682028d2!8m2!3d-7.2592726!4d112.7497086!16s%2Fg%2F11vprwqyws!19sChIJT06_oVb51y0R0iggaEOBV9I?authuser=0&amp;hl=zh-TW&amp;rclk=1" TargetMode="External"/><Relationship Id="rId721" Type="http://schemas.openxmlformats.org/officeDocument/2006/relationships/hyperlink" Target="https://www.google.com/maps/place/Soto+Ayam+Lamongan+Pak+No/data=!4m7!3m6!1s0x2dd7fbb774e98f4f:0x1c92ee7bb487ed61!8m2!3d-7.2889434!4d112.7522141!16s%2Fg%2F1pzpjh54j!19sChIJT4_pdLf71y0RYe2HtHvukhw?authuser=0&amp;hl=zh-TW&amp;rclk=1" TargetMode="External"/><Relationship Id="rId720" Type="http://schemas.openxmlformats.org/officeDocument/2006/relationships/hyperlink" Target="https://www.google.com/maps/place/Cafe+Olympus+Surabaya+Barat/data=!4m7!3m6!1s0x2e7801bcfb88ba61:0x4d3f9f4af4ffeb91!8m2!3d-7.2292662!4d112.6157369!16s%2Fg%2F11tnbhtyv9!19sChIJYbqI-7wBeC4Rkev_9EqfP00?authuser=0&amp;hl=zh-TW&amp;rclk=1" TargetMode="External"/><Relationship Id="rId727" Type="http://schemas.openxmlformats.org/officeDocument/2006/relationships/hyperlink" Target="https://www.google.com/maps/place/Tempe+Penyet+Vira/data=!4m7!3m6!1s0x2dd7fc548955bfb7:0xc96f5aefce35bc11!8m2!3d-7.3070553!4d112.6701489!16s%2Fg%2F11f5h39bmc!19sChIJt79ViVT81y0REbw1zu9ab8k?authuser=0&amp;hl=zh-TW&amp;rclk=1" TargetMode="External"/><Relationship Id="rId726" Type="http://schemas.openxmlformats.org/officeDocument/2006/relationships/hyperlink" Target="https://www.google.com/maps/place/Sentra+Wisata+Kuliner+Karah/data=!4m7!3m6!1s0x2dd7fb7e454cd07f:0xaa34624d82b54c19!8m2!3d-7.3094548!4d112.7196133!16s%2Fg%2F1jgm4c3s7!19sChIJf9BMRX771y0RGUy1gk1iNKo?authuser=0&amp;hl=zh-TW&amp;rclk=1" TargetMode="External"/><Relationship Id="rId725" Type="http://schemas.openxmlformats.org/officeDocument/2006/relationships/hyperlink" Target="https://www.google.com/maps/place/Sari+Laut+Cak+San/data=!4m7!3m6!1s0x2dd7f96d0879c041:0x3de7d26005f4af15!8m2!3d-7.248906!4d112.748794!16s%2Fg%2F11gbzc5c5t!19sChIJQcB5CG351y0RFa_0BWDS5z0?authuser=0&amp;hl=zh-TW&amp;rclk=1" TargetMode="External"/><Relationship Id="rId724" Type="http://schemas.openxmlformats.org/officeDocument/2006/relationships/hyperlink" Target="https://www.google.com/maps/place/Cafe+B.ARU/@-7.288892,112.734595,17z/data=!3m1!4b1!4m6!3m5!1s0x2dd7fb64cce2caa1:0x709aa53cf94c0da2!8m2!3d-7.288892!4d112.734595!16s%2Fg%2F11k9d48hy_?entry=ttu&amp;g_ep=EgoyMDI2MDYyOS4wIKXMDSoASAFQAw%3D%3D" TargetMode="External"/><Relationship Id="rId69" Type="http://schemas.openxmlformats.org/officeDocument/2006/relationships/hyperlink" Target="https://www.google.com/maps/place/Monumen+Tugu+Pahlawan+dan+Museum+Sepuluh+Nopember+Surabaya/data=!4m7!3m6!1s0x2dd7f93fc001bc5d:0x110e38d8a6c23fbe!8m2!3d-7.245555!4d112.7378627!16s%2Fg%2F11f01txlq2!19sChIJXbwBwD_51y0Rvj_Cptg4DhE?authuser=0&amp;hl=zh-TW&amp;rclk=1" TargetMode="External"/><Relationship Id="rId51" Type="http://schemas.openxmlformats.org/officeDocument/2006/relationships/hyperlink" Target="https://www.google.com/maps/place/Kopitagram+-+Tenggilis/data=!4m7!3m6!1s0x2dd7fb461c410641:0xa2dea7517df8c426!8m2!3d-7.3200278!4d112.7552781!16s%2Fg%2F11sfbb4yg0!19sChIJQQZBHEb71y0RJsT4fVGn3qI?authuser=0&amp;hl=zh-TW&amp;rclk=1" TargetMode="External"/><Relationship Id="rId50" Type="http://schemas.openxmlformats.org/officeDocument/2006/relationships/hyperlink" Target="https://www.google.com/maps/place/Warung+NOW/data=!4m7!3m6!1s0x2dd7f9650fb0f459:0x8ac0313d2d88db48!8m2!3d-7.2583138!4d112.7486017!16s%2Fg%2F11g9jgv5_x!19sChIJWfSwD2X51y0RSNuILT0xwIo?authuser=0&amp;hl=zh-TW&amp;rclk=1" TargetMode="External"/><Relationship Id="rId53" Type="http://schemas.openxmlformats.org/officeDocument/2006/relationships/hyperlink" Target="https://www.google.com/maps/place/Pangsit+Mie+Ayam+Jakarta+Anugerah+Jaya+CAK+RUL/data=!4m7!3m6!1s0x2dd7fdaf528c91e9:0x64222e18a4f5e156!8m2!3d-7.3359633!4d112.6996374!16s%2Fg%2F11gnt99f51!19sChIJ6ZGMUq_91y0RVuH1pBguImQ?authuser=0&amp;hl=zh-TW&amp;rclk=1" TargetMode="External"/><Relationship Id="rId52" Type="http://schemas.openxmlformats.org/officeDocument/2006/relationships/hyperlink" Target="https://www.google.com/maps/place/Bakso+Pajero+Surabaya/data=!4m7!3m6!1s0x2dd7fb0be360f129:0x57bbdd344fd6388d!8m2!3d-7.2721265!4d112.7562419!16s%2Fg%2F11n4xhr2zs!19sChIJKfFg4wv71y0RjTjWTzTdu1c?authuser=0&amp;hl=zh-TW&amp;rclk=1" TargetMode="External"/><Relationship Id="rId55" Type="http://schemas.openxmlformats.org/officeDocument/2006/relationships/hyperlink" Target="https://www.google.com/maps/place/Bakso+Dumbo+Surabaya/data=!4m7!3m6!1s0x2dd7fbc56202d9f1:0xf47975510c1e42a7!8m2!3d-7.2987308!4d112.7319486!16s%2Fg%2F11ys1636px!19sChIJ8dkCYsX71y0Rp0IeDFF1efQ?authuser=0&amp;hl=zh-TW&amp;rclk=1" TargetMode="External"/><Relationship Id="rId54" Type="http://schemas.openxmlformats.org/officeDocument/2006/relationships/hyperlink" Target="https://www.google.com/maps/place/Rawon+Pak+Pangat/data=!4m7!3m6!1s0x2dd7fb6646d42f51:0x402f071492005ab4!8m2!3d-7.3246861!4d112.7254193!16s%2Fg%2F1hm36f846!19sChIJUS_URmb71y0RtFoAkhQHL0A?authuser=0&amp;hl=zh-TW&amp;rclk=1" TargetMode="External"/><Relationship Id="rId57" Type="http://schemas.openxmlformats.org/officeDocument/2006/relationships/hyperlink" Target="https://www.google.com/maps/place/Warong+penyetan+Ponorogo/data=!4m7!3m6!1s0x2dd7f9cef1788629:0xf5aa9baf14db4427!8m2!3d-7.2625496!4d112.7354527!16s%2Fg%2F11jbntxx1t!19sChIJKYZ48c751y0RJ0TbFK-bqvU?authuser=0&amp;hl=zh-TW&amp;rclk=1" TargetMode="External"/><Relationship Id="rId56" Type="http://schemas.openxmlformats.org/officeDocument/2006/relationships/hyperlink" Target="https://www.google.com/maps/place/Warung+Pak+Ghofar/data=!4m7!3m6!1s0x2dd7fc23e72ee2d3:0x4ea46a0214682904!8m2!3d-7.2752225!4d112.6867139!16s%2Fg%2F11btxc_0wc!19sChIJ0-Iu5yP81y0RBCloFAJqpE4?authuser=0&amp;hl=zh-TW&amp;rclk=1" TargetMode="External"/><Relationship Id="rId719" Type="http://schemas.openxmlformats.org/officeDocument/2006/relationships/hyperlink" Target="https://www.google.com/maps/place/Taman+Angsa/data=!4m7!3m6!1s0x2dd7fc4c9027e23f:0xe0a548aae9a5a27a!8m2!3d-7.2921284!4d112.6693617!16s%2Fg%2F11fxccnn1s!19sChIJP-InkEz81y0ReqKl6apIpeA?authuser=0&amp;hl=zh-TW&amp;rclk=1" TargetMode="External"/><Relationship Id="rId718" Type="http://schemas.openxmlformats.org/officeDocument/2006/relationships/hyperlink" Target="https://www.google.com/maps/place/Sentra+Wisata+Kuliner+Taman+Prestasi/data=!4m7!3m6!1s0x2dd7f961583842c3:0xc37d54c83b94a6d8!8m2!3d-7.2624706!4d112.7447097!16s%2Fg%2F11g6bld2wl!19sChIJw0I4WGH51y0R2KaUO8hUfcM?authuser=0&amp;hl=zh-TW&amp;rclk=1" TargetMode="External"/><Relationship Id="rId717" Type="http://schemas.openxmlformats.org/officeDocument/2006/relationships/hyperlink" Target="https://www.google.com/maps/place/Rawon+Mojopahit/data=!4m7!3m6!1s0x2dd7e6d28e5dc6a1:0x8f663658a7dd715!8m2!3d-7.460179!4d112.7176703!16s%2Fg%2F11c4bpwlxp!19sChIJocZdjtLm1y0RFdd9imVj9gg?authuser=0&amp;hl=zh-TW&amp;rclk=1" TargetMode="External"/><Relationship Id="rId712" Type="http://schemas.openxmlformats.org/officeDocument/2006/relationships/hyperlink" Target="https://www.google.com/maps/place/Kedinding+Playground/data=!4m7!3m6!1s0x2dd7f85329bf93df:0xa9744a3f1319c6a1!8m2!3d-7.2247451!4d112.7717239!16s%2Fg%2F11f11g9tjx!19sChIJ35O_KVP41y0RocYZEz9KdKk?authuser=0&amp;hl=zh-TW&amp;rclk=1" TargetMode="External"/><Relationship Id="rId711" Type="http://schemas.openxmlformats.org/officeDocument/2006/relationships/hyperlink" Target="https://www.google.com/maps/place/Kenjeran+Park/data=!4m7!3m6!1s0x2dd7f9efbb9ec3d5:0x671745ebef4daa!8m2!3d-7.2525912!4d112.7969305!16s%2Fg%2F11g68_jjk_!19sChIJ1cOeu-_51y0Rqk3v60UXZwA?authuser=0&amp;hl=zh-TW&amp;rclk=1" TargetMode="External"/><Relationship Id="rId710" Type="http://schemas.openxmlformats.org/officeDocument/2006/relationships/hyperlink" Target="https://www.google.com/maps/place/KidZania+Surabaya/data=!4m7!3m6!1s0x2dd7fd7381486259:0x5b7bb4e4eeee3e77!8m2!3d-7.290009!4d112.7064316!16s%2Fg%2F11frrrlqk7!19sChIJWWJIgXP91y0Rdz7u7uS0e1s?authuser=0&amp;hl=zh-TW&amp;rclk=1" TargetMode="External"/><Relationship Id="rId716" Type="http://schemas.openxmlformats.org/officeDocument/2006/relationships/hyperlink" Target="https://www.google.com/maps/place/Es+Teler+Pacarkeling+dan+Bakso+Pak+No/data=!4m7!3m6!1s0x2dd7f97bb4ed519b:0x8450ace7ed19b5d0!8m2!3d-7.2588342!4d112.7552786!16s%2Fg%2F11b6dg1jdw!19sChIJm1HttHv51y0R0LUZ7eesUIQ?authuser=0&amp;hl=zh-TW&amp;rclk=1" TargetMode="External"/><Relationship Id="rId715" Type="http://schemas.openxmlformats.org/officeDocument/2006/relationships/hyperlink" Target="https://www.google.com/maps/place/Makan+Kitchen+Surabaya/data=!4m7!3m6!1s0x2dd7f90ad1df2373:0x25deb57115e7d4f6!8m2!3d-7.2569375!4d112.7365341!16s%2Fg%2F11n0rt2d9n!19sChIJcyPf0Qr51y0R9tTnFXG13iU?authuser=0&amp;hl=zh-TW&amp;rclk=1" TargetMode="External"/><Relationship Id="rId714" Type="http://schemas.openxmlformats.org/officeDocument/2006/relationships/hyperlink" Target="https://www.google.com/maps/place/Pangsit+Mie+Ayam+Tuban+Pak+Suci/data=!4m7!3m6!1s0x2dd7f93befb867d7:0x572a6b1f074f401e!8m2!3d-7.24158!4d112.7322633!16s%2Fg%2F11b6t7wpld!19sChIJ12e47zv51y0RHkBPBx9rKlc?authuser=0&amp;hl=zh-TW&amp;rclk=1" TargetMode="External"/><Relationship Id="rId713" Type="http://schemas.openxmlformats.org/officeDocument/2006/relationships/hyperlink" Target="https://www.google.com/maps/place/Warung+Dewi/data=!4m7!3m6!1s0x2dd7fbbdc90d2a67:0xeb51cb5298d2c77e!8m2!3d-7.2933357!4d112.7416048!16s%2Fg%2F11b6hy70nm!19sChIJZyoNyb371y0RfsfSmFLLUes?authuser=0&amp;hl=zh-TW&amp;rclk=1" TargetMode="External"/><Relationship Id="rId59" Type="http://schemas.openxmlformats.org/officeDocument/2006/relationships/hyperlink" Target="https://www.google.com/maps/place/Layar+Seafood+KH+Abdul+Wahab+Siamin/data=!4m7!3m6!1s0x2dd7fc7a4e47c44d:0x4daf76d21ed7ac8e!8m2!3d-7.2937027!4d112.707384!16s%2Fg%2F1hm5d8pc0!19sChIJTcRHTnr81y0RjqzXHtJ2r00?authuser=0&amp;hl=zh-TW&amp;rclk=1" TargetMode="External"/><Relationship Id="rId58" Type="http://schemas.openxmlformats.org/officeDocument/2006/relationships/hyperlink" Target="https://www.google.com/maps/place/Wisata+Kuliner+Pasar+Genteng/data=!4m7!3m6!1s0x2dd7f949d317e533:0x911d84da2720187e!8m2!3d-7.2588538!4d112.7416521!16s%2Fg%2F11f6ycry0k!19sChIJM-UX00n51y0RfhggJ9qEHZE?authuser=0&amp;hl=zh-TW&amp;rclk=1" TargetMode="External"/><Relationship Id="rId590" Type="http://schemas.openxmlformats.org/officeDocument/2006/relationships/hyperlink" Target="https://www.google.com/maps/place/Depot+Bu+Rudy+-+Dharmahusada/@-7.2674503,112.7700431,17z/data=!3m2!4b1!5s0x2dd7fa2900070f67:0x7b3b78cfbe660a0!4m6!3m5!1s0x2dd7f9fdfa4dc9cd:0x73513935dae2989e!8m2!3d-7.2674503!4d112.7700431!16s%2Fg%2F1hd_3mf8w?entry=ttu&amp;g_ep=EgoyMDI2MDYyOS4wIKXMDSoASAFQAw%3D%3D" TargetMode="External"/><Relationship Id="rId107" Type="http://schemas.openxmlformats.org/officeDocument/2006/relationships/hyperlink" Target="https://www.google.com/maps/place/Kudos+Cafe+-+Pakuwon+Square/@-7.2948389,112.6752565,17z/data=!3m1!4b1!4m6!3m5!1s0x2dd7fc49d6eaaaab:0x37c978891819367f!8m2!3d-7.2948389!4d112.6752565!16s%2Fg%2F11bx4bhk3w?entry=ttu&amp;g_ep=EgoyMDI2MDYyOS4wIKXMDSoASAFQAw%3D%3D" TargetMode="External"/><Relationship Id="rId349" Type="http://schemas.openxmlformats.org/officeDocument/2006/relationships/hyperlink" Target="https://www.google.com/maps/place/Bakso+Tetelan+Pak+Kam/data=!4m7!3m6!1s0x2dd7f92387b7f0af:0x59ad3ab7407ce96e!8m2!3d-7.2585592!4d112.7426142!16s%2Fg%2F11n5r0k7y6!19sChIJr_C3hyP51y0Rbul8QLc6rVk?authuser=0&amp;hl=zh-TW&amp;rclk=1" TargetMode="External"/><Relationship Id="rId106" Type="http://schemas.openxmlformats.org/officeDocument/2006/relationships/hyperlink" Target="https://www.google.com/maps/place/Soto+Ayam+cak+di+Lamongan/data=!4m7!3m6!1s0x2dd7fa3e2e1b31bb:0x8e6852ffb8b240df!8m2!3d-7.2818924!4d112.7860041!16s%2Fg%2F11n6_1km3y!19sChIJuzEbLj761y0R30CyuP9SaI4?authuser=0&amp;hl=zh-TW&amp;rclk=1" TargetMode="External"/><Relationship Id="rId348" Type="http://schemas.openxmlformats.org/officeDocument/2006/relationships/hyperlink" Target="https://www.google.com/maps/place/Warung+Lesehan+Rumadi/data=!4m7!3m6!1s0x2dd7fdaea0d1c151:0xb5c356bc47b3e26c!8m2!3d-7.3053905!4d112.6613282!16s%2Fg%2F1hm463zwt!19sChIJUcHRoK791y0RbOKzR7xWw7U?authuser=0&amp;hl=zh-TW&amp;rclk=1" TargetMode="External"/><Relationship Id="rId105" Type="http://schemas.openxmlformats.org/officeDocument/2006/relationships/hyperlink" Target="https://www.google.com/maps/place/VISMA+%7C+Coffee,+Art+%26+Co+-+Working+Space/data=!4m7!3m6!1s0x2dd7f95f961b3a21:0x937a6a39480a3e32!8m2!3d-7.265988!4d112.738307!16s%2Fg%2F11ckvdmd8s!19sChIJITobll_51y0RMj4KSDlqepM?authuser=0&amp;hl=zh-TW&amp;rclk=1" TargetMode="External"/><Relationship Id="rId347" Type="http://schemas.openxmlformats.org/officeDocument/2006/relationships/hyperlink" Target="https://www.google.com/maps/place/Bebek+Cabbhi+Surabaya+Kayoon/data=!4m7!3m6!1s0x2dd7fb396cde2223:0xc4016a00c37d874a!8m2!3d-7.2670486!4d112.7495918!16s%2Fg%2F11nbhmmv3f!19sChIJIyLebDn71y0RSod9wwBqAcQ?authuser=0&amp;hl=zh-TW&amp;rclk=1" TargetMode="External"/><Relationship Id="rId589" Type="http://schemas.openxmlformats.org/officeDocument/2006/relationships/hyperlink" Target="https://www.google.com/maps/place/Bebek+Goreng+Papin/data=!4m7!3m6!1s0x2dd7f96d0610ebcd:0xbb0e320f86f44a04!8m2!3d-7.2482689!4d112.7471493!16s%2Fg%2F1hc79tvl0!19sChIJzesQBm351y0RBEr0hg8yDrs?authuser=0&amp;hl=zh-TW&amp;rclk=1" TargetMode="External"/><Relationship Id="rId104" Type="http://schemas.openxmlformats.org/officeDocument/2006/relationships/hyperlink" Target="https://www.google.com/maps/place/Taman+Hutan+Raya+Lempung/data=!4m7!3m6!1s0x2dd7fffae6291fcb:0x8328cb2b3f0e2d0e!8m2!3d-7.2650126!4d112.6731242!16s%2Fg%2F11qnt91yrp!19sChIJyx8p5vr_1y0RDi0OPyvLKIM?authuser=0&amp;hl=zh-TW&amp;rclk=1" TargetMode="External"/><Relationship Id="rId346" Type="http://schemas.openxmlformats.org/officeDocument/2006/relationships/hyperlink" Target="https://www.google.com/maps/place/Dopamine+Bakehouse+%26+Caf%C3%A9/data=!4m7!3m6!1s0x2dd7fb20f7787911:0xc7d894b13eb0563d!8m2!3d-7.3320121!4d112.7840762!16s%2Fg%2F11vrjhl06n!19sChIJEXl49yD71y0RPVawPrGU2Mc?authuser=0&amp;hl=zh-TW&amp;rclk=1" TargetMode="External"/><Relationship Id="rId588" Type="http://schemas.openxmlformats.org/officeDocument/2006/relationships/hyperlink" Target="https://www.google.com/maps/place/Mohen+Coffee+%26Eatery/@-7.260247,112.744649,17z/data=!3m1!4b1!4m6!3m5!1s0x2dd7f900731de4cd:0x1cb9510f3e3f3e69!8m2!3d-7.260247!4d112.744649!16s%2Fg%2F11mt562435?entry=ttu&amp;g_ep=EgoyMDI2MDYyOS4wIKXMDSoASAFQAw%3D%3D" TargetMode="External"/><Relationship Id="rId109" Type="http://schemas.openxmlformats.org/officeDocument/2006/relationships/hyperlink" Target="https://www.google.com/maps/place/Pangsit+Mie+Ayam+Jakarta+Kaisar/data=!4m7!3m6!1s0x2dd7f950d26c73b5:0x956e89d4e34797cd!8m2!3d-7.262635!4d112.7248143!16s%2Fg%2F11b6c8x1rq!19sChIJtXNs0lD51y0RzZdH49SJbpU?authuser=0&amp;hl=zh-TW&amp;rclk=1" TargetMode="External"/><Relationship Id="rId108" Type="http://schemas.openxmlformats.org/officeDocument/2006/relationships/hyperlink" Target="https://www.google.com/maps/place/TaoHuaYuan+Restaurant/data=!4m7!3m6!1s0x2dd7fd4abffa0a4f:0xb85380abd14e9c24!8m2!3d-7.2882098!4d112.7007817!16s%2Fg%2F11y98kl8tt!19sChIJTwr6v0r91y0RJJxO0auAU7g?authuser=0&amp;hl=zh-TW&amp;rclk=1" TargetMode="External"/><Relationship Id="rId341" Type="http://schemas.openxmlformats.org/officeDocument/2006/relationships/hyperlink" Target="https://www.google.com/maps/place/Nasi+Cumi+Pasar+Atom+Ibu+Atun/data=!4m2!3m1!1s0x2dd7f916c0386219:0x6208b23019ab88c5?sa=X&amp;ved=1t:242&amp;ictx=111" TargetMode="External"/><Relationship Id="rId583" Type="http://schemas.openxmlformats.org/officeDocument/2006/relationships/hyperlink" Target="https://www.google.com/maps/place/Sate+Posang/data=!4m7!3m6!1s0x2dd7fc067066bb4d:0xe1d48e4f15acc2fc!8m2!3d-7.2769269!4d112.7098654!16s%2Fg%2F11f3nm42_f!19sChIJTbtmcAb81y0R_MKsFU-O1OE?authuser=0&amp;hl=zh-TW&amp;rclk=1" TargetMode="External"/><Relationship Id="rId340" Type="http://schemas.openxmlformats.org/officeDocument/2006/relationships/hyperlink" Target="https://www.google.com/maps/place/KAPTEN+SEAFOOD+SURABAYA+UTARA/data=!4m7!3m6!1s0x2dd7f9c9683575db:0xd9989894944b9109!8m2!3d-7.2459183!4d112.7339189!16s%2Fg%2F11y207lckt!19sChIJ23U1aMn51y0RCZFLlJSYmNk?authuser=0&amp;hl=zh-TW&amp;rclk=1" TargetMode="External"/><Relationship Id="rId582" Type="http://schemas.openxmlformats.org/officeDocument/2006/relationships/hyperlink" Target="https://www.google.com/maps/place/De+Javasche+Bank/data=!4m7!3m6!1s0x2dd7f922ef7a959d:0xddbdd454fd8f7afc!8m2!3d-7.2353939!4d112.7367646!16s%2Fm%2F012w498d!19sChIJnZV67yL51y0R_HqP_VTUvd0?authuser=0&amp;hl=zh-TW&amp;rclk=1" TargetMode="External"/><Relationship Id="rId581" Type="http://schemas.openxmlformats.org/officeDocument/2006/relationships/hyperlink" Target="https://www.google.com/maps/place/Botanika+-+Kertajaya+Indah/data=!4m7!3m6!1s0x2dd7fa3a005a3f37:0xa8d07d36e28a1151!8m2!3d-7.2801373!4d112.7749205!16s%2Fg%2F11d_bsnb1_!19sChIJNz9aADr61y0RURGK4jZ90Kg?authuser=0&amp;hl=zh-TW&amp;rclk=1" TargetMode="External"/><Relationship Id="rId580" Type="http://schemas.openxmlformats.org/officeDocument/2006/relationships/hyperlink" Target="http://google.com/maps/place/Second+Cup+Coffee+-+Dharmahusada+Indah+Timur/@-7.2664116,112.7714516,17z/data=!4m6!3m5!1s0x2dd7fbf682798bbf:0xc5cb7f64d78ee70c!8m2!3d-7.2726221!4d112.7821647!16s%2Fg%2F11kr99yx0b?entry=ttu&amp;g_ep=EgoyMDI2MDYyOS4wIKXMDSoASAFQAw%3D%3D" TargetMode="External"/><Relationship Id="rId103" Type="http://schemas.openxmlformats.org/officeDocument/2006/relationships/hyperlink" Target="https://www.google.com/maps/place/Penyetan+Cok+PTC/data=!4m7!3m6!1s0x2dd7fda7a85b9155:0x12901a5ff579aa6b!8m2!3d-7.2907677!4d112.6736724!16s%2Fg%2F11y448yg1z!19sChIJVZFbqKf91y0Ra6p59V8akBI?authuser=0&amp;hl=zh-TW&amp;rclk=1" TargetMode="External"/><Relationship Id="rId345" Type="http://schemas.openxmlformats.org/officeDocument/2006/relationships/hyperlink" Target="https://www.google.com/maps/place/RUIHE+Citraland+chinese+%26+seafood+%28%E7%91%9E%E5%92%8C%EF%BC%89/data=!4m7!3m6!1s0x2dd7fc1b555048f1:0xc1fd019baf4ebfd9!8m2!3d-7.2755925!4d112.6459812!16s%2Fg%2F11dfk8qm_5!19sChIJ8UhQVRv81y0R2b9Or5sB_cE?authuser=0&amp;hl=zh-TW&amp;rclk=1" TargetMode="External"/><Relationship Id="rId587" Type="http://schemas.openxmlformats.org/officeDocument/2006/relationships/hyperlink" Target="https://www.google.com/maps/place/%22Soto+Mie+Bogor%22+Warung+Makan+AA+%28WMA%29/data=!4m7!3m6!1s0x2dd7fb322baab54d:0x9d367d800aa7f651!8m2!3d-7.2661046!4d112.7642002!16s%2Fg%2F11gsmtnnvq!19sChIJTbWqKzL71y0RUfanCoB9Np0?authuser=0&amp;hl=zh-TW&amp;rclk=1" TargetMode="External"/><Relationship Id="rId102" Type="http://schemas.openxmlformats.org/officeDocument/2006/relationships/hyperlink" Target="https://www.google.com/maps/place/Eco+Wisata+-+Susur+Sungai+Kejawan+Putih+Tambak/data=!4m7!3m6!1s0x2dd7fb037e40def1:0x901b288d43057665!8m2!3d-7.2842452!4d112.805911!16s%2Fg%2F11s7vmb7tq!19sChIJ8d5AfgP71y0RZXYFQ40oG5A?authuser=0&amp;hl=zh-TW&amp;rclk=1" TargetMode="External"/><Relationship Id="rId344" Type="http://schemas.openxmlformats.org/officeDocument/2006/relationships/hyperlink" Target="https://www.google.com/maps/place/Sentra+Wisata+Kuliner+Sukomanunggal/data=!4m7!3m6!1s0x2dd7fea15484ffff:0x7807438fad97b056!8m2!3d-7.2643434!4d112.6970826!16s%2Fg%2F11bwm70gy4!19sChIJ__-EVKH-1y0RVrCXrY9DB3g?authuser=0&amp;hl=zh-TW&amp;rclk=1" TargetMode="External"/><Relationship Id="rId586" Type="http://schemas.openxmlformats.org/officeDocument/2006/relationships/hyperlink" Target="https://www.google.com/maps/place/Penyetan+Bu+Yeni/data=!4m7!3m6!1s0x2dd7fd000bac57f9:0xd3c7e98dac07d08b!8m2!3d-7.296549!4d112.6527154!16s%2Fg%2F11y791rn4l!19sChIJ-VesCwD91y0Ri9AHrI3px9M?authuser=0&amp;hl=zh-TW&amp;rclk=1" TargetMode="External"/><Relationship Id="rId101" Type="http://schemas.openxmlformats.org/officeDocument/2006/relationships/hyperlink" Target="https://www.google.com/maps/place/Mie+Ayam+Sido+Kangen/data=!4m7!3m6!1s0x2dd7f932f0b6b623:0x63ab48a455a7e591!8m2!3d-7.2397297!4d112.7177921!16s%2Fg%2F11cls6cf26!19sChIJI7a28DL51y0RkeWnVaRIq2M?authuser=0&amp;hl=zh-TW&amp;rclk=1" TargetMode="External"/><Relationship Id="rId343" Type="http://schemas.openxmlformats.org/officeDocument/2006/relationships/hyperlink" Target="https://www.google.com/maps/place/Seafood+Pak+Rejo+Pindahan+Depan+Makam/data=!4m7!3m6!1s0x2dd7fafea2131a9f:0xd0038b551b4f956b!8m2!3d-7.3107822!4d112.7674218!16s%2Fg%2F11hb657z6f!19sChIJnxoTov761y0Ra5VPG1WLA9A?authuser=0&amp;hl=zh-TW&amp;rclk=1" TargetMode="External"/><Relationship Id="rId585" Type="http://schemas.openxmlformats.org/officeDocument/2006/relationships/hyperlink" Target="https://www.google.com/maps/place/Restoran+Citrus+Lee/data=!4m7!3m6!1s0x2dd7fb944220534d:0x7fb6cb85ce824e99!8m2!3d-7.2906763!4d112.7348857!16s%2Fg%2F1wfp65gj!19sChIJTVMgQpT71y0RmU6CzoXLtn8?authuser=0&amp;hl=zh-TW&amp;rclk=1" TargetMode="External"/><Relationship Id="rId100" Type="http://schemas.openxmlformats.org/officeDocument/2006/relationships/hyperlink" Target="https://www.google.com/maps/place/Sate+Taichan+Nyot+Nyot/data=!4m7!3m6!1s0x2dd7fbcdffc52ecd:0x343a0798ffc06d34!8m2!3d-7.2792099!4d112.7560165!16s%2Fg%2F11fhr7nfjg!19sChIJzS7F_8371y0RNG3A_5gHOjQ?authuser=0&amp;hl=zh-TW&amp;rclk=1" TargetMode="External"/><Relationship Id="rId342" Type="http://schemas.openxmlformats.org/officeDocument/2006/relationships/hyperlink" Target="https://www.google.com/maps/place/Nasi+Campur+Mbah+Cikrak/data=!4m7!3m6!1s0x2dd7f92b42a6bc09:0x7a3a14ab415f10f5!8m2!3d-7.2527298!4d112.7450101!16s%2Fg%2F11jy3hzbcl!19sChIJCbymQiv51y0R9RBfQasUOno?authuser=0&amp;hl=zh-TW&amp;rclk=1" TargetMode="External"/><Relationship Id="rId584" Type="http://schemas.openxmlformats.org/officeDocument/2006/relationships/hyperlink" Target="https://www.google.com/maps/place/Ria+Galeria/data=!4m7!3m6!1s0x2dd7fbda310daff1:0xe4dd00b11c394757!8m2!3d-7.2725329!4d112.748591!16s%2Fg%2F1pzrxnvs6!19sChIJ8a8NMdr71y0RV0c5HLEA3eQ?authuser=0&amp;hl=zh-TW&amp;rclk=1" TargetMode="External"/><Relationship Id="rId338" Type="http://schemas.openxmlformats.org/officeDocument/2006/relationships/hyperlink" Target="https://www.google.com/maps/place/Bebek+Kondang+Rasa/data=!4m7!3m6!1s0x2dd7fa39c8202ab1:0x317d35d0d275571e!8m2!3d-7.2823057!4d112.7762625!16s%2Fg%2F11fy4lp9kd!19sChIJsSogyDn61y0RHld10tA1fTE?authuser=0&amp;hl=zh-TW&amp;rclk=1" TargetMode="External"/><Relationship Id="rId337" Type="http://schemas.openxmlformats.org/officeDocument/2006/relationships/hyperlink" Target="https://www.google.com/maps/place/Bebek+Goreng+Purnama+%22Asli%22/data=!4m7!3m6!1s0x2dd7fbc3134f6d9b:0x6d12f0d35cb328bc!8m2!3d-7.2786158!4d112.7433738!16s%2Fg%2F11cst07kpb!19sChIJm21PE8P71y0RvCizXNPwEm0?authuser=0&amp;hl=zh-TW&amp;rclk=1" TargetMode="External"/><Relationship Id="rId579" Type="http://schemas.openxmlformats.org/officeDocument/2006/relationships/hyperlink" Target="https://www.google.com/maps/place/KOPI+BUJEND/@-7.2664116,112.7714516,17z/data=!3m1!4b1!4m6!3m5!1s0x2dd7fb7cf9a0d44d:0x58c384e76774f49e!8m2!3d-7.2664116!4d112.7714516!16s%2Fg%2F11rydjpsr0?entry=ttu&amp;g_ep=EgoyMDI2MDYyOS4wIKXMDSoASAFQAw%3D%3D" TargetMode="External"/><Relationship Id="rId336" Type="http://schemas.openxmlformats.org/officeDocument/2006/relationships/hyperlink" Target="https://www.google.com/maps/place/Rawon+IGA+Masbro/data=!4m7!3m6!1s0x2dd7f9a5be3b0675:0x3bd5f3afc7562f17!8m2!3d-7.2263367!4d112.7308383!16s%2Fg%2F11rwq56w0y!19sChIJdQY7vqX51y0RFy9Wx6_z1Ts?authuser=0&amp;hl=zh-TW&amp;rclk=1" TargetMode="External"/><Relationship Id="rId578" Type="http://schemas.openxmlformats.org/officeDocument/2006/relationships/hyperlink" Target="https://www.google.com/maps/place/Sate+Ayam+Ponorogo+Pak+Pandi/data=!4m7!3m6!1s0x2dd7fbce1a26ff39:0x776933aaf0b0191e!8m2!3d-7.2765687!4d112.7547232!16s%2Fg%2F11bxf_tv8w!19sChIJOf8mGs771y0RHhmw8KozaXc?authuser=0&amp;hl=zh-TW&amp;rclk=1" TargetMode="External"/><Relationship Id="rId335" Type="http://schemas.openxmlformats.org/officeDocument/2006/relationships/hyperlink" Target="https://www.google.com/maps/place/Rawon+Balungan/data=!4m7!3m6!1s0x2dd7fda14a679cc5:0x1435dfb37894cd0!8m2!3d-7.2982602!4d112.6344974!16s%2Fg%2F11f634_s91!19sChIJxZxnSqH91y0R0EyJN_tdQwE?authuser=0&amp;hl=zh-TW&amp;rclk=1" TargetMode="External"/><Relationship Id="rId577" Type="http://schemas.openxmlformats.org/officeDocument/2006/relationships/hyperlink" Target="https://www.google.com/maps/place/Taman+Mundu/data=!4m7!3m6!1s0x2dd7f9717b3e06b7:0x597ce3c7f0c8762e!8m2!3d-7.2516046!4d112.7545983!16s%2Fg%2F11b6p30wtr!19sChIJtwY-e3H51y0RLnbI8MfjfFk?authuser=0&amp;hl=zh-TW&amp;rclk=1" TargetMode="External"/><Relationship Id="rId339" Type="http://schemas.openxmlformats.org/officeDocument/2006/relationships/hyperlink" Target="https://www.google.com/maps/place/Atho+Pangsit+Mie+Ayam+Sumatera+Bangka+-+Klampis+Anom/data=!4m7!3m6!1s0x2dd7fa4604091339:0xfbe7b9765c565466!8m2!3d-7.2901395!4d112.7750973!16s%2Fg%2F11bzq3mksl!19sChIJORMJBEb61y0RZlRWXHa55_s?authuser=0&amp;hl=zh-TW&amp;rclk=1" TargetMode="External"/><Relationship Id="rId330" Type="http://schemas.openxmlformats.org/officeDocument/2006/relationships/hyperlink" Target="https://www.google.com/maps/place/Nagano+Japanese+Restaurant/data=!4m7!3m6!1s0x2dd7fda3987dff3b:0x3c6d6d22d372fa78!8m2!3d-7.2862214!4d112.6992139!16s%2Fg%2F11kq3nx3lf!19sChIJO_99mKP91y0RePpy0yJtbTw?authuser=0&amp;hl=zh-TW&amp;rclk=1" TargetMode="External"/><Relationship Id="rId572" Type="http://schemas.openxmlformats.org/officeDocument/2006/relationships/hyperlink" Target="https://www.google.com/maps/place/Taman+Tugu+Pahlawan+Alun+Alun+Contong/@-7.246103,112.7377625,17z/data=!3m1!4b1!4m6!3m5!1s0x2dd7f93220ff8eb9:0x27c3aed41c24af72!8m2!3d-7.246103!4d112.7377625!16s%2Fg%2F11g1lm_v0j?entry=ttu&amp;g_ep=EgoyMDI2MDYyOS4wIKXMDSoASAFQAw%3D%3D" TargetMode="External"/><Relationship Id="rId571" Type="http://schemas.openxmlformats.org/officeDocument/2006/relationships/hyperlink" Target="https://www.google.com/maps/place/Kosaku+Coffee+Lab/data=!4m7!3m6!1s0x2dd7fb6183804d03:0x6ba31702694d3eaf!8m2!3d-7.2784189!4d112.7649477!16s%2Fg%2F11jzmp5kdt!19sChIJA02Ag2H71y0Rrz5NaQIXo2s?authuser=0&amp;hl=zh-TW&amp;rclk=1" TargetMode="External"/><Relationship Id="rId570" Type="http://schemas.openxmlformats.org/officeDocument/2006/relationships/hyperlink" Target="https://www.google.com/maps/place/Magnolia+Restaurant+At+Westin+Surabaya/data=!4m7!3m6!1s0x2dd7fdde0a5f0723:0x19bfe1288733e697!8m2!3d-7.2901625!4d112.6751242!16s%2Fg%2F11qqf9vnt1!19sChIJIwdfCt791y0Rl-Yzhyjhvxk?authuser=0&amp;hl=zh-TW&amp;rclk=1" TargetMode="External"/><Relationship Id="rId334" Type="http://schemas.openxmlformats.org/officeDocument/2006/relationships/hyperlink" Target="https://www.google.com/maps/place/Bakso+Super+Daging+Sapi/data=!4m7!3m6!1s0x2dd7fc08e0faffd3:0xed501d05f25698d3!8m2!3d-7.2809598!4d112.7109435!16s%2Fg%2F11bwq68rn8!19sChIJ0__64Aj81y0R05hW8gUdUO0?authuser=0&amp;hl=zh-TW&amp;rclk=1" TargetMode="External"/><Relationship Id="rId576" Type="http://schemas.openxmlformats.org/officeDocument/2006/relationships/hyperlink" Target="https://www.google.com/maps/place/Hanamasa+Gubeng+Surabaya/data=!4m7!3m6!1s0x2dd7fbd9bc33de5b:0xb451f4017cc04153!8m2!3d-7.2658483!4d112.7514572!16s%2Fg%2F1tjwl1bf!19sChIJW94zvNn71y0RU0HAfAH0UbQ?authuser=0&amp;hl=zh-TW&amp;rclk=1" TargetMode="External"/><Relationship Id="rId333" Type="http://schemas.openxmlformats.org/officeDocument/2006/relationships/hyperlink" Target="http://google.com/maps/place/Historica+Coffee+%26+Kitchen/data=!4m2!3m1!1s0x2dd7fbd9b663ee29:0x901e6ae85676211f?sa=X&amp;ved=1t:242&amp;ictx=111" TargetMode="External"/><Relationship Id="rId575" Type="http://schemas.openxmlformats.org/officeDocument/2006/relationships/hyperlink" Target="https://www.google.com/maps/place/Nasi+Pecel+dan+Rawon+Bu+Yati/data=!4m7!3m6!1s0x2dd7fbae810d63c9:0xe8982272a294fd04!8m2!3d-7.296886!4d112.759711!16s%2Fg%2F11b6nk_j20!19sChIJyWMNga771y0RBP2UonIimOg?authuser=0&amp;hl=zh-TW&amp;rclk=1" TargetMode="External"/><Relationship Id="rId332" Type="http://schemas.openxmlformats.org/officeDocument/2006/relationships/hyperlink" Target="https://www.google.com/maps/place/Seafood.ku+Surabaya/data=!4m7!3m6!1s0x2dd7fd7444b348c3:0x8cd38da2eb1ea26e!8m2!3d-7.3057304!4d112.6755197!16s%2Fg%2F11j1ks7wrj!19sChIJw0izRHT91y0RbqIe66KN04w?authuser=0&amp;hl=zh-TW&amp;rclk=1" TargetMode="External"/><Relationship Id="rId574" Type="http://schemas.openxmlformats.org/officeDocument/2006/relationships/hyperlink" Target="https://www.google.com/maps/place/The+Good+Press+and+Co/data=!4m7!3m6!1s0x2dd7fba8c2046ad3:0x2b9373b132d8be13!8m2!3d-7.266841!4d112.7491922!16s%2Fg%2F11tspjm9j1!19sChIJ02oEwqj71y0RE77YMrFzkys?authuser=0&amp;hl=zh-TW&amp;rclk=1" TargetMode="External"/><Relationship Id="rId331" Type="http://schemas.openxmlformats.org/officeDocument/2006/relationships/hyperlink" Target="https://www.google.com/maps/place/Depot+Ampel/data=!4m7!3m6!1s0x2dd7f9669dd3c591:0x616bcf6a4c9ce9a6!8m2!3d-7.2600771!4d112.7449758!16s%2Fg%2F1hm5q15bm!19sChIJkcXTnWb51y0RpumcTGrPa2E?authuser=0&amp;hl=zh-TW&amp;rclk=1" TargetMode="External"/><Relationship Id="rId573" Type="http://schemas.openxmlformats.org/officeDocument/2006/relationships/hyperlink" Target="https://www.google.com/maps/place/Devon+Cafe+Surabaya/data=!4m7!3m6!1s0x2dd7fd005c64affd:0x4e357ecd5effe0bd!8m2!3d-7.2898536!4d112.6753665!16s%2Fg%2F11x5hj44dn!19sChIJ_a9kXAD91y0RveD_Xs1-NU4?authuser=0&amp;hl=zh-TW&amp;rclk=1" TargetMode="External"/><Relationship Id="rId370" Type="http://schemas.openxmlformats.org/officeDocument/2006/relationships/hyperlink" Target="https://www.google.com/maps/place/Penyetan+Mama+E+Acah/data=!4m7!3m6!1s0x2dd7fb767733904f:0x948cc70ae161dc10!8m2!3d-7.3096635!4d112.7327652!16s%2Fg%2F11c52sqld3!19sChIJT5Azd3b71y0RENxh4QrHjJQ?authuser=0&amp;hl=zh-TW&amp;rclk=1" TargetMode="External"/><Relationship Id="rId129" Type="http://schemas.openxmlformats.org/officeDocument/2006/relationships/hyperlink" Target="https://www.google.com/maps/place/Bakso+Solo+Kedungdoro/data=!4m7!3m6!1s0x2dd7f959662a4f5b:0xb5036d1b36e2f968!8m2!3d-7.263238!4d112.7314625!16s%2Fg%2F11cs9yh2w4!19sChIJW08qZln51y0RaPniNhttA7U?authuser=0&amp;hl=zh-TW&amp;rclk=1" TargetMode="External"/><Relationship Id="rId128" Type="http://schemas.openxmlformats.org/officeDocument/2006/relationships/hyperlink" Target="https://www.google.com/maps/place/Hermier+Coffee+Inc/data=!4m7!3m6!1s0x2dd7f993b119248b:0x6b00a477068e6626!8m2!3d-7.2667879!4d112.7492584!16s%2Fg%2F11j8n3v1dt!19sChIJiyQZsZP51y0RJmaOBnekAGs?authuser=0&amp;hl=zh-TW&amp;rclk=1" TargetMode="External"/><Relationship Id="rId127" Type="http://schemas.openxmlformats.org/officeDocument/2006/relationships/hyperlink" Target="https://www.google.com/maps/place/Taman+Kalongan/data=!4m7!3m6!1s0x2dd7f93bf638087d:0x1cae5626ee8bfa57!8m2!3d-7.2412318!4d112.7327648!16s%2Fg%2F11cjj6pnkk!19sChIJfQg49jv51y0RV_qL7iZWrhw?authuser=0&amp;hl=zh-TW&amp;rclk=1" TargetMode="External"/><Relationship Id="rId369" Type="http://schemas.openxmlformats.org/officeDocument/2006/relationships/hyperlink" Target="https://www.google.com/maps/place/BAKSO+TETELAN+SAPI+PAKNO/data=!4m7!3m6!1s0x2dd7fbd0f0d83c0f:0x206d3a13d5884ad1!8m2!3d-7.2736224!4d112.7531454!16s%2Fg%2F11b6dz93c0!19sChIJDzzY8ND71y0R0UqI1RM6bSA?authuser=0&amp;hl=zh-TW&amp;rclk=1" TargetMode="External"/><Relationship Id="rId126" Type="http://schemas.openxmlformats.org/officeDocument/2006/relationships/hyperlink" Target="https://www.google.com/maps/place/Sate+Gule+Cak+Wit/data=!4m7!3m6!1s0x2dd7fbd4e4544487:0xe5be9d92baec707d!8m2!3d-7.2690352!4d112.7609644!16s%2Fg%2F11cm0mljf8!19sChIJh0RU5NT71y0RfXDsupKdvuU?authuser=0&amp;hl=zh-TW&amp;rclk=1" TargetMode="External"/><Relationship Id="rId368" Type="http://schemas.openxmlformats.org/officeDocument/2006/relationships/hyperlink" Target="https://www.google.com/maps/place/Ayam+Kremes+%26+Soto+Suroboyo/data=!4m7!3m6!1s0x2dd7fbcdfdb1ee0d:0xd59a31db9b2cdd83!8m2!3d-7.276653!4d112.757084!16s%2Fg%2F11cnpjnjx_!19sChIJDe6x_c371y0Rg90sm9sxmtU?authuser=0&amp;hl=zh-TW&amp;rclk=1" TargetMode="External"/><Relationship Id="rId121" Type="http://schemas.openxmlformats.org/officeDocument/2006/relationships/hyperlink" Target="https://www.google.com/maps/place/Warung+Mie+Ayam+%26+Bakso+Mitra/data=!4m7!3m6!1s0x2dd7fb07188843a1:0xcb7f7057ca90ac99!8m2!3d-7.3086339!4d112.7553513!16s%2Fg%2F11c3v6hs43!19sChIJoUOIGAf71y0RmayQyldwf8s?authuser=0&amp;hl=zh-TW&amp;rclk=1" TargetMode="External"/><Relationship Id="rId363" Type="http://schemas.openxmlformats.org/officeDocument/2006/relationships/hyperlink" Target="https://www.google.com/maps/place/Tuju+Dermaga+Seafood+Resto/data=!4m7!3m6!1s0x2dd7fd05e0d4956f:0xba3c1a98fb67997b!8m2!3d-7.2822095!4d112.7068828!16s%2Fg%2F11yjtwjs9z!19sChIJb5XU4AX91y0Re5ln-5gaPLo?authuser=0&amp;hl=zh-TW&amp;rclk=1" TargetMode="External"/><Relationship Id="rId120" Type="http://schemas.openxmlformats.org/officeDocument/2006/relationships/hyperlink" Target="https://www.google.com/maps/place/Spesial+Pangsit+Mie+Acong/data=!4m7!3m6!1s0x2dd7fc1736d644dd:0x3beb504b40201be5!8m2!3d-7.2809473!4d112.6967711!16s%2Fg%2F11b6_tpmml!19sChIJ3UTWNhf81y0R5RsgQEtQ6zs?authuser=0&amp;hl=zh-TW&amp;rclk=1" TargetMode="External"/><Relationship Id="rId362" Type="http://schemas.openxmlformats.org/officeDocument/2006/relationships/hyperlink" Target="https://www.google.com/maps/place/Pondok+Sate+Ibu+Nizam+%28Sentra+PKL+Indrapura%29/data=!4m7!3m6!1s0x2dd7f93e5a8aad51:0xae8ebb78bcb6206b!8m2!3d-7.243881!4d112.73663!16s%2Fg%2F11clhq0_2g!19sChIJUa2KWj751y0RayC2vHi7jq4?authuser=0&amp;hl=zh-TW&amp;rclk=1" TargetMode="External"/><Relationship Id="rId361" Type="http://schemas.openxmlformats.org/officeDocument/2006/relationships/hyperlink" Target="https://www.google.com/maps/place/warung+penyetan+murah+meriah/data=!4m7!3m6!1s0x2dd7fc09aaaac465:0xe469e3345a734720!8m2!3d-7.2810419!4d112.71209!16s%2Fg%2F11bw3dnjq6!19sChIJZcSqqgn81y0RIEdzWjTjaeQ?authuser=0&amp;hl=zh-TW&amp;rclk=1" TargetMode="External"/><Relationship Id="rId360" Type="http://schemas.openxmlformats.org/officeDocument/2006/relationships/hyperlink" Target="https://www.google.com/maps/place/Ha.ve+Coffee/data=!4m7!3m6!1s0x2dd7f9019179fe65:0x1668096b8e5ce107!8m2!3d-7.258356!4d112.7487797!16s%2Fg%2F11x105jxcz!19sChIJZf55kQH51y0RB-FcjmsJaBY?authuser=0&amp;hl=zh-TW&amp;rclk=1" TargetMode="External"/><Relationship Id="rId125" Type="http://schemas.openxmlformats.org/officeDocument/2006/relationships/hyperlink" Target="https://www.google.com/maps/place/Chao+Phraya+Thai+Fine+Cuisine/data=!4m7!3m6!1s0x2dd7fb8874747b85:0xc20940d4a20405d2!8m2!3d-7.2848692!4d112.7349052!16s%2Fg%2F11h7kb3t_r!19sChIJhXt0dIj71y0R0gUEotRACcI?authuser=0&amp;hl=zh-TW&amp;rclk=1" TargetMode="External"/><Relationship Id="rId367" Type="http://schemas.openxmlformats.org/officeDocument/2006/relationships/hyperlink" Target="https://www.google.com/maps/place/Taman+Hutan+Kota+Jeruk/data=!4m7!3m6!1s0x2dd7fdeee355ce69:0x34ec73c3bcde432f!8m2!3d-7.3065335!4d112.6384352!16s%2Fg%2F11hdqjy39l!19sChIJac5V4-791y0RL0PevMNz7DQ?authuser=0&amp;hl=zh-TW&amp;rclk=1" TargetMode="External"/><Relationship Id="rId124" Type="http://schemas.openxmlformats.org/officeDocument/2006/relationships/hyperlink" Target="https://www.google.com/maps/place/Soto+Ayam+CJDW+Cak+Nawir/data=!4m7!3m6!1s0x2dd7fb95fba271ff:0x7902c186192942be!8m2!3d-7.2918293!4d112.7382472!16s%2Fg%2F1hm50j_vp!19sChIJ_3Gi-5X71y0RvkIpGYbBAnk?authuser=0&amp;hl=zh-TW&amp;rclk=1" TargetMode="External"/><Relationship Id="rId366" Type="http://schemas.openxmlformats.org/officeDocument/2006/relationships/hyperlink" Target="https://www.google.com/maps/place/Rawon+Setan+-+Embong+Malang/data=!4m7!3m6!1s0x2dd7f9675f5ab153:0xd7718efb5cb01015!8m2!3d-7.2590943!4d112.7352172!16s%2Fg%2F1hm1z3ll5!19sChIJU7FaX2f51y0RFRCwXPuOcdc?authuser=0&amp;hl=zh-TW&amp;rclk=1" TargetMode="External"/><Relationship Id="rId123" Type="http://schemas.openxmlformats.org/officeDocument/2006/relationships/hyperlink" Target="https://www.google.com/maps/place/Rawon+Gajah+Mada+Surabaya/data=!4m7!3m6!1s0x2dd7fb69e39ad605:0x7b49ab2d4b840db1!8m2!3d-7.3276807!4d112.7320592!16s%2Fg%2F11b7q3y3vr!19sChIJBdaa42n71y0RsQ2ESy2rSXs?authuser=0&amp;hl=zh-TW&amp;rclk=1" TargetMode="External"/><Relationship Id="rId365" Type="http://schemas.openxmlformats.org/officeDocument/2006/relationships/hyperlink" Target="https://www.google.com/maps/place/Taman+Ngagel/data=!4m7!3m6!1s0x2dd7fbbf34a24f79:0xf9fe0d9402f0ddc7!8m2!3d-7.2884801!4d112.7449226!16s%2Fg%2F11dxdc9394!19sChIJeU-iNL_71y0Rx93wApQN_vk?authuser=0&amp;hl=zh-TW&amp;rclk=1" TargetMode="External"/><Relationship Id="rId122" Type="http://schemas.openxmlformats.org/officeDocument/2006/relationships/hyperlink" Target="https://www.google.com/maps/place/Taman+Menggapai+Cakrawala+%28Sculpture%29/data=!4m7!3m6!1s0x2dd7fa099a8e86bf:0x387e7e034c2df12!8m2!3d-7.277788!4d112.8082338!16s%2Fg%2F11c1rfwr8_!19sChIJv4aOmgn61y0REt_CNODnhwM?authuser=0&amp;hl=zh-TW&amp;rclk=1" TargetMode="External"/><Relationship Id="rId364" Type="http://schemas.openxmlformats.org/officeDocument/2006/relationships/hyperlink" Target="https://www.google.com/maps/place/Bakso+Kotak+Remaja+Cak+Budi/data=!4m7!3m6!1s0x2dd7fc7f844310e3:0x2f951fbb082a7d87!8m2!3d-7.3066403!4d112.7146159!16s%2Fg%2F11j4svq0km!19sChIJ4xBDhH_81y0Rh30qCLsflS8?authuser=0&amp;hl=zh-TW&amp;rclk=1" TargetMode="External"/><Relationship Id="rId95" Type="http://schemas.openxmlformats.org/officeDocument/2006/relationships/hyperlink" Target="https://www.google.com/maps/place/Bebek+Petemon/data=!4m7!3m6!1s0x2dd7fea9969e7f2d:0x3f45ac100a69e575!8m2!3d-7.2671405!4d112.7079655!16s%2Fg%2F11gbz3bjzj!19sChIJLX-elqn-1y0RdeVpChCsRT8?authuser=0&amp;hl=zh-TW&amp;rclk=1" TargetMode="External"/><Relationship Id="rId94" Type="http://schemas.openxmlformats.org/officeDocument/2006/relationships/hyperlink" Target="https://www.google.com/maps/place/BEBEK+BOOM/data=!4m7!3m6!1s0x2dd7fe7eabc24cfb:0x7da2023118d6727e!8m2!3d-7.2680745!4d112.6619873!16s%2Fg%2F11fy4jx_9q!19sChIJ-0zCq37-1y0RfnLWGDECon0?authuser=0&amp;hl=zh-TW&amp;rclk=1" TargetMode="External"/><Relationship Id="rId97" Type="http://schemas.openxmlformats.org/officeDocument/2006/relationships/hyperlink" Target="https://www.google.com/maps/place/Soto+Ayam+%22Cak+To%22+Undaan+Wetan/data=!4m7!3m6!1s0x2dd7f96bff179693:0x9c1040bc8458c28b!8m2!3d-7.2549963!4d112.7444317!16s%2Fg%2F1pzpngr1h!19sChIJk5YX_2v51y0Ri8JYhLxAEJw?authuser=0&amp;hl=zh-TW&amp;rclk=1" TargetMode="External"/><Relationship Id="rId96" Type="http://schemas.openxmlformats.org/officeDocument/2006/relationships/hyperlink" Target="https://www.google.com/maps/place/Surabaya+North+Quay/data=!4m7!3m6!1s0x2e778f2099fd4fa9:0xc1c1d0cff4cc2710!8m2!3d-7.1969273!4d112.7322829!16s%2Fg%2F11clycmn5j!19sChIJqU_9mSCPdy4RECfM9M_QwcE?authuser=0&amp;hl=zh-TW&amp;rclk=1" TargetMode="External"/><Relationship Id="rId99" Type="http://schemas.openxmlformats.org/officeDocument/2006/relationships/hyperlink" Target="https://www.google.com/maps/place/Bunbee+Korean+Bakery+and+Cafe/@-7.288463,112.6612952,12z/data=!4m10!1m2!2m1!1sBunbee+Korean+Bakery+and+Cafe!3m6!1s0x2dd7fb3fea9269c7:0xe5998872582d503a!8m2!3d-7.288463!4d112.731333!15sCh1CdW5iZWUgS29yZWFuIEJha2VyeSBhbmQgQ2FmZVofIh1idW5iZWUga29yZWFuIGJha2VyeSBhbmQgY2FmZZIBEWtvcmVhbl9yZXN0YXVyYW50mgEjQ2haRFNVaE5NRzluUzBWSlEwRm5TVU01YWxwNWFVWjNFQUXgAQD6AQQIABBA!16s%2Fg%2F11qp4ml4c_?entry=ttu&amp;g_ep=EgoyMDI2MDYyOS4wIKXMDSoASAFQAw%3D%3D" TargetMode="External"/><Relationship Id="rId98" Type="http://schemas.openxmlformats.org/officeDocument/2006/relationships/hyperlink" Target="https://www.google.com/maps/place/Bebek+Sinjay/data=!4m7!3m6!1s0x2dd80576c84a54d3:0xfb25a1b85558795c!8m2!3d-7.0382696!4d112.7684461!16s%2Fg%2F11c3j5c4_1!19sChIJ01RKyHYF2C0RXHlYVbihJfs?authuser=0&amp;hl=zh-TW&amp;rclk=1" TargetMode="External"/><Relationship Id="rId91" Type="http://schemas.openxmlformats.org/officeDocument/2006/relationships/hyperlink" Target="https://www.google.com/maps/place/Threelogy+Coffee+-+Mojopahit/data=!4m7!3m6!1s0x2dd7fbc229dfbcbf:0x49390c3a3758eacf!8m2!3d-7.2819229!4d112.7415054!16s%2Fg%2F11d_z77p6v!19sChIJv7zfKcL71y0Rz-pYNzoMOUk?authuser=0&amp;hl=zh-TW&amp;rclk=1" TargetMode="External"/><Relationship Id="rId90" Type="http://schemas.openxmlformats.org/officeDocument/2006/relationships/hyperlink" Target="https://www.google.com/maps/place/HUE+Coffee/data=!4m7!3m6!1s0x2dd7ff4f1b4bb1db:0x223e99809f70c585!8m2!3d-7.2648523!4d112.6874236!16s%2Fg%2F11r_nsd_vz!19sChIJ27FLG0__1y0RhcVwn4CZPiI?authuser=0&amp;hl=zh-TW&amp;rclk=1" TargetMode="External"/><Relationship Id="rId93" Type="http://schemas.openxmlformats.org/officeDocument/2006/relationships/hyperlink" Target="https://www.google.com/maps/place/KEBON+KOTA+TROPICAL+GARDEN+RESTAURANT+%26+HALL/data=!4m7!3m6!1s0x2dd7feb5c0be9709:0x82bc9a88a308143c!8m2!3d-7.3126739!4d112.7048741!16s%2Fg%2F1hm3k2g3r!19sChIJCZe-wLX-1y0RPBQIo4iavII?authuser=0&amp;hl=zh-TW&amp;rclk=1" TargetMode="External"/><Relationship Id="rId92" Type="http://schemas.openxmlformats.org/officeDocument/2006/relationships/hyperlink" Target="https://www.google.com/maps/place/Rawon+Legendaris+Pak+Pangat+%28Pusat%29/data=!4m7!3m6!1s0x2dd7fb98b7c333f3:0x3496c6df71f6f6ac!8m2!3d-7.301804!4d112.73748!16s%2Fg%2F11fxw18qj2!19sChIJ8zPDt5j71y0RrPb2cd_GljQ?authuser=0&amp;hl=zh-TW&amp;rclk=1" TargetMode="External"/><Relationship Id="rId118" Type="http://schemas.openxmlformats.org/officeDocument/2006/relationships/hyperlink" Target="https://www.google.com/maps/place/Atlantis+Land/data=!4m7!3m6!1s0x2dd7f9c325b22d9d:0x8699df8a60e7c5a2!8m2!3d-7.2525951!4d112.8023063!16s%2Fg%2F11gfd6q90s!19sChIJnS2yJcP51y0RosXnYIrfmYY?authuser=0&amp;hl=zh-TW&amp;rclk=1" TargetMode="External"/><Relationship Id="rId117" Type="http://schemas.openxmlformats.org/officeDocument/2006/relationships/hyperlink" Target="https://www.google.com/maps/place/Sentra+Wisata+Kuliner+%28SWK%29+PEGIRIAN/data=!4m7!3m6!1s0x2dd7f9d207616671:0x7701b927a73ded41!8m2!3d-7.2287568!4d112.7456364!16s%2Fg%2F11hzm043g6!19sChIJcWZhB9L51y0RQe09pye5AXc?authuser=0&amp;hl=zh-TW&amp;rclk=1" TargetMode="External"/><Relationship Id="rId359" Type="http://schemas.openxmlformats.org/officeDocument/2006/relationships/hyperlink" Target="https://www.google.com/maps/place/Pangsit+Mie+Ayam+Jakarta/data=!4m7!3m6!1s0x2dd7fa47f211cedf:0xc78fd11f5b1573f5!8m2!3d-7.2860144!4d112.7757481!16s%2Fg%2F11f5jpxdr5!19sChIJ384R8kf61y0R9XMVWx_Rj8c?authuser=0&amp;hl=zh-TW&amp;rclk=1" TargetMode="External"/><Relationship Id="rId116" Type="http://schemas.openxmlformats.org/officeDocument/2006/relationships/hyperlink" Target="https://www.google.com/maps/place/Sate+Asin+Garuda+Kedungsari/data=!4m7!3m6!1s0x2dd7fb5051e065ef:0x2c2ab618aee58f80!8m2!3d-7.2680661!4d112.73461!16s%2Fg%2F11vw_55qvl!19sChIJ72XgUVD71y0RgI_lrhi2Kiw?authuser=0&amp;hl=zh-TW&amp;rclk=1" TargetMode="External"/><Relationship Id="rId358" Type="http://schemas.openxmlformats.org/officeDocument/2006/relationships/hyperlink" Target="https://www.google.com/maps/place/Warung+Rawon+%22Subedo%22/data=!4m7!3m6!1s0x2dd7feaa98d9169f:0xccf92afb12678db0!8m2!3d-7.2681114!4d112.7134857!16s%2Fg%2F11c5hhyxpn!19sChIJnxbZmKr-1y0RsI1nEvsq-cw?authuser=0&amp;hl=zh-TW&amp;rclk=1" TargetMode="External"/><Relationship Id="rId115" Type="http://schemas.openxmlformats.org/officeDocument/2006/relationships/hyperlink" Target="https://www.google.com/maps/place/Marshal+Brew+Coffee+Surabaya/data=!4m7!3m6!1s0x2dd7fd295ea62707:0xbc8200af97740421!8m2!3d-7.2748483!4d112.6598294!16s%2Fg%2F11p7737wnq!19sChIJByemXin91y0RIQR0l68Agrw?authuser=0&amp;hl=zh-TW&amp;rclk=1" TargetMode="External"/><Relationship Id="rId357" Type="http://schemas.openxmlformats.org/officeDocument/2006/relationships/hyperlink" Target="https://www.google.com/maps/place/Demandailing+Cafe+%26+Eatery+-+MERR/data=!4m7!3m6!1s0x2dd7fb6f37973cd1:0x36b75e038efbb4aa!8m2!3d-7.3204521!4d112.7806905!16s%2Fg%2F11jdnpw5ty!19sChIJ0TyXN2_71y0RqrT7jgNetzY?authuser=0&amp;hl=zh-TW&amp;rclk=1" TargetMode="External"/><Relationship Id="rId599" Type="http://schemas.openxmlformats.org/officeDocument/2006/relationships/hyperlink" Target="https://www.google.com/maps/place/Aluama+Coffee+Bar/data=!4m7!3m6!1s0x2dd7f979d17fbd23:0xd550a4b94fc1aee2!8m2!3d-7.2526441!4d112.7446897!16s%2Fg%2F11mpv8qr24!19sChIJI71_0Xn51y0R4q7BT7mkUNU?authuser=0&amp;hl=zh-TW&amp;rclk=1" TargetMode="External"/><Relationship Id="rId119" Type="http://schemas.openxmlformats.org/officeDocument/2006/relationships/hyperlink" Target="https://www.google.com/maps/place/Warung+Nona+Surabaya/data=!4m7!3m6!1s0x2dd7fd41bbdb8119:0x7263be405788efff!8m2!3d-7.2787062!4d112.6959712!16s%2Fg%2F11v5v2l15s!19sChIJGYHbu0H91y0R_--IV0C-Y3I?authuser=0&amp;hl=zh-TW&amp;rclk=1" TargetMode="External"/><Relationship Id="rId110" Type="http://schemas.openxmlformats.org/officeDocument/2006/relationships/hyperlink" Target="https://www.google.com/maps/place/Pangsit+Mie+Ayam+Jakarta+Mandiri+II/data=!4m7!3m6!1s0x2dd7fde5b53967d5:0x361d4db5b945b3d2!8m2!3d-7.2801337!4d112.6361065!16s%2Fg%2F11f15m81my!19sChIJ1Wc5teX91y0R0rNFubVNHTY?authuser=0&amp;hl=zh-TW&amp;rclk=1" TargetMode="External"/><Relationship Id="rId352" Type="http://schemas.openxmlformats.org/officeDocument/2006/relationships/hyperlink" Target="https://www.google.com/maps/place/Depot+Rawon+Malang+%22MM%22/data=!4m7!3m6!1s0x2dd7fbe48962cc8f:0xe056df81de360f26!8m2!3d-7.2785359!4d112.7319792!16s%2Fg%2F11gjn8jl0q!19sChIJj8xiieT71y0RJg823oHfVuA?authuser=0&amp;hl=zh-TW&amp;rclk=1" TargetMode="External"/><Relationship Id="rId594" Type="http://schemas.openxmlformats.org/officeDocument/2006/relationships/hyperlink" Target="https://www.google.com/maps/place/Bakso+Malang+35+Cak+To/data=!4m7!3m6!1s0x2dd7fb11b9bb958f:0xefe901dbc5eca275!8m2!3d-7.2833795!4d112.7158772!16s%2Fg%2F11gxnw0kk5!19sChIJj5W7uRH71y0RdaLsxdsB6e8?authuser=0&amp;hl=zh-TW&amp;rclk=1" TargetMode="External"/><Relationship Id="rId351" Type="http://schemas.openxmlformats.org/officeDocument/2006/relationships/hyperlink" Target="https://www.google.com/maps/place/Rawon+%26+Pecel+Joko+Dolog+surabaya/data=!4m7!3m6!1s0x2dd7f90037de5175:0xf084c9a730c48370!8m2!3d-7.2652778!4d112.7425!16s%2Fg%2F11z4xfclns!19sChIJdVHeNwD51y0RcIPEMKfJhPA?authuser=0&amp;hl=zh-TW&amp;rclk=1" TargetMode="External"/><Relationship Id="rId593" Type="http://schemas.openxmlformats.org/officeDocument/2006/relationships/hyperlink" Target="https://www.google.com/maps/place/%E7%A3%90%E7%9F%B3%E5%9D%8A/data=!4m7!3m6!1s0x3442aa331fe2f86d:0xb0fdd4ef45d6ec3e!8m2!3d25.0280665!4d121.5512797!16s%2Fg%2F1thk6fhm!19sChIJbfjiHzOqQjQRPuzWRe_U_bA?authuser=0&amp;hl=zh-TW&amp;rclk=1" TargetMode="External"/><Relationship Id="rId350" Type="http://schemas.openxmlformats.org/officeDocument/2006/relationships/hyperlink" Target="https://www.google.com/maps/place/Rawon+Kampung/data=!4m7!3m6!1s0x2dd7fd6116a76b09:0x443667326cc6eeb6!8m2!3d-7.2838798!4d112.6930989!16s%2Fg%2F11ttb9rw3v!19sChIJCWunFmH91y0Rtu7GbDJnNkQ?authuser=0&amp;hl=zh-TW&amp;rclk=1" TargetMode="External"/><Relationship Id="rId592" Type="http://schemas.openxmlformats.org/officeDocument/2006/relationships/hyperlink" Target="https://www.google.com/maps/place/SPILL+Cafe/data=!4m7!3m6!1s0x2dd7fb3342ea5dc5:0x277e2ad7bd674179!8m2!3d-7.2918455!4d112.8123006!16s%2Fg%2F11yyzxm87x!19sChIJxV3qQjP71y0ReUFnvdcqfic?authuser=0&amp;hl=zh-TW&amp;rclk=1" TargetMode="External"/><Relationship Id="rId591" Type="http://schemas.openxmlformats.org/officeDocument/2006/relationships/hyperlink" Target="https://www.google.com/maps/place/Bebek+Goreng+H.+Slamet,+Ngagel+Surabaya+by+Assalam+Group/data=!4m7!3m6!1s0x2dd7fbb708a088d9:0x769bf44d663ffdf0!8m2!3d-7.2892522!4d112.7531971!16s%2Fg%2F11c7t0rxt3!19sChIJ2YigCLf71y0R8P0_Zk30m3Y?authuser=0&amp;hl=zh-TW&amp;rclk=1" TargetMode="External"/><Relationship Id="rId114" Type="http://schemas.openxmlformats.org/officeDocument/2006/relationships/hyperlink" Target="https://www.google.com/maps/place/Taman+Gantung+Tunjungan/@-7.2568213,112.7375173,17z/data=!3m1!4b1!4m6!3m5!1s0x2dd7f942b589b0dd:0x6ae866db0b415b93!8m2!3d-7.2568213!4d112.7375173!16s%2Fg%2F11f54rfcj_?entry=ttu&amp;g_ep=EgoyMDI2MDYyOS4wIKXMDSoASAFQAw%3D%3D" TargetMode="External"/><Relationship Id="rId356" Type="http://schemas.openxmlformats.org/officeDocument/2006/relationships/hyperlink" Target="https://www.google.com/maps/place/Soto+Ayam+Kampung+Pak+Mat/data=!4m7!3m6!1s0x2dd7fb2de1b1fedb:0xfd32f71a28b28ab8!8m2!3d-7.2782833!4d112.714501!16s%2Fg%2F11h5frk5gs!19sChIJ2_6x4S371y0RuIqyKBr3Mv0?authuser=0&amp;hl=zh-TW&amp;rclk=1" TargetMode="External"/><Relationship Id="rId598" Type="http://schemas.openxmlformats.org/officeDocument/2006/relationships/hyperlink" Target="https://www.google.com/maps/place/The+Gentlepig+Porchetta+Boss+-+Loop+Graha+Famili/data=!4m7!3m6!1s0x2dd7fd56073b0a73:0xe364faf364f95e0b!8m2!3d-7.2936891!4d112.6761626!16s%2Fg%2F11m1c4h6kf!19sChIJcwo7B1b91y0RC175ZPP6ZOM?authuser=0&amp;hl=zh-TW&amp;rclk=1" TargetMode="External"/><Relationship Id="rId113" Type="http://schemas.openxmlformats.org/officeDocument/2006/relationships/hyperlink" Target="https://www.google.com/maps/place/Taman+Barunawati/data=!4m7!3m6!1s0x2dd7f8dbe21fd6e7:0x3c62c2a288e92d0b!8m2!3d-7.2220559!4d112.7319967!16s%2Fg%2F11b6dpg7t_!19sChIJ59Yf4tv41y0RCy3piKLCYjw?authuser=0&amp;hl=zh-TW&amp;rclk=1" TargetMode="External"/><Relationship Id="rId355" Type="http://schemas.openxmlformats.org/officeDocument/2006/relationships/hyperlink" Target="https://www.google.com/maps/place/Soto+Ayam+Lamongan+CAK+HAR+%28Main+Branch%29/data=!4m7!3m6!1s0x2dd7fbe16672e41f:0xc547d13f4969db6a!8m2!3d-7.2897292!4d112.7832073!16s%2Fg%2F11sgcxdrff!19sChIJH-RyZuH71y0RattpST_RR8U?authuser=0&amp;hl=zh-TW&amp;rclk=1" TargetMode="External"/><Relationship Id="rId597" Type="http://schemas.openxmlformats.org/officeDocument/2006/relationships/hyperlink" Target="https://www.google.com/maps/place/Nasi+Bebek+Cak+Sandy/data=!4m7!3m6!1s0x2dd7f9653c152d59:0xb443716d0b236020!8m2!3d-7.2590294!4d112.7504043!16s%2Fg%2F11g6xs9w9f!19sChIJWS0VPGX51y0RIGAjC21xQ7Q?authuser=0&amp;hl=zh-TW&amp;rclk=1" TargetMode="External"/><Relationship Id="rId112" Type="http://schemas.openxmlformats.org/officeDocument/2006/relationships/hyperlink" Target="https://www.google.com/maps/place/Percent+BLACK+%25+Speciality+Coffee+Roastery+%26+Bar/data=!4m7!3m6!1s0x2dd7fa29afeb2fc9:0x16de258b29369173!8m2!3d-7.2673827!4d112.7712047!16s%2Fg%2F11hd7ft6yn!19sChIJyS_rryn61y0Rc5E2KYsl3hY?authuser=0&amp;hl=zh-TW&amp;rclk=1" TargetMode="External"/><Relationship Id="rId354" Type="http://schemas.openxmlformats.org/officeDocument/2006/relationships/hyperlink" Target="https://www.google.com/maps/place/Bakso+Prasmanan+%28Cak+Dar%29/data=!4m7!3m6!1s0x2dd7f964cc409383:0x3fca189030bf9482!8m2!3d-7.2599169!4d112.750682!16s%2Fg%2F11hbtj7nxh!19sChIJg5NAzGT51y0RgpS_MJAYyj8?authuser=0&amp;hl=zh-TW&amp;rclk=1" TargetMode="External"/><Relationship Id="rId596" Type="http://schemas.openxmlformats.org/officeDocument/2006/relationships/hyperlink" Target="https://www.google.com/maps/place/KAPTEN+SEAFOOD+SURABAYA+BARAT/data=!4m7!3m6!1s0x2dd7fdec341f426b:0x9077fd5b7aeebcf0!8m2!3d-7.3341376!4d112.7047365!16s%2Fg%2F11ryqyq3yp!19sChIJa0IfNOz91y0R8Lzuelv9d5A?authuser=0&amp;hl=zh-TW&amp;rclk=1" TargetMode="External"/><Relationship Id="rId111" Type="http://schemas.openxmlformats.org/officeDocument/2006/relationships/hyperlink" Target="https://www.google.com/maps/place/Piting+Kerang/data=!4m7!3m6!1s0x2dd7f9bc10b4364f:0xce7bad0d43091c00!8m2!3d-7.2536537!4d112.7824638!16s%2Fg%2F11h5655dsv!19sChIJTza0ELz51y0RABwJQw2te84?authuser=0&amp;hl=zh-TW&amp;rclk=1" TargetMode="External"/><Relationship Id="rId353" Type="http://schemas.openxmlformats.org/officeDocument/2006/relationships/hyperlink" Target="https://www.google.com/maps/place/Kenjeran+Park/data=!4m7!3m6!1s0x2dd7f9c4f53b233f:0x147a117a35d5f080!8m2!3d-7.2380652!4d112.7956011!16s%2Fg%2F1hm5t2vbq!19sChIJPyM79cT51y0RgPDVNXoRehQ?authuser=0&amp;hl=zh-TW&amp;rclk=1" TargetMode="External"/><Relationship Id="rId595" Type="http://schemas.openxmlformats.org/officeDocument/2006/relationships/hyperlink" Target="https://www.google.com/maps/place/Taman+Mozaik/@-7.3148799,112.6899537,17z/data=!3m1!4b1!4m6!3m5!1s0x2dd7fd0d9be2bb81:0x95eabfcee4bd8013!8m2!3d-7.3148799!4d112.6899537!16s%2Fg%2F11h7_7fw_c?entry=ttu&amp;g_ep=EgoyMDI2MDYyOS4wIKXMDSoASAFQAw%3D%3D" TargetMode="External"/><Relationship Id="rId305" Type="http://schemas.openxmlformats.org/officeDocument/2006/relationships/hyperlink" Target="https://www.google.com/maps/place/Soto+Madura+Gubeng+Pojok+Asli/data=!4m7!3m6!1s0x2dd7fbda2cc55f43:0x29c3881d8e2ee00f!8m2!3d-7.2722468!4d112.7479611!16s%2Fg%2F11b6bw_wyj!19sChIJQ1_FLNr71y0RD-Aujh2Iwyk?authuser=0&amp;hl=zh-TW&amp;rclk=1" TargetMode="External"/><Relationship Id="rId547" Type="http://schemas.openxmlformats.org/officeDocument/2006/relationships/hyperlink" Target="https://www.google.com/maps/place/Handayani+Garden/data=!4m7!3m6!1s0x2dd7fb0463db3855:0xf278576ae90ad61e!8m2!3d-7.314033!4d112.756009!16s%2Fg%2F1tf138vp!19sChIJVTjbYwT71y0RHtYK6WpXePI?authuser=0&amp;hl=zh-TW&amp;rclk=1" TargetMode="External"/><Relationship Id="rId789" Type="http://schemas.openxmlformats.org/officeDocument/2006/relationships/hyperlink" Target="https://www.google.com/maps/place/HOHO+Coffee+-+Tunjungan/@-7.2596594,112.7389009,17z/data=!3m1!4b1!4m6!3m5!1s0x2dd7f934e95ee58f:0xb492e21d29203648!8m2!3d-7.2596594!4d112.7389009!16s%2Fg%2F11hgdzxdlr?entry=ttu&amp;g_ep=EgoyMDI2MDYyOS4wIKXMDSoASAFQAw%3D%3D" TargetMode="External"/><Relationship Id="rId304" Type="http://schemas.openxmlformats.org/officeDocument/2006/relationships/hyperlink" Target="https://www.google.com/maps/place/Bakso+FAKHRI/data=!4m7!3m6!1s0x2dd7fb77e82380f1:0x7f9ca3604b09720a!8m2!3d-7.3033703!4d112.7498347!16s%2Fg%2F11ddwzb3x3!19sChIJ8YAj6Hf71y0RCnIJS2CjnH8?authuser=0&amp;hl=zh-TW&amp;rclk=1" TargetMode="External"/><Relationship Id="rId546" Type="http://schemas.openxmlformats.org/officeDocument/2006/relationships/hyperlink" Target="https://www.google.com/maps/place/Taman+Keputran/data=!4m7!3m6!1s0x2dd7fbdc6d18b9e1:0xb65ab72ac77ca66a!8m2!3d-7.2732153!4d112.744102!16s%2Fg%2F11g9qh8fd1!19sChIJ4bkYbdz71y0RaqZ8xyq3WrY?authuser=0&amp;hl=zh-TW&amp;rclk=1" TargetMode="External"/><Relationship Id="rId788" Type="http://schemas.openxmlformats.org/officeDocument/2006/relationships/hyperlink" Target="https://www.google.com/maps/place/Museum+Etnografi+dan+Pusat+Kajian+Kematian+Universitas+Airlangga/@-7.2725396,112.7595644,17z/data=!3m1!4b1!4m6!3m5!1s0x2dd7fbd41261934f:0xe258fac5ac2188a6!8m2!3d-7.2725396!4d112.7595644!16s%2Fg%2F1pzv3k65h?entry=ttu&amp;g_ep=EgoyMDI2MDYyOS4wIKXMDSoASAFQAw%3D%3D" TargetMode="External"/><Relationship Id="rId303" Type="http://schemas.openxmlformats.org/officeDocument/2006/relationships/hyperlink" Target="https://www.google.com/maps/place/Kafe+Bromo/data=!4m7!3m6!1s0x2dd7f95de34fc8fd:0x839ba953e7c613c0!8m2!3d-7.262976!4d112.7380948!16s%2Fg%2F11cfbkq9t!19sChIJ_chP41351y0RwBPG51Opm4M?authuser=0&amp;hl=zh-TW&amp;rclk=1" TargetMode="External"/><Relationship Id="rId545" Type="http://schemas.openxmlformats.org/officeDocument/2006/relationships/hyperlink" Target="https://www.google.com/maps/place/Rawon+Pak+Pangat+Puri+Mas/data=!4m7!3m6!1s0x2dd7fb1bc081efb5:0x72823df3ece311cc!8m2!3d-7.3328464!4d112.7854082!16s%2Fg%2F11k642lbp4!19sChIJte-BwBv71y0RzBHj7PM9gnI?authuser=0&amp;hl=zh-TW&amp;rclk=1" TargetMode="External"/><Relationship Id="rId787" Type="http://schemas.openxmlformats.org/officeDocument/2006/relationships/hyperlink" Target="https://www.google.com/maps/place/Kopi+Calf+Signature+Tunjungan+Surabaya/@-7.2672692,112.7457654,17z/data=!3m1!4b1!4m6!3m5!1s0x2dd7fb34c2ca4047:0x1434efb9ce6345e0!8m2!3d-7.2672692!4d112.7457654!16s%2Fg%2F11y4lr38hd?entry=ttu&amp;g_ep=EgoyMDI2MDYyOS4wIKXMDSoASAFQAw%3D%3D" TargetMode="External"/><Relationship Id="rId302" Type="http://schemas.openxmlformats.org/officeDocument/2006/relationships/hyperlink" Target="https://www.google.com/maps/place/Rawon+Kalkulator/data=!4m7!3m6!1s0x2dd7fbbe23d5a7e1:0xd3486fa5af94b650!8m2!3d-7.2918496!4d112.7401047!16s%2Fg%2F1pzrq3qkb!19sChIJ4afVI7771y0RULaUr6VvSNM?authuser=0&amp;hl=zh-TW&amp;rclk=1" TargetMode="External"/><Relationship Id="rId544" Type="http://schemas.openxmlformats.org/officeDocument/2006/relationships/hyperlink" Target="https://www.google.com/maps/place/Mie+Pangsit+Arjuna/data=!4m7!3m6!1s0x2dd7fb6d128e37d5:0xdce2a53816b629a8!8m2!3d-7.3180665!4d112.7377257!16s%2Fg%2F11t5zqnng9!19sChIJ1TeOEm371y0RqCm2Fjil4tw?authuser=0&amp;hl=zh-TW&amp;rclk=1" TargetMode="External"/><Relationship Id="rId786" Type="http://schemas.openxmlformats.org/officeDocument/2006/relationships/hyperlink" Target="https://www.google.com/maps/place/Museum+Olahraga+Surabaya/@-7.2867965,112.7310669,17z/data=!3m1!4b1!4m6!3m5!1s0x2dd7fb4ee430e3ab:0x79f8833b1326b969!8m2!3d-7.2867965!4d112.7310669!16s%2Fg%2F11rfdk4_56?entry=ttu&amp;g_ep=EgoyMDI2MDYyOS4wIKXMDSoASAFQAw%3D%3D" TargetMode="External"/><Relationship Id="rId309" Type="http://schemas.openxmlformats.org/officeDocument/2006/relationships/hyperlink" Target="https://www.google.com/maps/place/Taman+Krembangan/data=!4m7!3m6!1s0x2dd7f9234b2d9ccb:0x101a2921c6c11681!8m2!3d-7.2371504!4d112.7343491!16s%2Fg%2F11c6zw8jlv!19sChIJy5wtSyP51y0RgRbBxiEpGhA?authuser=0&amp;hl=zh-TW&amp;rclk=1" TargetMode="External"/><Relationship Id="rId308" Type="http://schemas.openxmlformats.org/officeDocument/2006/relationships/hyperlink" Target="https://www.google.com/maps/place/Depot+Bebek+Tiga+Putri/data=!4m7!3m6!1s0x2dd7fb6a06e03881:0x62d54c3d8a5a72eb!8m2!3d-7.3276464!4d112.733565!16s%2Fg%2F11clsdlpq1!19sChIJgTjgBmr71y0R63Jaij1M1WI?authuser=0&amp;hl=zh-TW&amp;rclk=1" TargetMode="External"/><Relationship Id="rId307" Type="http://schemas.openxmlformats.org/officeDocument/2006/relationships/hyperlink" Target="https://www.google.com/maps/place/Warung+Joyo+Spesial+Rawon+%26+Krengsengan/data=!4m7!3m6!1s0x2dd7f95da8a69f0d:0x6ffd729e2d669d1f!8m2!3d-7.2600551!4d112.7371985!16s%2Fg%2F11gfjs4yk5!19sChIJDZ-mqF351y0RH51mLZ5y_W8?authuser=0&amp;hl=zh-TW&amp;rclk=1" TargetMode="External"/><Relationship Id="rId549" Type="http://schemas.openxmlformats.org/officeDocument/2006/relationships/hyperlink" Target="https://www.google.com/maps/place/Steak+Hut+-+Manyar+Kertoarjo/@-7.2805581,112.7688904,17z/data=!3m1!4b1!4m6!3m5!1s0x2dd7fa33fe284d53:0x9a47414476a6b583!8m2!3d-7.2805581!4d112.7688904!16s%2Fg%2F1jkxfg17t?entry=ttu&amp;g_ep=EgoyMDI2MDYyOS4wIKXMDSoASAFQAw%3D%3D" TargetMode="External"/><Relationship Id="rId306" Type="http://schemas.openxmlformats.org/officeDocument/2006/relationships/hyperlink" Target="https://www.google.com/maps/place/Aneka+Penyetan+Cak+Mat/data=!4m7!3m6!1s0x2dd7fa4acf5e8b43:0x75ca83b5e63d97ba!8m2!3d-7.287597!4d112.7636441!16s%2Fg%2F11f5hds2fw!19sChIJQ4tez0r61y0Rupc95rWDynU?authuser=0&amp;hl=zh-TW&amp;rclk=1" TargetMode="External"/><Relationship Id="rId548" Type="http://schemas.openxmlformats.org/officeDocument/2006/relationships/hyperlink" Target="https://www.google.com/maps/place/Moon+Cafe+Surabaya/data=!4m7!3m6!1s0x2dd7fb09920c0cb5:0x1de63fa8d4f2ed4b!8m2!3d-7.3440274!4d112.7800794!16s%2Fg%2F11rcx1dmwh!19sChIJtQwMkgn71y0RS-3y1Kg_5h0?authuser=0&amp;hl=zh-TW&amp;rclk=1" TargetMode="External"/><Relationship Id="rId781" Type="http://schemas.openxmlformats.org/officeDocument/2006/relationships/hyperlink" Target="https://www.google.com/maps/place/Cocari+-+Indragiri/@-7.2895816,112.7312155,17z/data=!3m1!4b1!4m6!3m5!1s0x2dd7fb931279f64d:0x977f710c4438a4ac!8m2!3d-7.2895816!4d112.7312155!16s%2Fg%2F1tdv38xz?entry=ttu&amp;g_ep=EgoyMDI2MDYyOS4wIKXMDSoASAFQAw%3D%3D" TargetMode="External"/><Relationship Id="rId780" Type="http://schemas.openxmlformats.org/officeDocument/2006/relationships/hyperlink" Target="https://www.google.com/maps/place/Phermitage,+Pantrysserie+%26+Coffee+House/@-7.2576761,112.7376914,17z/data=!3m1!4b1!4m6!3m5!1s0x2dd7f990413b6ddb:0xa136050c48e7bcef!8m2!3d-7.2576761!4d112.7376914!16s%2Fg%2F11rznnbqfl?entry=ttu&amp;g_ep=EgoyMDI2MDYyOS4wIKXMDSoASAFQAw%3D%3D" TargetMode="External"/><Relationship Id="rId301" Type="http://schemas.openxmlformats.org/officeDocument/2006/relationships/hyperlink" Target="https://www.google.com/maps/place/Kwasong+Cafe/data=!4m7!3m6!1s0x2dd7f9cbf04c640b:0x6a174f878cdc8569!8m2!3d-7.283174!4d112.6581025!16s%2Fg%2F11pdrtf3gz!19sChIJC2RM8Mv51y0RaYXcjIdPF2o?authuser=0&amp;hl=zh-TW&amp;rclk=1" TargetMode="External"/><Relationship Id="rId543" Type="http://schemas.openxmlformats.org/officeDocument/2006/relationships/hyperlink" Target="https://www.google.com/maps/place/Bebek+Palupi/data=!4m7!3m6!1s0x2dd7fac497ef51ff:0x87ae64621dad830c!8m2!3d-7.3313568!4d112.777815!16s%2Fg%2F1hf6yycnw!19sChIJ_1Hvl8T61y0RDIOtHWJkroc?authuser=0&amp;hl=zh-TW&amp;rclk=1" TargetMode="External"/><Relationship Id="rId785" Type="http://schemas.openxmlformats.org/officeDocument/2006/relationships/hyperlink" Target="https://www.google.com/maps/place/ESSEL+SURABAYA/@-7.2904054,112.6551446,17z/data=!3m1!4b1!4m6!3m5!1s0x2dd7fd7dcb6a97e3:0xb81b0999627ec9d9!8m2!3d-7.2904054!4d112.6551446!16s%2Fg%2F11wvlkxf3z?entry=ttu&amp;g_ep=EgoyMDI2MDYyOS4wIKXMDSoASAFQAw%3D%3D" TargetMode="External"/><Relationship Id="rId300" Type="http://schemas.openxmlformats.org/officeDocument/2006/relationships/hyperlink" Target="https://www.google.com/maps/place/Vibe+Restaurant/data=!4m7!3m6!1s0x2dd7fb1b86181527:0xf5b8e445755ba65f!8m2!3d-7.2756043!4d112.8042503!16s%2Fg%2F11xn8v5yb2!19sChIJJxUYhhv71y0RX6ZbdUXkuPU?authuser=0&amp;hl=zh-TW&amp;rclk=1" TargetMode="External"/><Relationship Id="rId542" Type="http://schemas.openxmlformats.org/officeDocument/2006/relationships/hyperlink" Target="https://www.google.com/maps/place/Pangsit+Mie+Ayam+Tuban+%28Sentra+PKL+Indrapura%29/data=!4m7!3m6!1s0x2dd7f93e507fdb37:0x99e169e619ecd731!8m2!3d-7.2437987!4d112.7364346!16s%2Fg%2F11ckkr6f_2!19sChIJN9t_UD751y0RMdfsGeZp4Zk?authuser=0&amp;hl=zh-TW&amp;rclk=1" TargetMode="External"/><Relationship Id="rId784" Type="http://schemas.openxmlformats.org/officeDocument/2006/relationships/hyperlink" Target="http://google.com/maps/place/Ceker+Pedas+Cocote+Tonggo/@-7.2678911,112.7342831,17z/data=!4m6!3m5!1s0x2dd7fba354d87ea5:0xc51155bbfa508ac7!8m2!3d-7.2687905!4d112.7381996!16s%2Fg%2F11jpt_h84w?entry=ttu&amp;g_ep=EgoyMDI2MDYyOS4wIKXMDSoASAFQAw%3D%3D" TargetMode="External"/><Relationship Id="rId541" Type="http://schemas.openxmlformats.org/officeDocument/2006/relationships/hyperlink" Target="https://www.google.com/maps/place/Pangsit+Mie+Ayam+Mila/data=!4m7!3m6!1s0x2dd7fbf6677a1d39:0xac122a9420e054e0!8m2!3d-7.2820461!4d112.7176963!16s%2Fg%2F11bwf7gfwq!19sChIJOR16Z_b71y0R4FTgIJQqEqw?authuser=0&amp;hl=zh-TW&amp;rclk=1" TargetMode="External"/><Relationship Id="rId783" Type="http://schemas.openxmlformats.org/officeDocument/2006/relationships/hyperlink" Target="https://www.google.com/maps/place/Bubur+Ayam+Mang+Endut/@-7.2678911,112.7342831,17z/data=!3m1!4b1!4m6!3m5!1s0x2dd7fbe1fd31f577:0x605778c583a60034!8m2!3d-7.2678911!4d112.7342831!16s%2Fg%2F11c534yr8w?entry=ttu&amp;g_ep=EgoyMDI2MDYyOS4wIKXMDSoASAFQAw%3D%3D" TargetMode="External"/><Relationship Id="rId540" Type="http://schemas.openxmlformats.org/officeDocument/2006/relationships/hyperlink" Target="https://www.google.com/maps/place/Sate+Asin+Merapi+Ngagel/data=!4m7!3m6!1s0x2dd7fba0fbcddb23:0x78af841af86f91c0!8m2!3d-7.281022!4d112.746797!16s%2Fg%2F11rtsm50xj!19sChIJI9vN-6D71y0RwJFv-BqEr3g?authuser=0&amp;hl=zh-TW&amp;rclk=1" TargetMode="External"/><Relationship Id="rId782" Type="http://schemas.openxmlformats.org/officeDocument/2006/relationships/hyperlink" Target="https://www.google.com/maps/place/Depot+Bedjo/@-7.2885376,112.7485623,14z/data=!4m10!1m2!2m1!1sepot+bedjo!3m6!1s0x2dd7fa2420623557:0xe1366472af68dcba!8m2!3d-7.2665312!4d112.7672008!15sCgplcG90IGJlZGpvWgwiCmVwb3QgYmVkam-SARJjaGluZXNlX3Jlc3RhdXJhbnSaAURDaTlEUVVsUlFVTnZaRU5vZEhsalJqbHZUMjVHUlU5Rk1XeFdiVkV5V1RBeFMxTXlNVTlUTUd4b1pWUkdXRll3UlJBQuABAPoBBQiIAxAT!16s%2Fg%2F1hc3jphnf?entry=ttu&amp;g_ep=EgoyMDI2MDYyOS4wIKXMDSoASAFQAw%3D%3D" TargetMode="External"/><Relationship Id="rId536" Type="http://schemas.openxmlformats.org/officeDocument/2006/relationships/hyperlink" Target="https://www.google.com/maps/place/The+Gade+Coffee+%26+Gold+Surabaya/@-7.2834071,112.7463577,17z/data=!3m1!4b1!4m6!3m5!1s0x2dd7fb511fe5f48b:0x8a0303b1679bdccc!8m2!3d-7.2834071!4d112.7463577!16s%2Fg%2F11gy3hx2s5?entry=ttu&amp;g_ep=EgoyMDI2MDYyOS4wIKXMDSoASAFQAw%3D%3D" TargetMode="External"/><Relationship Id="rId778" Type="http://schemas.openxmlformats.org/officeDocument/2006/relationships/hyperlink" Target="https://www.google.com/maps/place/Rujak+Cingur+dan+Sop+Buntut+Genteng+Durasim/@-7.2577148,112.7405479,17z/data=!3m2!4b1!5s0x2dd7f967e826b2f9:0xaa5ec3e355ca151d!4m6!3m5!1s0x2dd7f967dd290603:0x636770e38d3152c8!8m2!3d-7.2577148!4d112.7405479!16s%2Fg%2F1hdzccp2y?entry=ttu&amp;g_ep=EgoyMDI2MDYyOS4wIKXMDSoASAFQAw%3D%3D" TargetMode="External"/><Relationship Id="rId535" Type="http://schemas.openxmlformats.org/officeDocument/2006/relationships/hyperlink" Target="https://www.google.com/maps/place/Cw+Coffee+%26+Eatery+Surabaya/@-7.2689088,112.4583689,10z/data=!4m10!1m2!2m1!1scw+coffee!3m6!1s0x2dd7fb004f7274eb:0x1954f84eea9f98d0!8m2!3d-7.2689088!4d112.7385203!15sCgljdyBjb2ZmZWVaCyIJY3cgY29mZmVlkgELY29mZmVlX3Nob3CaASRDaGREU1VoTk1HOW5TMFZKUTBGblNVTklkbVIyWm05UlJSQULgAQD6AQQIcxA9!16s%2Fg%2F11w1qg_4st?entry=ttu&amp;g_ep=EgoyMDI2MDYyOS4wIKXMDSoASAFQAw%3D%3D" TargetMode="External"/><Relationship Id="rId777" Type="http://schemas.openxmlformats.org/officeDocument/2006/relationships/hyperlink" Target="https://www.google.com/maps/place/Bakso+Ambon+Nginden/@-7.30387,112.766254,17z/data=!3m1!4b1!4m6!3m5!1s0x2dd7fa55a8aec12b:0xc20c373b7213b6a2!8m2!3d-7.30387!4d112.766254!16s%2Fg%2F11fy_6c9wt?entry=ttu&amp;g_ep=EgoyMDI2MDYyOS4wIKXMDSoASAFQAw%3D%3D" TargetMode="External"/><Relationship Id="rId534" Type="http://schemas.openxmlformats.org/officeDocument/2006/relationships/hyperlink" Target="https://www.google.com/maps/place/Seafood+Rock+n+Roll/data=!4m7!3m6!1s0x2dd7f9bd28907755:0xefeaaf3a0637d044!8m2!3d-7.2596792!4d112.717104!16s%2Fg%2F11m60dc_fj!19sChIJVXeQKL351y0RRNA3Bjqv6u8?authuser=0&amp;hl=zh-TW&amp;rclk=1" TargetMode="External"/><Relationship Id="rId776" Type="http://schemas.openxmlformats.org/officeDocument/2006/relationships/hyperlink" Target="https://www.google.com/maps/place/Plaza+Surabaya,+Embong+Kaliasin,+Kec.+Genteng,+Surabaya,+Jawa+Timur/@-7.2648774,112.7485448,17z/data=!3m1!4b1!4m6!3m5!1s0x2dd7f962f04afc1b:0x7715dd8149b0875d!8m2!3d-7.2648774!4d112.7485448!16s%2Fg%2F1q64f3z71?entry=ttu&amp;g_ep=EgoyMDI2MDYyOS4wIKXMDSoASAFQAw%3D%3D" TargetMode="External"/><Relationship Id="rId533" Type="http://schemas.openxmlformats.org/officeDocument/2006/relationships/hyperlink" Target="https://www.google.com/maps/place/Mie+Ayam+Cak+AL+Suroboyo/data=!4m7!3m6!1s0x2dd7f999d2a66677:0xdfeecf31983ee8a7!8m2!3d-7.24932!4d112.7311548!16s%2Fg%2F11sg68jf5g!19sChIJd2am0pn51y0Rp-g-mDHP7t8?authuser=0&amp;hl=zh-TW&amp;rclk=1" TargetMode="External"/><Relationship Id="rId775" Type="http://schemas.openxmlformats.org/officeDocument/2006/relationships/hyperlink" Target="https://www.google.com/maps/place/Pavilion+Restaurant+at+JW+Marriott+Surabaya/@-7.2595865,112.7350547,17z/data=!3m1!4b1!4m6!3m5!1s0x2dd7f95cf4375601:0x4a94f51675f8d8ad!8m2!3d-7.2595865!4d112.7350547!16s%2Fg%2F1pztwwk6g?entry=ttu&amp;g_ep=EgoyMDI2MDYyOS4wIKXMDSoASAFQAw%3D%3D" TargetMode="External"/><Relationship Id="rId539" Type="http://schemas.openxmlformats.org/officeDocument/2006/relationships/hyperlink" Target="https://www.google.com/maps/place/Pusat+Oleh-oleh+Bu+Rudy/data=!4m7!3m6!1s0x2dd7fbc4094feab7:0x70ff179b409f816a!8m2!3d-7.2674232!4d112.7700636!16s%2Fg%2F11flv8d1xz!19sChIJt-pPCcT71y0RaoGfQJsX_3A?authuser=0&amp;hl=zh-TW&amp;rclk=1" TargetMode="External"/><Relationship Id="rId538" Type="http://schemas.openxmlformats.org/officeDocument/2006/relationships/hyperlink" Target="https://www.google.com/maps/place/Tahu+Campur+H.+ABD.+Mahfud+Asli+Kalasan/data=!4m7!3m6!1s0x2dd7f9797f4ba83f:0xec4587e11bcf800a!8m2!3d-7.258714!4d112.7573433!16s%2Fg%2F11b69v7p5p!19sChIJP6hLf3n51y0RCoDPG-GHRew?authuser=0&amp;hl=zh-TW&amp;rclk=1" TargetMode="External"/><Relationship Id="rId537" Type="http://schemas.openxmlformats.org/officeDocument/2006/relationships/hyperlink" Target="https://www.google.com/maps/place/Spesial+Belut+Surabaya+-+H.+Poer/data=!4m7!3m6!1s0x2dd7fa1d06582eff:0xb46f0cc6f11bdd65!8m2!3d-7.2730234!4d112.7812138!16s%2Fg%2F1hm6c7x23!19sChIJ_y5YBh361y0RZd0b8cYMb7Q?authuser=0&amp;hl=zh-TW&amp;rclk=1" TargetMode="External"/><Relationship Id="rId779" Type="http://schemas.openxmlformats.org/officeDocument/2006/relationships/hyperlink" Target="https://www.google.com/maps/place/Nasi+Mandhi+Bosgil+Ampel+Surabaya/@-7.2311735,112.7409681,17z/data=!3m1!4b1!4m6!3m5!1s0x2dd7f93a638d9185:0xdbf2e98715388c37!8m2!3d-7.2311735!4d112.7409681!16s%2Fg%2F11v3pmqyzl?entry=ttu&amp;g_ep=EgoyMDI2MDYyOS4wIKXMDSoASAFQAw%3D%3D" TargetMode="External"/><Relationship Id="rId770" Type="http://schemas.openxmlformats.org/officeDocument/2006/relationships/hyperlink" Target="http://google.com/maps/place/Museum+H.+O.+S.+Tjokroaminoto/@-7.254636,112.73302,17z/data=!4m6!3m5!1s0x2dd7f9b178b9c013:0x58f9a33cc4dce09e!8m2!3d-7.2525006!4d112.7377711!16s%2Fg%2F11b6b9tjng?entry=ttu&amp;g_ep=EgoyMDI2MDYyOS4wIKXMDSoASAFQAw%3D%3D" TargetMode="External"/><Relationship Id="rId532" Type="http://schemas.openxmlformats.org/officeDocument/2006/relationships/hyperlink" Target="https://www.google.com/maps/place/Coste+Coffee/@-7.2862409,112.7561595,17z/data=!3m1!4b1!4m6!3m5!1s0x2dd7fbae16ba6159:0xb106b6dc19401000!8m2!3d-7.2862409!4d112.7561595!16s%2Fg%2F11rzgwj_bd?entry=ttu&amp;g_ep=EgoyMDI2MDYyOS4wIKXMDSoASAFQAw%3D%3D" TargetMode="External"/><Relationship Id="rId774" Type="http://schemas.openxmlformats.org/officeDocument/2006/relationships/hyperlink" Target="http://google.com/maps/place/Galaxy+Mall+3/@-7.2755008,112.7814488,17z/data=!3m1!5s0x2dd7fa3b6771b933:0xd3c42d771036b0b9!4m6!3m5!1s0x2dd7fba7c21aba85:0xe63dd66f7ec7d384!8m2!3d-7.2761716!4d112.7802211!16s%2Fg%2F11fktvdtvg?entry=ttu&amp;g_ep=EgoyMDI2MDYyOS4wIKXMDSoASAFQAw%3D%3D" TargetMode="External"/><Relationship Id="rId531" Type="http://schemas.openxmlformats.org/officeDocument/2006/relationships/hyperlink" Target="https://www.google.com/maps/place/Kenjeran+Park+Outbound/@-7.2473195,112.8017382,17z/data=!3m1!4b1!4m6!3m5!1s0x2dd7f9e46123ab51:0xdb1a1fc07205073!8m2!3d-7.2473195!4d112.8017382!16s%2Fg%2F11c6f5gfcr?entry=ttu&amp;g_ep=EgoyMDI2MDYyOS4wIKXMDSoASAFQAw%3D%3D" TargetMode="External"/><Relationship Id="rId773" Type="http://schemas.openxmlformats.org/officeDocument/2006/relationships/hyperlink" Target="https://www.google.com/maps/place/Tunjungan+Plaza/@-7.2631711,112.7400711,17z/data=!3m1!4b1!4m6!3m5!1s0x2dd7f960aee9a64d:0xaa9e2f2c4ed67175!8m2!3d-7.2631711!4d112.7400711!16s%2Fm%2F03nn8x_?entry=ttu&amp;g_ep=EgoyMDI2MDYyOS4wIKXMDSoASAFQAw%3D%3D" TargetMode="External"/><Relationship Id="rId530" Type="http://schemas.openxmlformats.org/officeDocument/2006/relationships/hyperlink" Target="https://www.google.com/maps/place/Taman+10+Nopember+Surabaya/@-7.251688,112.755074,17z/data=!3m1!4b1!4m6!3m5!1s0x2dd7f9bfecefb21f:0x5bfbfdcec3cdcdd5!8m2!3d-7.251688!4d112.755074!16s%2Fg%2F11flrmydg2?entry=ttu&amp;g_ep=EgoyMDI2MDYyOS4wIKXMDSoASAFQAw%3D%3D" TargetMode="External"/><Relationship Id="rId772" Type="http://schemas.openxmlformats.org/officeDocument/2006/relationships/hyperlink" Target="https://www.google.com/maps/place/Gedung+Cak+Durasim/@-7.2567315,112.7396144,17z/data=!3m1!4b1!4m6!3m5!1s0x2dd7f97d349c4d7d:0xc51c4e012d92fdb8!8m2!3d-7.2567315!4d112.7396144!16s%2Fg%2F11l3ccbw06?entry=ttu&amp;g_ep=EgoyMDI2MDYyOS4wIKXMDSoASAFQAw%3D%3D" TargetMode="External"/><Relationship Id="rId771" Type="http://schemas.openxmlformats.org/officeDocument/2006/relationships/hyperlink" Target="https://www.google.com/maps/place/Kawasan+Pecinan+Surabaya/@-7.2368678,112.7391065,17z/data=!3m1!4b1!4m6!3m5!1s0x2dd7f9178e34764d:0x3aca6b0e54d9e5d4!8m2!3d-7.2368678!4d112.7391065!16s%2Fg%2F120phfdf?entry=ttu&amp;g_ep=EgoyMDI2MDYyOS4wIKXMDSoASAFQAw%3D%3D" TargetMode="External"/><Relationship Id="rId327" Type="http://schemas.openxmlformats.org/officeDocument/2006/relationships/hyperlink" Target="https://www.google.com/maps/place/Bakso+So%27un+dan+Mie+Ayam+Mojopahit/data=!4m7!3m6!1s0x2dd7f958b4642b75:0xa26b58692bad8b05!8m2!3d-7.259215!4d112.7316017!16s%2Fg%2F11bw2_gs28!19sChIJdStktFj51y0RBYutK2lYa6I?authuser=0&amp;hl=zh-TW&amp;rclk=1" TargetMode="External"/><Relationship Id="rId569" Type="http://schemas.openxmlformats.org/officeDocument/2006/relationships/hyperlink" Target="https://www.google.com/maps/place/G+-+WALK+Citraland+Surabaya/@-7.2920822,112.6544154,17z/data=!3m1!4b1!4m6!3m5!1s0x2dd7fdc7d4229af3:0x1bd7b8a45f57d063!8m2!3d-7.2920822!4d112.6544154!16s%2Fg%2F11b6xgh6ds?entry=ttu&amp;g_ep=EgoyMDI2MDYyOS4wIKXMDSoASAFQAw%3D%3D" TargetMode="External"/><Relationship Id="rId326" Type="http://schemas.openxmlformats.org/officeDocument/2006/relationships/hyperlink" Target="https://www.google.com/maps/place/Rumah+Wafat+Wage+Rudolf+Supratman/data=!4m7!3m6!1s0x2dd7f90a58b20643:0x228668e7ab001bd!8m2!3d-7.2506354!4d112.7537695!16s%2Fg%2F11fk1jxcqh!19sChIJQwayWAr51y0RvQGweo5mKAI?authuser=0&amp;hl=zh-TW&amp;rclk=1" TargetMode="External"/><Relationship Id="rId568" Type="http://schemas.openxmlformats.org/officeDocument/2006/relationships/hyperlink" Target="https://www.google.com/maps/place/Soto+Ayam+Ambengan+Pak+Sadi/data=!4m7!3m6!1s0x2dd7fc143dbf4af5:0x618e4ded1b465a42!8m2!3d-7.2855718!4d112.6956815!16s%2Fg%2F1hf6h3rbt!19sChIJ9Uq_PRT81y0RQlpGG-1NjmE?authuser=0&amp;hl=zh-TW&amp;rclk=1" TargetMode="External"/><Relationship Id="rId325" Type="http://schemas.openxmlformats.org/officeDocument/2006/relationships/hyperlink" Target="https://www.google.com/maps/place/Spread+Cafe+by+Tootoomoo/data=!4m7!3m6!1s0x2dd7fb9fdcc83a8d:0x16a4c447d48bbd04!8m2!3d-7.2896458!4d112.7348815!16s%2Fg%2F11sjlqx6yw!19sChIJjTrI3J_71y0RBL2L1EfEpBY?authuser=0&amp;hl=zh-TW&amp;rclk=1" TargetMode="External"/><Relationship Id="rId567" Type="http://schemas.openxmlformats.org/officeDocument/2006/relationships/hyperlink" Target="https://www.google.com/maps/place/Titik+Koma+Tenggilis/data=!4m7!3m6!1s0x2dd7fbbdc215908f:0x2d074f2a6fe416ae!8m2!3d-7.3203757!4d112.7663575!16s%2Fg%2F11cn9lrgqf!19sChIJj5AVwr371y0RrhbkbypPBy0?authuser=0&amp;hl=zh-TW&amp;rclk=1" TargetMode="External"/><Relationship Id="rId324" Type="http://schemas.openxmlformats.org/officeDocument/2006/relationships/hyperlink" Target="https://www.google.com/maps/place/Suro+and+Boyo+Statue/data=!4m7!3m6!1s0x2dd7fb97dde14831:0x9e68091c03f959fb!8m2!3d-7.2960492!4d112.7387012!16s%2Fg%2F1230v9vx!19sChIJMUjh3Zf71y0R-1n5AxwJaJ4?authuser=0&amp;hl=zh-TW&amp;rclk=1" TargetMode="External"/><Relationship Id="rId566" Type="http://schemas.openxmlformats.org/officeDocument/2006/relationships/hyperlink" Target="https://www.google.com/maps/place/Bakso+Pak+Sarjuk/data=!4m7!3m6!1s0x2dd7fb5b6887fd95:0xdf896540584d3528!8m2!3d-7.2983287!4d112.7554751!16s%2Fg%2F11qq5rf1tt!19sChIJlf2HaFv71y0RKDVNWEBlid8?authuser=0&amp;hl=zh-TW&amp;rclk=1" TargetMode="External"/><Relationship Id="rId329" Type="http://schemas.openxmlformats.org/officeDocument/2006/relationships/hyperlink" Target="https://www.google.com/maps/place/Spesial+Belut+Surabaya+H.+Poer/data=!4m7!3m6!1s0x2dd7fbfe61eabd33:0xd5893654a3c3d2cc!8m2!3d-7.2705095!4d112.7199703!16s%2Fg%2F11b6xdws2s!19sChIJM73qYf771y0RzNLDo1Q2idU?authuser=0&amp;hl=zh-TW&amp;rclk=1" TargetMode="External"/><Relationship Id="rId328" Type="http://schemas.openxmlformats.org/officeDocument/2006/relationships/hyperlink" Target="https://www.google.com/maps/place/Pangsit+Mie+Ayam+Tenda+Biru/data=!4m7!3m6!1s0x2dd7fbd9486e747f:0x50149c558bb1d472!8m2!3d-7.2710167!4d112.7459099!16s%2Fg%2F11hd6mwzvx!19sChIJf3RuSNn71y0RctSxi1WcFFA?authuser=0&amp;hl=zh-TW&amp;rclk=1" TargetMode="External"/><Relationship Id="rId561" Type="http://schemas.openxmlformats.org/officeDocument/2006/relationships/hyperlink" Target="https://www.google.com/maps/place/Eicy+Cafe/@-7.2945429,112.768385,17z/data=!3m1!4b1!4m6!3m5!1s0x2dd7fbfe9188ab43:0x23ce9195cd20d25d!8m2!3d-7.2945429!4d112.768385!16s%2Fg%2F11qh449_hp?entry=ttu&amp;g_ep=EgoyMDI2MDYyOS4wIKXMDSoASAFQAw%3D%3D" TargetMode="External"/><Relationship Id="rId560" Type="http://schemas.openxmlformats.org/officeDocument/2006/relationships/hyperlink" Target="https://www.google.com/maps/place/Bubur+Ayam+Mang+Dudung/data=!4m7!3m6!1s0x2dd7f95be8d390f5:0x3700bb19fbf1d6ab!8m2!3d-7.2617327!4d112.7319957!16s%2Fg%2F11btwvfcjl!19sChIJ9ZDT6Fv51y0Rq9bx-xm7ADc?authuser=0&amp;hl=zh-TW&amp;rclk=1" TargetMode="External"/><Relationship Id="rId323" Type="http://schemas.openxmlformats.org/officeDocument/2006/relationships/hyperlink" Target="https://www.google.com/maps/place/Spesial+Soto+Boyolali+%28SSb%29+Hj+Hesti,+Cabang+Anjasmoro,+Surabaya/data=!4m7!3m6!1s0x2dd7f9001a40c2b1:0xdc6228eda9b425d6!8m2!3d-7.2591037!4d112.7304809!16s%2Fg%2F11m_6x1z79!19sChIJscJAGgD51y0R1iW0qe0oYtw?authuser=0&amp;hl=zh-TW&amp;rclk=1" TargetMode="External"/><Relationship Id="rId565" Type="http://schemas.openxmlformats.org/officeDocument/2006/relationships/hyperlink" Target="https://www.google.com/maps/place/Penyetan+mbak+yun/data=!4m7!3m6!1s0x2dd7fbe425ec001d:0xb61168c6fc53fbe4!8m2!3d-7.2974453!4d112.7628114!16s%2Fg%2F11lrn_2dbq!19sChIJHQDsJeT71y0R5PtT_MZoEbY?authuser=0&amp;hl=zh-TW&amp;rclk=1" TargetMode="External"/><Relationship Id="rId322" Type="http://schemas.openxmlformats.org/officeDocument/2006/relationships/hyperlink" Target="https://www.google.com/maps/place/Aiola+Eatery+-+Slamet/data=!4m7!3m6!1s0x2dd7f9652618dd89:0x44d789bb4b69e7bf!8m2!3d-7.258743!4d112.7502734!16s%2Fg%2F11b69vppl0!19sChIJid0YJmX51y0Rv-dpS7uJ10Q?authuser=0&amp;hl=zh-TW&amp;rclk=1" TargetMode="External"/><Relationship Id="rId564" Type="http://schemas.openxmlformats.org/officeDocument/2006/relationships/hyperlink" Target="https://www.google.com/maps/place/fourspace/data=!4m2!3m1!1s0x2dd7fb00391f4fb5:0x7b65914ecaea0cff?sa=X&amp;ved=1t:242&amp;ictx=111" TargetMode="External"/><Relationship Id="rId321" Type="http://schemas.openxmlformats.org/officeDocument/2006/relationships/hyperlink" Target="https://www.google.com/maps/place/SAS+Cafe+N+Resto/data=!4m7!3m6!1s0x2dd7fa1b34a93411:0x3eb563bd94c331eb!8m2!3d-7.2702897!4d112.7986384!16s%2Fg%2F11g_yml87!19sChIJETSpNBv61y0R6zHDlL1jtT4?authuser=0&amp;hl=zh-TW&amp;rclk=1" TargetMode="External"/><Relationship Id="rId563" Type="http://schemas.openxmlformats.org/officeDocument/2006/relationships/hyperlink" Target="https://www.google.com/maps/place/Korean+Friendship+Park/data=!4m7!3m6!1s0x2dd7fbebcb512fef:0x2907ee34926ba62d!8m2!3d-7.2830626!4d112.7366007!16s%2Fg%2F11cn3sxnvn!19sChIJ7y9Ry-v71y0RLaZrkjTuByk?authuser=0&amp;hl=zh-TW&amp;rclk=1" TargetMode="External"/><Relationship Id="rId320" Type="http://schemas.openxmlformats.org/officeDocument/2006/relationships/hyperlink" Target="https://www.google.com/maps/place/Apsari+Park/data=!4m7!3m6!1s0x2dd7f96110f3ae31:0xa8ae5d0ff49d3ece!8m2!3d-7.2637501!4d112.7428529!16s%2Fg%2F11csqvx0mp!19sChIJMa7zEGH51y0Rzj6d9A9drqg?authuser=0&amp;hl=zh-TW&amp;rclk=1" TargetMode="External"/><Relationship Id="rId562" Type="http://schemas.openxmlformats.org/officeDocument/2006/relationships/hyperlink" Target="https://www.google.com/maps/place/Sate+kambing+muda+Balibul/data=!4m7!3m6!1s0x2dd7fb002bde1aa3:0xde153d8078209144!8m2!3d-7.2922352!4d112.7333777!16s%2Fg%2F11vyxpmxgn!19sChIJoxreKwD71y0RRJEgeIA9Fd4?authuser=0&amp;hl=zh-TW&amp;rclk=1" TargetMode="External"/><Relationship Id="rId316" Type="http://schemas.openxmlformats.org/officeDocument/2006/relationships/hyperlink" Target="https://www.google.com/maps/place/Penyetan+Songolas+Ngagel+Rejo/data=!4m7!3m6!1s0x2dd7fbbb738b6bb9:0x79239990ca332549!8m2!3d-7.2947962!4d112.7461299!16s%2Fg%2F11h9x3pn8j!19sChIJuWuLc7v71y0RSSUzypCZI3k?authuser=0&amp;hl=zh-TW&amp;rclk=1" TargetMode="External"/><Relationship Id="rId558" Type="http://schemas.openxmlformats.org/officeDocument/2006/relationships/hyperlink" Target="https://www.google.com/maps/place/Star+Seafood+Surabaya/data=!4m7!3m6!1s0x2dd7ff75fe4d7305:0xe01aa48e09a1ea66!8m2!3d-7.2592654!4d112.809289!16s%2Fg%2F11wfs4phkg!19sChIJBXNN_nX_1y0RZuqhCY6kGuA?authuser=0&amp;hl=zh-TW&amp;rclk=1" TargetMode="External"/><Relationship Id="rId315" Type="http://schemas.openxmlformats.org/officeDocument/2006/relationships/hyperlink" Target="https://www.google.com/maps/place/Kokkili+Cafe/data=!4m7!3m6!1s0x2dd7fd94a77ef4d7:0x797a6211d005c15e!8m2!3d-7.2873325!4d112.655854!16s%2Fg%2F11k58312j2!19sChIJ1_R-p5T91y0RXsEF0BFienk?authuser=0&amp;hl=zh-TW&amp;rclk=1" TargetMode="External"/><Relationship Id="rId557" Type="http://schemas.openxmlformats.org/officeDocument/2006/relationships/hyperlink" Target="https://www.google.com/maps/place/Hutan+Kota+Balas+Krumprik/@-7.32967,112.6912506,17z/data=!3m1!4b1!4m6!3m5!1s0x2dd7fceaa8fe41db:0xd46fb7b1208444a4!8m2!3d-7.32967!4d112.6912506!16s%2Fg%2F11bw2gz604?entry=ttu&amp;g_ep=EgoyMDI2MDYyOS4wIKXMDSoASAFQAw%3D%3D" TargetMode="External"/><Relationship Id="rId799" Type="http://schemas.openxmlformats.org/officeDocument/2006/relationships/drawing" Target="../drawings/drawing4.xml"/><Relationship Id="rId314" Type="http://schemas.openxmlformats.org/officeDocument/2006/relationships/hyperlink" Target="https://www.google.com/maps/place/Pakal+Forest+Park/data=!4m7!3m6!1s0x2dd7fe2a88d4904d:0x798cb8df8dcedfad!8m2!3d-7.2352346!4d112.6207765!16s%2Fg%2F11bw4lmmvz!19sChIJTZDUiCr-1y0Rrd_Ojd-4jHk?authuser=0&amp;hl=zh-TW&amp;rclk=1" TargetMode="External"/><Relationship Id="rId556" Type="http://schemas.openxmlformats.org/officeDocument/2006/relationships/hyperlink" Target="https://www.google.com/maps/place/Bungkul+Park/data=!4m7!3m6!1s0x2dd7fbbe1837258d:0x6de4060b6596563f!8m2!3d-7.2913468!4d112.7398218!16s%2Fg%2F121_bvsv!19sChIJjSU3GL771y0RP1aWZQsG5G0?authuser=0&amp;hl=zh-TW&amp;rclk=1" TargetMode="External"/><Relationship Id="rId798" Type="http://schemas.openxmlformats.org/officeDocument/2006/relationships/hyperlink" Target="https://www.google.com/maps/place/Taman+Sejarah+dan+Museum+Hidup+Kota+Lama+Surabaya/@-7.2361058,112.7378073,17z/data=!3m1!4b1!4m6!3m5!1s0x2dd7f92218534b13:0x8f19b844ebcac285!8m2!3d-7.2361058!4d112.7378073!16s%2Fg%2F11dzt6cd3b?entry=ttu&amp;g_ep=EgoyMDI2MDYyOS4wIKXMDSoASAFQAw%3D%3D" TargetMode="External"/><Relationship Id="rId313" Type="http://schemas.openxmlformats.org/officeDocument/2006/relationships/hyperlink" Target="https://www.google.com/maps/place/Nasi+Bebek+Sambal+Pencit+Sambal+Ijo+Pak+Umar+2/data=!4m7!3m6!1s0x2dd7fbd3c7efdc9f:0x7dea0216b0e8c332!8m2!3d-7.3007829!4d112.7373966!16s%2Fg%2F11xn60cpr7!19sChIJn9zvx9P71y0RMsPosBYC6n0?authuser=0&amp;hl=zh-TW&amp;rclk=1" TargetMode="External"/><Relationship Id="rId555" Type="http://schemas.openxmlformats.org/officeDocument/2006/relationships/hyperlink" Target="https://www.google.com/maps/place/Pangsit+Mie+Ayam+Jakarta+Pak+Indra/data=!4m7!3m6!1s0x2dd7f94ceb3161eb:0x7a0b5cd604aa4ab0!8m2!3d-7.2544212!4d112.716809!16s%2Fg%2F1pztd4q6p!19sChIJ62Ex60z51y0RsEqqBNZcC3o?authuser=0&amp;hl=zh-TW&amp;rclk=1" TargetMode="External"/><Relationship Id="rId797" Type="http://schemas.openxmlformats.org/officeDocument/2006/relationships/hyperlink" Target="https://www.google.com/maps/place/Taman+Bhinneka+(Nusantara+Creativity+Center)/@-7.3025473,112.7995274,17z/data=!3m1!4b1!4m6!3m5!1s0x2dd7fbf1fe18c411:0x7a5b54f79a30b082!8m2!3d-7.3025473!4d112.7995274!16s%2Fg%2F11yf7s41wc?entry=ttu&amp;g_ep=EgoyMDI2MDYyOS4wIKXMDSoASAFQAw%3D%3D" TargetMode="External"/><Relationship Id="rId319" Type="http://schemas.openxmlformats.org/officeDocument/2006/relationships/hyperlink" Target="https://www.google.com/maps/place/Rawon+Bu+Soepinah/data=!4m7!3m6!1s0x2dd7fbfcabf1f293:0x83c801626c4a0785!8m2!3d-7.2721005!4d112.7279788!16s%2Fg%2F1pzrhlpx0!19sChIJk_Lxq_z71y0RhQdKbGIByIM?authuser=0&amp;hl=zh-TW&amp;rclk=1" TargetMode="External"/><Relationship Id="rId318" Type="http://schemas.openxmlformats.org/officeDocument/2006/relationships/hyperlink" Target="https://www.google.com/maps/place/Pangsit+Mie+Ayam+Jakarta+Pak+No/data=!4m7!3m6!1s0x2dd7fbca8b1802cb:0x632c24ec408011b4!8m2!3d-7.2861422!4d112.7601868!16s%2Fg%2F11b6bwpd_t!19sChIJywIYi8r71y0RtBGAQOwkLGM?authuser=0&amp;hl=zh-TW&amp;rclk=1" TargetMode="External"/><Relationship Id="rId317" Type="http://schemas.openxmlformats.org/officeDocument/2006/relationships/hyperlink" Target="https://www.google.com/maps/place/Warung+Bu+Warni+Surabaya+%28+Nasi+Petis-Specialist+Cumi+Hitam%29/data=!4m7!3m6!1s0x2dd7fb9041803d21:0x4e3fe8ae280d3d2d!8m2!3d-7.300215!4d112.7729171!16s%2Fg%2F11l_8pgj__!19sChIJIT2AQZD71y0RLT0NKK7oP04?authuser=0&amp;hl=zh-TW&amp;rclk=1" TargetMode="External"/><Relationship Id="rId559" Type="http://schemas.openxmlformats.org/officeDocument/2006/relationships/hyperlink" Target="https://www.google.com/maps/place/Kurnia+Seafood+Surabaya/data=!4m7!3m6!1s0x2dd7fbc72fb4fd67:0x980039fa230d3f4c!8m2!3d-7.2684478!4d112.7400955!16s%2Fg%2F11w7c8y746!19sChIJZ_20L8f71y0RTD8NI_o5AJg?authuser=0&amp;hl=zh-TW&amp;rclk=1" TargetMode="External"/><Relationship Id="rId550" Type="http://schemas.openxmlformats.org/officeDocument/2006/relationships/hyperlink" Target="https://www.google.com/maps/place/Pangsit+Mie+Ayam+Jakarta+57/data=!4m7!3m6!1s0x2dd7fbfd419060fb:0xa6de00da25b67064!8m2!3d-7.2688324!4d112.7258082!16s%2Fg%2F11b6vd_bcx!19sChIJ-2CQQf371y0RZHC2JdoA3qY?authuser=0&amp;hl=zh-TW&amp;rclk=1" TargetMode="External"/><Relationship Id="rId792" Type="http://schemas.openxmlformats.org/officeDocument/2006/relationships/hyperlink" Target="https://www.google.com/maps/place/Lagoon+Avenue+Mall+Sungkono/@-7.2898778,112.7064354,17z/data=!3m1!4b1!4m6!3m5!1s0x2dd7fd75060c03fd:0xb1b866cbf154c739!8m2!3d-7.2898778!4d112.7064354!16s%2Fg%2F11nn4j3qt3?entry=ttu&amp;g_ep=EgoyMDI2MDYyOS4wIKXMDSoASAFQAw%3D%3D" TargetMode="External"/><Relationship Id="rId791" Type="http://schemas.openxmlformats.org/officeDocument/2006/relationships/hyperlink" Target="http://google.com/maps/place/Depot+Kalijudan+Chinese+Food+Halal/@-7.2544184,112.7781209,17z/data=!4m6!3m5!1s0x2dd7f9d2896a7d4f:0x47fee0e46f8426b7!8m2!3d-7.2576697!4d112.7784895!16s%2Fg%2F11ssdnv6s_?entry=ttu&amp;g_ep=EgoyMDI2MDYyOS4wIKXMDSoASAFQAw%3D%3D" TargetMode="External"/><Relationship Id="rId790" Type="http://schemas.openxmlformats.org/officeDocument/2006/relationships/hyperlink" Target="https://www.google.com/maps/place/Depot+%22MIE+HAKKA%22/@-7.2544184,112.7781209,17z/data=!3m1!4b1!4m6!3m5!1s0x2dd7fa1cfeb05b47:0xec24efd7a18d90e6!8m2!3d-7.2544184!4d112.7781209!16s%2Fg%2F11css0b3qp?entry=ttu&amp;g_ep=EgoyMDI2MDYyOS4wIKXMDSoASAFQAw%3D%3D" TargetMode="External"/><Relationship Id="rId312" Type="http://schemas.openxmlformats.org/officeDocument/2006/relationships/hyperlink" Target="https://www.google.com/maps/place/Hutan+Cemara+Mangrove/data=!4m7!3m6!1s0x2dd7f10cde0dba6d:0x132ee8095e646d0b!8m2!3d-7.3077843!4d112.8160651!16s%2Fg%2F11k4ypr8pn!19sChIJbboN3gzx1y0RC21kXgnoLhM?authuser=0&amp;hl=zh-TW&amp;rclk=1" TargetMode="External"/><Relationship Id="rId554" Type="http://schemas.openxmlformats.org/officeDocument/2006/relationships/hyperlink" Target="https://www.google.com/maps/place/Ronggolawe+Pangsit+Mie+Ayam+Jakarta/data=!4m7!3m6!1s0x2dd7fbcc8c8fd9c9:0x3a4c83fed30812c0!8m2!3d-7.347493!4d112.729714!16s%2Fg%2F11g19r00xc!19sChIJydmPjMz71y0RwBII0_6DTDo?authuser=0&amp;hl=zh-TW&amp;rclk=1" TargetMode="External"/><Relationship Id="rId796" Type="http://schemas.openxmlformats.org/officeDocument/2006/relationships/hyperlink" Target="https://www.google.com/maps/place/BARA+CAFE/@-7.335074,112.6812639,13z/data=!4m10!1m2!2m1!1sBARA+COFFEE!3m6!1s0x2dd7fbda3ed8ac23:0x8dcb4a4ad028ba75!8m2!3d-7.335074!4d112.7162828!15sCgtCQVJBIENPRkZFRVoNIgtiYXJhIGNvZmZlZZIBBGNhZmWaAURDaTlEUVVsUlFVTnZaRU5vZEhsalJqbHZUMnM1YUZVd01IcGpXR1JOWTFkV2VGVnVXa3RXUlZab1pGUkNNMkZ0WXhBQuABAPoBBAgAECk!16s%2Fg%2F11q1c_mhg2?entry=ttu&amp;g_ep=EgoyMDI2MDYyOS4wIKXMDSoASAFQAw%3D%3D" TargetMode="External"/><Relationship Id="rId311" Type="http://schemas.openxmlformats.org/officeDocument/2006/relationships/hyperlink" Target="https://www.google.com/maps/place/Rawon+Nguling+Kendangsari/data=!4m7!3m6!1s0x2dd7fb3d2ea4c4f7:0x7dbf671e378fa4d7!8m2!3d-7.329177!4d112.7462533!16s%2Fg%2F1pzsjnpy3!19sChIJ98SkLj371y0R16SPNx5nv30?authuser=0&amp;hl=zh-TW&amp;rclk=1" TargetMode="External"/><Relationship Id="rId553" Type="http://schemas.openxmlformats.org/officeDocument/2006/relationships/hyperlink" Target="https://www.google.com/maps/place/Nasi+Bebek+Pak+Sayeki/data=!4m7!3m6!1s0x2dd7fa2a822f695b:0x929acb77de3c2dc2!8m2!3d-7.2659794!4d112.7663705!16s%2Fg%2F11byp6gg5n!19sChIJW2kvgir61y0Rwi083nfLmpI?authuser=0&amp;hl=zh-TW&amp;rclk=1" TargetMode="External"/><Relationship Id="rId795" Type="http://schemas.openxmlformats.org/officeDocument/2006/relationships/hyperlink" Target="https://www.google.com/maps/place/Park+Shanghai-+Pakuwon+City/@-7.2771449,112.8073719,17z/data=!3m1!4b1!4m6!3m5!1s0x2dd7fb708d1d495d:0xabf87debf35240ca!8m2!3d-7.2771449!4d112.8073719!16s%2Fg%2F11vbq47h_b?entry=ttu&amp;g_ep=EgoyMDI2MDYyOS4wIKXMDSoASAFQAw%3D%3D" TargetMode="External"/><Relationship Id="rId310" Type="http://schemas.openxmlformats.org/officeDocument/2006/relationships/hyperlink" Target="https://www.google.com/maps/place/Sentra+Wisata+Kuliner+Siola/data=!4m7!3m6!1s0x2dd7f9dfcca59d89:0x6881dc0eb4303946!8m2!3d-7.2567686!4d112.7376015!16s%2Fg%2F11hr641hgv!19sChIJiZ2lzN_51y0RRjkwtA7cgWg?authuser=0&amp;hl=zh-TW&amp;rclk=1" TargetMode="External"/><Relationship Id="rId552" Type="http://schemas.openxmlformats.org/officeDocument/2006/relationships/hyperlink" Target="https://www.google.com/maps/place/Bakso+Goyang+Lidah+Cak+Su%27in/data=!4m7!3m6!1s0x2dd7fbf255555555:0xcf38eef7d617d3bb!8m2!3d-7.288167!4d112.7201709!16s%2Fg%2F1pzs_vc9f!19sChIJVVVVVfL71y0Ru9MX1vfuOM8?authuser=0&amp;hl=zh-TW&amp;rclk=1" TargetMode="External"/><Relationship Id="rId794" Type="http://schemas.openxmlformats.org/officeDocument/2006/relationships/hyperlink" Target="https://www.google.com/maps/place/Coto+Makassar+Daeng+Kulle/@-7.255543,112.742331,17z/data=!3m1!4b1!4m6!3m5!1s0x2dd7f968f40a5e21:0x820f8c116669e9a0!8m2!3d-7.255543!4d112.742331!16s%2Fg%2F1w8g3hlr?entry=ttu&amp;g_ep=EgoyMDI2MDYyOS4wIKXMDSoASAFQAw%3D%3D" TargetMode="External"/><Relationship Id="rId551" Type="http://schemas.openxmlformats.org/officeDocument/2006/relationships/hyperlink" Target="https://www.google.com/maps/place/Kebun+Bibit+Wonorejo/data=!4m7!3m6!1s0x2dd7fa8cf321a5d3:0xa20235fc28e1ca1a!8m2!3d-7.3123075!4d112.7891727!16s%2Fg%2F11b75nr3gh!19sChIJ06Uh84z61y0RGsrhKPw1AqI?authuser=0&amp;hl=zh-TW&amp;rclk=1" TargetMode="External"/><Relationship Id="rId793" Type="http://schemas.openxmlformats.org/officeDocument/2006/relationships/hyperlink" Target="https://www.google.com/maps/place/Tahu+Tek+Pak+Nur+Villa+Kalijudan+Indah/@-7.260627,112.7771057,17z/data=!3m1!4b1!4m6!3m5!1s0x2dd7f988da1baf31:0x66266e117c303639!8m2!3d-7.260627!4d112.7771057!16s%2Fg%2F11d_8gg7hp?entry=ttu&amp;g_ep=EgoyMDI2MDYyOS4wIKXMDSoASAFQAw%3D%3D" TargetMode="External"/><Relationship Id="rId297" Type="http://schemas.openxmlformats.org/officeDocument/2006/relationships/hyperlink" Target="https://www.google.com/maps/place/Brew+and+Else+Coffee/data=!4m2!3m1!1s0x2dd7fdabd5e5f719:0x9cd496f4fdbff681?sa=X&amp;ved=1t:242&amp;ictx=111" TargetMode="External"/><Relationship Id="rId296" Type="http://schemas.openxmlformats.org/officeDocument/2006/relationships/hyperlink" Target="https://www.google.com/maps/place/Wisata+Taman+Gazebo+Bambu/data=!4m7!3m6!1s0x2dd7fa7a71c08b6b:0xcb0fdd5efeaad1b9!8m2!3d-7.2945069!4d112.8026249!16s%2Fg%2F11f0kvg8bk!19sChIJa4vAcXr61y0RudGq_l7dD8s?authuser=0&amp;hl=zh-TW&amp;rclk=1" TargetMode="External"/><Relationship Id="rId295" Type="http://schemas.openxmlformats.org/officeDocument/2006/relationships/hyperlink" Target="https://www.google.com/maps/place/Cafe+Teko+-+Menanggal/data=!4m7!3m6!1s0x2dd7fba292ae7755:0x9573375d6799d06d!8m2!3d-7.3423267!4d112.724097!16s%2Fg%2F11j7f_g4zp!19sChIJVXeukqL71y0RbdCZZ103c5U?authuser=0&amp;hl=zh-TW&amp;rclk=1" TargetMode="External"/><Relationship Id="rId294" Type="http://schemas.openxmlformats.org/officeDocument/2006/relationships/hyperlink" Target="https://www.google.com/maps/place/Pecel+%26+Rawon+Mbok+Denok+-+Tunjungan/data=!4m7!3m6!1s0x2dd7f900756d1017:0x65c6142821b4f4b9!8m2!3d-7.2596372!4d112.7392767!16s%2Fg%2F11w_lxhstj!19sChIJFxBtdQD51y0RufS0ISgUxmU?authuser=0&amp;hl=zh-TW&amp;rclk=1" TargetMode="External"/><Relationship Id="rId299" Type="http://schemas.openxmlformats.org/officeDocument/2006/relationships/hyperlink" Target="https://www.google.com/maps/place/PANGSIT+MIE+AYAM+JAKARTA+%22CAK+SUR%22/data=!4m7!3m6!1s0x2dd7fbd2b482fc57:0x9691cd0ca54fae57!8m2!3d-7.2749618!4d112.7626265!16s%2Fg%2F11c5h_nhch!19sChIJV_yCtNL71y0RV65PpQzNkZY?authuser=0&amp;hl=zh-TW&amp;rclk=1" TargetMode="External"/><Relationship Id="rId298" Type="http://schemas.openxmlformats.org/officeDocument/2006/relationships/hyperlink" Target="https://www.google.com/maps/place/Rumah+Makan+Rawon+Nguling/data=!4m7!3m6!1s0x2dd7fb9411f0620f:0x937f39a40ddde314!8m2!3d-7.291566!4d112.7339316!16s%2Fg%2F1jkz4lkp0!19sChIJD2LwEZT71y0RFOPdDaQ5f5M?authuser=0&amp;hl=zh-TW&amp;rclk=1" TargetMode="External"/><Relationship Id="rId271" Type="http://schemas.openxmlformats.org/officeDocument/2006/relationships/hyperlink" Target="https://www.google.com/maps/place/Spesial+Soto+Boyolali+%28SSb%29+Hj.+Hesti,+Cabang+Kenjeran,+Kota+Surabaya/data=!4m7!3m6!1s0x2dd7f90054223a31:0x768f113b5b6908c7!8m2!3d-7.2434796!4d112.7630824!16s%2Fg%2F11zbh0bsvk!19sChIJMToiVAD51y0RxwhpWzsRj3Y?authuser=0&amp;hl=zh-TW&amp;rclk=1" TargetMode="External"/><Relationship Id="rId270" Type="http://schemas.openxmlformats.org/officeDocument/2006/relationships/hyperlink" Target="https://www.google.com/maps/place/Nasi+Bebek+Pak+Janggut+-+PTC+Surabaya/data=!4m7!3m6!1s0x2dd7fd508c3afa09:0x2dc41e77d75b1b34!8m2!3d-7.2910512!4d112.6736914!16s%2Fg%2F11f612d5vv!19sChIJCfo6jFD91y0RNBtb13cexC0?authuser=0&amp;hl=zh-TW&amp;rclk=1" TargetMode="External"/><Relationship Id="rId269" Type="http://schemas.openxmlformats.org/officeDocument/2006/relationships/hyperlink" Target="https://www.google.com/maps/place/Warung+Nasi+Bebek+Tower+Umik+Sahar/data=!4m7!3m6!1s0x2dd7feb467d5d815:0x8c6902543b7af977!8m2!3d-7.2522686!4d112.7115343!16s%2Fg%2F11clsvsyt7!19sChIJFdjVZ7T-1y0Rd_l6O1QCaYw?authuser=0&amp;hl=zh-TW&amp;rclk=1" TargetMode="External"/><Relationship Id="rId264" Type="http://schemas.openxmlformats.org/officeDocument/2006/relationships/hyperlink" Target="https://www.google.com/maps/place/Kayanna+Restaurant/data=!4m7!3m6!1s0x2dd7fbe9e37e81b5:0xa250c4c9d19b4986!8m2!3d-7.2815035!4d112.739176!16s%2Fg%2F11gbf63r7d!19sChIJtYF-4-n71y0Rhkmb0cnEUKI?authuser=0&amp;hl=zh-TW&amp;rclk=1" TargetMode="External"/><Relationship Id="rId263" Type="http://schemas.openxmlformats.org/officeDocument/2006/relationships/hyperlink" Target="https://www.google.com/maps/place/Rumah+Makan+Nam+Cheong/data=!4m7!3m6!1s0x2dd7f940313b26cb:0x198efe56557b8262!8m2!3d-7.2490728!4d112.7382161!16s%2Fg%2F1hm5qjfmd!19sChIJyyY7MUD51y0RYoJ7VVb-jhk?authuser=0&amp;hl=zh-TW&amp;rclk=1" TargetMode="External"/><Relationship Id="rId262" Type="http://schemas.openxmlformats.org/officeDocument/2006/relationships/hyperlink" Target="https://www.google.com/maps/place/Bakso+Kepala+Sapi/data=!4m7!3m6!1s0x2dd7fa39b647f08f:0x862bc80b617de7a9!8m2!3d-7.28232!4d112.7763487!16s%2Fg%2F1hm2934lj!19sChIJj_BHtjn61y0Rqed9YQvIK4Y?authuser=0&amp;hl=zh-TW&amp;rclk=1" TargetMode="External"/><Relationship Id="rId261" Type="http://schemas.openxmlformats.org/officeDocument/2006/relationships/hyperlink" Target="https://www.google.com/maps/place/Ayam+Tulang+Lunak+Malioboro/data=!4m7!3m6!1s0x2dd7fb63d9713df7:0xa823ceb1d9d4b650!8m2!3d-7.3229757!4d112.7454674!16s%2Fg%2F11f6mphn9c!19sChIJ9z1x2WP71y0RULbU2bHOI6g?authuser=0&amp;hl=zh-TW&amp;rclk=1" TargetMode="External"/><Relationship Id="rId268" Type="http://schemas.openxmlformats.org/officeDocument/2006/relationships/hyperlink" Target="https://www.google.com/maps/place/Kapulogo+-+Soto+Ayam+Kampung/data=!4m7!3m6!1s0x2dd7fb7fd65d0e37:0x501646c40f587536!8m2!3d-7.295663!4d112.759744!16s%2Fg%2F11kqtjczrw!19sChIJNw5d1n_71y0RNnVYD8RGFlA?authuser=0&amp;hl=zh-TW&amp;rclk=1" TargetMode="External"/><Relationship Id="rId267" Type="http://schemas.openxmlformats.org/officeDocument/2006/relationships/hyperlink" Target="https://www.google.com/maps/place/Shisha+Boss+Cafe+Surabaya/data=!4m7!3m6!1s0x2dd7fb9369fada09:0x5f54f0073c2d47ca!8m2!3d-7.2790442!4d112.7373881!16s%2Fg%2F11ll_4bl0w!19sChIJCdr6aZP71y0RykctPAfwVF8?authuser=0&amp;hl=zh-TW&amp;rclk=1" TargetMode="External"/><Relationship Id="rId266" Type="http://schemas.openxmlformats.org/officeDocument/2006/relationships/hyperlink" Target="https://www.google.com/maps/place/Wisata+Batas+Kampung+Sejuk+Alami+Surabaya/data=!4m2!3m1!1s0x2dd7fdc1f4802829:0xb8822ebba714daac?sa=X&amp;ved=1t:155783&amp;ictx=111" TargetMode="External"/><Relationship Id="rId265" Type="http://schemas.openxmlformats.org/officeDocument/2006/relationships/hyperlink" Target="https://www.google.com/maps/place/Wisata+Air+Taman+Prestasi/data=!4m7!3m6!1s0x2dd7f96134b178a1:0x3ea035154009924a!8m2!3d-7.2618767!4d112.7432029!16s%2Fg%2F11f0kr9tz8!19sChIJoXixNGH51y0RSpIJQBU1oD4?authuser=0&amp;hl=zh-TW&amp;rclk=1" TargetMode="External"/><Relationship Id="rId260" Type="http://schemas.openxmlformats.org/officeDocument/2006/relationships/hyperlink" Target="https://www.google.com/maps/place/Surabaya+Kuliner/data=!4m7!3m6!1s0x2dd7fbc2a3dde06f:0x461de4242ae2f35c!8m2!3d-7.29851!4d112.7323421!16s%2Fg%2F11tcq1hc5c!19sChIJb-Ddo8L71y0RXPPiKiTkHUY?authuser=0&amp;hl=zh-TW&amp;rclk=1" TargetMode="External"/><Relationship Id="rId259" Type="http://schemas.openxmlformats.org/officeDocument/2006/relationships/hyperlink" Target="https://www.google.com/maps/place/Produsen+Mie+Basah+%26+Depot+Mie+Ayam+RATU+Cabang+Kendal+Sari/data=!4m7!3m6!1s0x2dd7fb72f66db0f3:0xea2cc8aefaaf688e!8m2!3d-7.315728!4d112.7841529!16s%2Fg%2F11q94kbqpn!19sChIJ87Bt9nL71y0Rjmiv-q7ILOo?authuser=0&amp;hl=zh-TW&amp;rclk=1" TargetMode="External"/><Relationship Id="rId258" Type="http://schemas.openxmlformats.org/officeDocument/2006/relationships/hyperlink" Target="https://www.google.com/maps/place/Pangsit+mie+ayam+Jakarta/data=!4m7!3m6!1s0x2dd7fd59dbdb9a1f:0x9ec2c41d51369a1c!8m2!3d-7.2874367!4d112.6554882!16s%2Fg%2F11n62n74n3!19sChIJH5rb21n91y0RHJo2UR3Ewp4?authuser=0&amp;hl=zh-TW&amp;rclk=1" TargetMode="External"/><Relationship Id="rId253" Type="http://schemas.openxmlformats.org/officeDocument/2006/relationships/hyperlink" Target="https://www.google.com/maps/place/Taman+Air+Mancur+Menari+Kenjeran/data=!4m7!3m6!1s0x2dd7f9c4fb73a6d3:0x3f849d545ee0ea29!8m2!3d-7.2356933!4d112.7955234!16s%2Fg%2F11cly1qhkp!19sChIJ06Zz-8T51y0RKergXlSdhD8?authuser=0&amp;hl=zh-TW&amp;rclk=1" TargetMode="External"/><Relationship Id="rId495" Type="http://schemas.openxmlformats.org/officeDocument/2006/relationships/hyperlink" Target="https://www.google.com/maps/place/Coffeetorium+Cafe+%26+Roastwork/data=!4m7!3m6!1s0x2dd7fb4d3d086167:0xd800f58b606fcb68!8m2!3d-7.3214809!4d112.7737687!16s%2Fg%2F11wg94yy_v!19sChIJZ2EIPU371y0RaMtvYIv1ANg?authuser=0&amp;hl=zh-TW&amp;rclk=1" TargetMode="External"/><Relationship Id="rId252" Type="http://schemas.openxmlformats.org/officeDocument/2006/relationships/hyperlink" Target="https://www.google.com/maps/place/Hasil+Bagus+Indonusantara/data=!4m7!3m6!1s0x2dd7f97341d886d3:0xadda959bab99eed8!8m2!3d-7.2473613!4d112.7556799!16s%2Fg%2F1pzq3l6wv!19sChIJ04bYQXP51y0R2O6Zq5uV2q0?authuser=0&amp;hl=zh-TW&amp;rclk=1" TargetMode="External"/><Relationship Id="rId494" Type="http://schemas.openxmlformats.org/officeDocument/2006/relationships/hyperlink" Target="https://www.google.com/maps/place/Depot+Soto+Banjar+Achmad+Jais/data=!4m7!3m6!1s0x2dd7f968f4382329:0x1fa090f0238b6351!8m2!3d-7.2554039!4d112.7423416!16s%2Fg%2F1hc8gf32r!19sChIJKSM49Gj51y0RUWOLI_CQoB8?authuser=0&amp;hl=zh-TW&amp;rclk=1" TargetMode="External"/><Relationship Id="rId251" Type="http://schemas.openxmlformats.org/officeDocument/2006/relationships/hyperlink" Target="https://www.google.com/maps/place/RAWON+KUNCORO/data=!4m7!3m6!1s0x2dd7fd5026206f4d:0x572cc29225791412!8m2!3d-7.3227366!4d112.7094309!16s%2Fg%2F11gh9qhkyn!19sChIJTW8gJlD91y0REhR5JZLCLFc?authuser=0&amp;hl=zh-TW&amp;rclk=1" TargetMode="External"/><Relationship Id="rId493" Type="http://schemas.openxmlformats.org/officeDocument/2006/relationships/hyperlink" Target="https://www.google.com/maps/place/Layar+Seafood+Manyar+Kertoarjo/data=!4m7!3m6!1s0x2dd7fbd2330b9919:0x9b82ea9e3b785a9a!8m2!3d-7.2794916!4d112.7665996!16s%2Fg%2F11rfcvqdl3!19sChIJGZkLM9L71y0Rmlp4O57qgps?authuser=0&amp;hl=zh-TW&amp;rclk=1" TargetMode="External"/><Relationship Id="rId250" Type="http://schemas.openxmlformats.org/officeDocument/2006/relationships/hyperlink" Target="https://www.google.com/maps/place/Nasi+Bebek+Goreng+Sayang+Anak+Cak+Yudi+%28Pusat%29/data=!4m7!3m6!1s0x2dd7f8dbcfe9f637:0x1e60d55fadcea033!8m2!3d-7.2216162!4d112.7309727!16s%2Fg%2F1hc0sg018!19sChIJN_bpz9v41y0RM6DOrV_VYB4?authuser=0&amp;hl=zh-TW&amp;rclk=1" TargetMode="External"/><Relationship Id="rId492" Type="http://schemas.openxmlformats.org/officeDocument/2006/relationships/hyperlink" Target="https://www.google.com/maps/place/WARUNG+SEAFOOD/data=!4m7!3m6!1s0x2dd7f9710889466d:0xa5c711a2cc8f434d!8m2!3d-7.2565761!4d112.7957716!16s%2Fg%2F11nfmg8fyh!19sChIJbUaJCHH51y0RTUOPzKIRx6U?authuser=0&amp;hl=zh-TW&amp;rclk=1" TargetMode="External"/><Relationship Id="rId257" Type="http://schemas.openxmlformats.org/officeDocument/2006/relationships/hyperlink" Target="https://www.google.com/maps/place/Soto+Ayam+Lamongan+Cak+Yadi/data=!4m7!3m6!1s0x2dd7fbcb45982b91:0xa8c5ac2ac127730!8m2!3d-7.2818578!4d112.7620586!16s%2Fg%2F11b6jc5g93!19sChIJkSuYRcv71y0RMHcSrMJajAo?authuser=0&amp;hl=zh-TW&amp;rclk=1" TargetMode="External"/><Relationship Id="rId499" Type="http://schemas.openxmlformats.org/officeDocument/2006/relationships/hyperlink" Target="https://www.google.com/maps/place/ETC+%28Entertainment+Town+Center%29/data=!4m7!3m6!1s0x2dd7fc868ee38c89:0xbcb1affdceae7e38!8m2!3d-7.3129219!4d112.7067429!16s%2Fg%2F11fd72c34_!19sChIJiYzjjob81y0ROH6uzv2vsbw?authuser=0&amp;hl=zh-TW&amp;rclk=1" TargetMode="External"/><Relationship Id="rId256" Type="http://schemas.openxmlformats.org/officeDocument/2006/relationships/hyperlink" Target="https://www.google.com/maps/place/BAKSO+CAK+TOHA+Cab.+Malang/data=!4m7!3m6!1s0x2dd7fb19e4c585fb:0xf462cf1dc5cf0c7c!8m2!3d-7.3127971!4d112.7561228!16s%2Fg%2F11t5wtkw_r!19sChIJ-4XF5Bn71y0RfAzPxR3PYvQ?authuser=0&amp;hl=zh-TW&amp;rclk=1" TargetMode="External"/><Relationship Id="rId498" Type="http://schemas.openxmlformats.org/officeDocument/2006/relationships/hyperlink" Target="https://www.google.com/maps/place/Taman+Surya/@-7.2600797,112.7468615,17z/data=!3m1!4b1!4m6!3m5!1s0x2dd7f92df3b563db:0x1b4e0c7350f21299!8m2!3d-7.2600797!4d112.7468615!16s%2Fg%2F11fgj63frd?entry=ttu&amp;g_ep=EgoyMDI2MDYyOS4wIKXMDSoASAFQAw%3D%3D" TargetMode="External"/><Relationship Id="rId255" Type="http://schemas.openxmlformats.org/officeDocument/2006/relationships/hyperlink" Target="https://www.google.com/maps/place/Rawon+Nguling+-+SUB+Rajawali/data=!4m7!3m6!1s0x2dd7f925db755d45:0x4670aa398685b302!8m2!3d-7.2325843!4d112.7291453!16s%2Fg%2F1hfbnyzqh!19sChIJRV112yX51y0RArOFhjmqcEY?authuser=0&amp;hl=zh-TW&amp;rclk=1" TargetMode="External"/><Relationship Id="rId497" Type="http://schemas.openxmlformats.org/officeDocument/2006/relationships/hyperlink" Target="https://www.google.com/maps/place/Soto+Banjar+Alalak+Surabaya/data=!4m7!3m6!1s0x2dd7fb42a3ea3db7:0x6c6c8ab31e57fb3c!8m2!3d-7.2775233!4d112.7527633!16s%2Fg%2F11h9h8vnhf!19sChIJtz3qo0L71y0RPPtXHrOKbGw?authuser=0&amp;hl=zh-TW&amp;rclk=1" TargetMode="External"/><Relationship Id="rId254" Type="http://schemas.openxmlformats.org/officeDocument/2006/relationships/hyperlink" Target="https://www.google.com/maps/place/Arca+Joko+Dolog/data=!4m2!3m1!1s0x2dd7f961a57a4b0d:0x7c5d77f90348e9b4?sa=X&amp;ved=1t:155783&amp;ictx=111" TargetMode="External"/><Relationship Id="rId496" Type="http://schemas.openxmlformats.org/officeDocument/2006/relationships/hyperlink" Target="https://www.google.com/maps/place/Food+Court+Pasar+Atom/data=!4m7!3m6!1s0x2dd7f916b9f87cdb:0x1c4a50704b54d551!8m2!3d-7.240779!4d112.7442568!16s%2Fg%2F11g8y12vw6!19sChIJ23z4uRb51y0RUdVUS3BQShw?authuser=0&amp;hl=zh-TW&amp;rclk=1" TargetMode="External"/><Relationship Id="rId293" Type="http://schemas.openxmlformats.org/officeDocument/2006/relationships/hyperlink" Target="https://www.google.com/maps/place/Djaman+Doeloe+Resto+%26+Bar/data=!4m7!3m6!1s0x2dd7fd4d7e7f695d:0x95a7ad65a78a1d15!8m2!3d-7.2886365!4d112.6763465!16s%2Fg%2F11fs03x7yx!19sChIJXWl_fk391y0RFR2Kp2Wtp5U?authuser=0&amp;hl=zh-TW&amp;rclk=1" TargetMode="External"/><Relationship Id="rId292" Type="http://schemas.openxmlformats.org/officeDocument/2006/relationships/hyperlink" Target="https://www.google.com/maps/place/Tous+Les+Jours+Cafe+-+Kartini+Surabaya/data=!4m7!3m6!1s0x2dd7fb00144393f5:0xad1e2318244c1495!8m2!3d-7.278275!4d112.7314453!16s%2Fg%2F11yrv05bs6!19sChIJ9ZNDFAD71y0RlRRMJBgjHq0?authuser=0&amp;hl=zh-TW&amp;rclk=1" TargetMode="External"/><Relationship Id="rId291" Type="http://schemas.openxmlformats.org/officeDocument/2006/relationships/hyperlink" Target="https://www.google.com/maps/place/Penyetan+Artomoro+Surabaya/data=!4m7!3m6!1s0x2dd7fb22808b07ff:0xc01e95964c9b46e9!8m2!3d-7.2682919!4d112.7711725!16s%2Fg%2F11xmjrx50g!19sChIJ_weLgCL71y0R6UabTJaVHsA?authuser=0&amp;hl=zh-TW&amp;rclk=1" TargetMode="External"/><Relationship Id="rId290" Type="http://schemas.openxmlformats.org/officeDocument/2006/relationships/hyperlink" Target="https://www.google.com/maps/place/Taman+Buah+Undaan/data=!4m7!3m6!1s0x2dd7f968ebee6195:0xfcccf4b68a659912!8m2!3d-7.255299!4d112.7432214!16s%2Fg%2F11g69hqw9z!19sChIJlWHu62j51y0REpllirb0zPw?authuser=0&amp;hl=zh-TW&amp;rclk=1" TargetMode="External"/><Relationship Id="rId286" Type="http://schemas.openxmlformats.org/officeDocument/2006/relationships/hyperlink" Target="https://www.google.com/maps/place/Bakso+Solo+Goyang+Lidah/data=!4m7!3m6!1s0x2dd7fa50ae1c19e3:0xe857f02e4a2418fe!8m2!3d-7.3000866!4d112.7740735!16s%2Fg%2F11cn0mfl_t!19sChIJ4xkcrlD61y0R_hgkSi7wV-g?authuser=0&amp;hl=zh-TW&amp;rclk=1" TargetMode="External"/><Relationship Id="rId285" Type="http://schemas.openxmlformats.org/officeDocument/2006/relationships/hyperlink" Target="https://www.google.com/maps/place/Sentra+Wisata+Kuliner+Bratang+Binangun/data=!4m7!3m6!1s0x2dd7fbad7223083d:0xad919c035d6d60df!8m2!3d-7.297318!4d112.760383!16s%2Fg%2F11cmxv7xqz!19sChIJPQgjcq371y0R32BtXQOcka0?authuser=0&amp;hl=zh-TW&amp;rclk=1" TargetMode="External"/><Relationship Id="rId284" Type="http://schemas.openxmlformats.org/officeDocument/2006/relationships/hyperlink" Target="https://www.google.com/maps/place/Bebek+Goreng+Mesra+Surabaya/data=!4m7!3m6!1s0x2dd7f112486f216d:0x19cef406c87619a!8m2!3d-7.2881729!4d112.8147329!16s%2Fg%2F11j11dnr6b!19sChIJbSFvSBLx1y0RmmGHbEDvnAE?authuser=0&amp;hl=zh-TW&amp;rclk=1" TargetMode="External"/><Relationship Id="rId283" Type="http://schemas.openxmlformats.org/officeDocument/2006/relationships/hyperlink" Target="https://www.google.com/maps/place/Bakso+Cak+Salam/data=!4m7!3m6!1s0x2dd7f986001053b3:0x3f8133bdf226f257!8m2!3d-7.2602468!4d112.7747509!16s%2Fg%2F11b6dcwxnl!19sChIJs1MQAIb51y0RV_Im8r0zgT8?authuser=0&amp;hl=zh-TW&amp;rclk=1" TargetMode="External"/><Relationship Id="rId289" Type="http://schemas.openxmlformats.org/officeDocument/2006/relationships/hyperlink" Target="https://www.google.com/maps/place/Bakso+Super+Pak+De/data=!4m7!3m6!1s0x2dd7fc49fd0602dd:0x79ebda6ffa967750!8m2!3d-7.2907828!4d112.6740784!16s%2Fg%2F11cn691136!19sChIJ3QIG_Un81y0RUHeW-m_a63k?authuser=0&amp;hl=zh-TW&amp;rclk=1" TargetMode="External"/><Relationship Id="rId288" Type="http://schemas.openxmlformats.org/officeDocument/2006/relationships/hyperlink" Target="https://www.google.com/maps/place/RAWON+GREGET/data=!4m7!3m6!1s0x2dd7f94ed14413b7:0x8e109580ff30928!8m2!3d-7.2404722!4d112.7487752!16s%2Fg%2F11h_bxhykm!19sChIJtxNE0U751y0RKAnzD1gJ4Qg?authuser=0&amp;hl=zh-TW&amp;rclk=1" TargetMode="External"/><Relationship Id="rId287" Type="http://schemas.openxmlformats.org/officeDocument/2006/relationships/hyperlink" Target="https://www.google.com/maps/place/Brain+Coffee+Surabaya/data=!4m2!3m1!1s0x2dd7fbe4a7ffdb87:0x8a817c8c06e14e25?sa=X&amp;ved=1t:242&amp;ictx=111" TargetMode="External"/><Relationship Id="rId282" Type="http://schemas.openxmlformats.org/officeDocument/2006/relationships/hyperlink" Target="https://www.google.com/maps/place/Sate+%22Sinar+Jaya%22/data=!4m7!3m6!1s0x2dd7fbd3954927b1:0xaab77c6433185934!8m2!3d-7.2694312!4d112.7561374!16s%2Fg%2F11cjh_xfww!19sChIJsSdJldP71y0RNFkYM2R8t6o?authuser=0&amp;hl=zh-TW&amp;rclk=1" TargetMode="External"/><Relationship Id="rId281" Type="http://schemas.openxmlformats.org/officeDocument/2006/relationships/hyperlink" Target="https://www.google.com/maps/place/Tempe+Penyet+DORES/data=!4m7!3m6!1s0x2dd7f9af2a7deb7b:0xff9e9e6e7a7063b5!8m2!3d-7.2328677!4d112.7690297!16s%2Fg%2F11g7z688qz!19sChIJe-t9Kq_51y0RtWNwem6env8?authuser=0&amp;hl=zh-TW&amp;rclk=1" TargetMode="External"/><Relationship Id="rId280" Type="http://schemas.openxmlformats.org/officeDocument/2006/relationships/hyperlink" Target="https://www.google.com/maps/place/Soto+Ayam+Kampung+Cak+Mu%27in/data=!4m7!3m6!1s0x2dd7fa4603e92ec9:0x5547093a92cc30c6!8m2!3d-7.290009!4d112.775101!16s%2Fg%2F11b6szyczd!19sChIJyS7pA0b61y0RxjDMkjoJR1U?authuser=0&amp;hl=zh-TW&amp;rclk=1" TargetMode="External"/><Relationship Id="rId275" Type="http://schemas.openxmlformats.org/officeDocument/2006/relationships/hyperlink" Target="https://www.google.com/maps/place/Warung+Nasi+Campur+Kanwa/data=!4m7!3m6!1s0x2dd7fbec44b5bd9b:0xd9078293ee7537f8!8m2!3d-7.284419!4d112.731153!16s%2Fg%2F1hm3yljx0!19sChIJm721ROz71y0R-Dd17pOCB9k?authuser=0&amp;hl=zh-TW&amp;rclk=1" TargetMode="External"/><Relationship Id="rId274" Type="http://schemas.openxmlformats.org/officeDocument/2006/relationships/hyperlink" Target="https://www.google.com/maps/place/Bakso+Pak+Djes/data=!4m7!3m6!1s0x2dd7fc1ee24f627b:0x1489110b1a4d2f12!8m2!3d-7.2728828!4d112.6944726!16s%2Fg%2F11dfj11p4d!19sChIJe2JP4h781y0REi9NGgsRiRQ?authuser=0&amp;hl=zh-TW&amp;rclk=1" TargetMode="External"/><Relationship Id="rId273" Type="http://schemas.openxmlformats.org/officeDocument/2006/relationships/hyperlink" Target="https://www.google.com/maps/place/Museum+Dr.+Soetomo/data=!4m7!3m6!1s0x2dd7f9410727e011:0x544b9a3d7ee4bfc9!8m2!3d-7.2507478!4d112.7354098!16s%2Fg%2F1hc94p_jk!19sChIJEeAnB0H51y0Ryb_kfj2aS1Q?authuser=0&amp;hl=zh-TW&amp;rclk=1" TargetMode="External"/><Relationship Id="rId272" Type="http://schemas.openxmlformats.org/officeDocument/2006/relationships/hyperlink" Target="https://www.google.com/maps/place/%E6%B3%97%E6%B0%B4%E5%8B%95%E7%89%A9%E5%9C%92/data=!4m7!3m6!1s0x2dd7fb97917c2fad:0x21b1122d5fe174cc!8m2!3d-7.2961959!4d112.7366553!16s%2Fm%2F0j51vc7!19sChIJrS98kZf71y0RzHThXy0SsSE?authuser=0&amp;hl=zh-TW&amp;rclk=1" TargetMode="External"/><Relationship Id="rId279" Type="http://schemas.openxmlformats.org/officeDocument/2006/relationships/hyperlink" Target="https://www.google.com/maps/place/Sing+Kei+Yat/data=!4m7!3m6!1s0x2dd7fd6577b5a83d:0x822d3143bfbfb7c9!8m2!3d-7.2914282!4d112.6549355!16s%2Fg%2F11s0wgmdvs!19sChIJPai1d2X91y0Rybe_v0MxLYI?authuser=0&amp;hl=zh-TW&amp;rclk=1" TargetMode="External"/><Relationship Id="rId278" Type="http://schemas.openxmlformats.org/officeDocument/2006/relationships/hyperlink" Target="https://www.google.com/maps/place/Rawon+Bu+Hadi/data=!4m7!3m6!1s0x2dd7fbf09ce60e7d:0xefe7ab8dd44375bd!8m2!3d-7.2737326!4d112.7843644!16s%2Fg%2F1hm5xs09m!19sChIJfQ7mnPD71y0RvXVD1I2r5-8?authuser=0&amp;hl=zh-TW&amp;rclk=1" TargetMode="External"/><Relationship Id="rId277" Type="http://schemas.openxmlformats.org/officeDocument/2006/relationships/hyperlink" Target="https://www.google.com/maps/place/Brew+and+Else+Coffee/data=!4m2!3m1!1s0x2dd7fdabd5e5f719:0x9cd496f4fdbff681?sa=X&amp;ved=1t:242&amp;ictx=111" TargetMode="External"/><Relationship Id="rId276" Type="http://schemas.openxmlformats.org/officeDocument/2006/relationships/hyperlink" Target="https://www.google.com/maps/place/Kalimas+Boat+Tour/data=!4m7!3m6!1s0x2dd7f9b444e7c3e7:0x3edf6db2144b5416!8m2!3d-7.2622758!4d112.743619!16s%2Fg%2F11tp6c2d8w!19sChIJ58PnRLT51y0RFlRLFLJt3z4?authuser=0&amp;hl=zh-TW&amp;rclk=1" TargetMode="External"/><Relationship Id="rId629" Type="http://schemas.openxmlformats.org/officeDocument/2006/relationships/hyperlink" Target="https://www.google.com/maps/place/Wisata+Kuliner+PELANGI+NUSANTARA/data=!4m7!3m6!1s0x2dd7fbb9e139cc13:0x6281114b11f86c56!8m2!3d-7.2709262!4d112.7352418!16s%2Fg%2F11rqs71_31!19sChIJE8w54bn71y0RVmz4EUsRgWI?authuser=0&amp;hl=zh-TW&amp;rclk=1" TargetMode="External"/><Relationship Id="rId624" Type="http://schemas.openxmlformats.org/officeDocument/2006/relationships/hyperlink" Target="https://www.google.com/maps/place/Penyetan+Cak+Mas/data=!4m7!3m6!1s0x2dd7fd1f64130947:0xe28f66938ca48d0a!8m2!3d-7.2907207!4d112.7094514!16s%2Fg%2F11t341vsby!19sChIJRwkTZB_91y0RCo2kjJNmj-I?authuser=0&amp;hl=zh-TW&amp;rclk=1" TargetMode="External"/><Relationship Id="rId623" Type="http://schemas.openxmlformats.org/officeDocument/2006/relationships/hyperlink" Target="https://www.google.com/maps/place/Cak+So+Soto+Ayam+Lamongan/data=!4m7!3m6!1s0x2dd7fc0b2c95c8b5:0x363d40842c8881f!8m2!3d-7.2885189!4d112.7118234!16s%2Fg%2F11ggr6wd17!19sChIJtciVLAv81y0RH4jIQgjUYwM?authuser=0&amp;hl=zh-TW&amp;rclk=1" TargetMode="External"/><Relationship Id="rId622" Type="http://schemas.openxmlformats.org/officeDocument/2006/relationships/hyperlink" Target="https://www.google.com/maps/place/Seafood+Choy+777+Surabaya/data=!4m7!3m6!1s0x2dd7fb001ed5edc9:0xb75f3c096b4d8d55!8m2!3d-7.2984099!4d112.759588!16s%2Fg%2F11zksnfjk_!19sChIJye3VHgD71y0RVY1Nawk8X7c?authuser=0&amp;hl=zh-TW&amp;rclk=1" TargetMode="External"/><Relationship Id="rId621" Type="http://schemas.openxmlformats.org/officeDocument/2006/relationships/hyperlink" Target="https://www.google.com/maps/place/Ikan+Bakar+Jimbaran+-+MERR/data=!4m7!3m6!1s0x2dd7fb90720c959b:0xd92194c36f0a6f16!8m2!3d-7.2962376!4d112.7821927!16s%2Fg%2F11q4089g96!19sChIJm5UMcpD71y0RFm8Kb8OUIdk?authuser=0&amp;hl=zh-TW&amp;rclk=1" TargetMode="External"/><Relationship Id="rId628" Type="http://schemas.openxmlformats.org/officeDocument/2006/relationships/hyperlink" Target="https://www.google.com/maps/place/Mangrove+Wonorejo+Ecotourism/data=!4m7!3m6!1s0x2dd7f064d69009bd:0xb47f9fdd085dae10!8m2!3d-7.3073636!4d112.8232904!16s%2Fg%2F11g9w5qv7m!19sChIJvQmQ1mTw1y0REK5dCN2ff7Q?authuser=0&amp;hl=zh-TW&amp;rclk=1" TargetMode="External"/><Relationship Id="rId627" Type="http://schemas.openxmlformats.org/officeDocument/2006/relationships/hyperlink" Target="https://www.google.com/maps/place/Bakso+Super+Daging+Asli+Pak+Jhon/data=!4m7!3m6!1s0x2dd7fbca899be2b9:0x7957f4fd46be9507!8m2!3d-7.2980104!4d112.7287321!16s%2Fg%2F11rsh0pfws!19sChIJueKbicr71y0RB5W-Rv30V3k?authuser=0&amp;hl=zh-TW&amp;rclk=1" TargetMode="External"/><Relationship Id="rId626" Type="http://schemas.openxmlformats.org/officeDocument/2006/relationships/hyperlink" Target="https://www.google.com/maps/place/Bakso+Urat+Kikil+Pak+Kumis+Solo/data=!4m7!3m6!1s0x2dd7fbe64a6a1ab5:0x3dc52c6693f69dba!8m2!3d-7.2764012!4d112.7358155!16s%2Fg%2F1hm3kvklz!19sChIJtRpqSub71y0Rup32k2YsxT0?authuser=0&amp;hl=zh-TW&amp;rclk=1" TargetMode="External"/><Relationship Id="rId625" Type="http://schemas.openxmlformats.org/officeDocument/2006/relationships/hyperlink" Target="https://www.google.com/maps/place/Soto+Ayam+Lamongan+Bu+Chamim/data=!4m7!3m6!1s0x2dd7fbf58bb81353:0x261d30e9975fc94d!8m2!3d-7.2848715!4d112.7154187!16s%2Fg%2F11bz_24xkz!19sChIJUxO4i_X71y0RTclfl-kwHSY?authuser=0&amp;hl=zh-TW&amp;rclk=1" TargetMode="External"/><Relationship Id="rId620" Type="http://schemas.openxmlformats.org/officeDocument/2006/relationships/hyperlink" Target="https://www.google.com/maps/place/Penyetan+Joss+Kendangsari/data=!4m7!3m6!1s0x2dd7fb303bb0376b:0xdab4975afa998b83!8m2!3d-7.323501!4d112.7450202!16s%2Fg%2F11r___9vw_!19sChIJazewOzD71y0Rg4uZ-lqXtNo?authuser=0&amp;hl=zh-TW&amp;rclk=1" TargetMode="External"/><Relationship Id="rId619" Type="http://schemas.openxmlformats.org/officeDocument/2006/relationships/hyperlink" Target="https://www.google.com/maps/place/Chamas+Brazilian+Churrascaria+Surabaya/data=!4m7!3m6!1s0x2dd7fdf25edf26bd:0xdaa21bae25492556!8m2!3d-7.286151!4d112.6993219!16s%2Fg%2F11gv0qclvv!19sChIJvSbfXvL91y0RViVJJa4boto?authuser=0&amp;hl=zh-TW&amp;rclk=1" TargetMode="External"/><Relationship Id="rId618" Type="http://schemas.openxmlformats.org/officeDocument/2006/relationships/hyperlink" Target="https://www.google.com/maps/place/Moengkopi+JiwARTspace/@-7.325115,112.7946265,17z/data=!3m1!4b1!4m6!3m5!1s0x2dd7faa4b7138427:0x5d3f0c82d93414dc!8m2!3d-7.325115!4d112.7946265!16s%2Fg%2F11fy4kkx22?entry=ttu&amp;g_ep=EgoyMDI2MDYyOS4wIKXMDSoASAFQAw%3D%3D" TargetMode="External"/><Relationship Id="rId613" Type="http://schemas.openxmlformats.org/officeDocument/2006/relationships/hyperlink" Target="https://www.google.com/maps/place/Bebek+Goreng+H.+Slamet+%28Asli%29+kayoon/data=!4m7!3m6!1s0x2dd7fbd91644fd1f:0xf74d4b9ff6a62c51!8m2!3d-7.2711255!4d112.7458387!16s%2Fg%2F11bxc7tjtz!19sChIJH_1EFtn71y0RUSym9p9LTfc?authuser=0&amp;hl=zh-TW&amp;rclk=1" TargetMode="External"/><Relationship Id="rId612" Type="http://schemas.openxmlformats.org/officeDocument/2006/relationships/hyperlink" Target="https://www.google.com/maps/place/Pondok+Kuliner+surabaya/data=!4m7!3m6!1s0x2dd7f9e101a55fcd:0x815783317902a354!8m2!3d-7.2554767!4d112.7172477!16s%2Fg%2F11fmc4bvnm!19sChIJzV-lAeH51y0RVKMCeTGDV4E?authuser=0&amp;hl=zh-TW&amp;rclk=1" TargetMode="External"/><Relationship Id="rId611" Type="http://schemas.openxmlformats.org/officeDocument/2006/relationships/hyperlink" Target="https://www.google.com/maps/place/Sentra+Wisata+Kuliner+Dharmahusada/data=!4m7!3m6!1s0x2dd7fa289d633cf7:0x2415d06a920e042b!8m2!3d-7.2683301!4d112.7741892!16s%2Fg%2F11c1_v2fqh!19sChIJ9zxjnSj61y0RKwQOkmrQFSQ?authuser=0&amp;hl=zh-TW&amp;rclk=1" TargetMode="External"/><Relationship Id="rId610" Type="http://schemas.openxmlformats.org/officeDocument/2006/relationships/hyperlink" Target="https://www.google.com/maps/place/Rawon+Soerabaja/data=!4m7!3m6!1s0x2dd7e533996b61e5:0x59b20df5ddd9a8f8!8m2!3d-7.3518978!4d112.7289576!16s%2Fg%2F11sqrbj4_l!19sChIJ5WFrmTPl1y0R-KjZ3fUNslk?authuser=0&amp;hl=zh-TW&amp;rclk=1" TargetMode="External"/><Relationship Id="rId617" Type="http://schemas.openxmlformats.org/officeDocument/2006/relationships/hyperlink" Target="https://www.google.com/maps/place/Kepiting+Sby/data=!4m7!3m6!1s0x2dd7ffe7f9362387:0x1653c01f7d1993aa!8m2!3d-7.2673684!4d112.680199!16s%2Fg%2F11h371zt7q!19sChIJhyM2-ef_1y0RqpMZfR_AUxY?authuser=0&amp;hl=zh-TW&amp;rclk=1" TargetMode="External"/><Relationship Id="rId616" Type="http://schemas.openxmlformats.org/officeDocument/2006/relationships/hyperlink" Target="https://www.google.com/maps/place/Kopi+Rehat/data=!4m7!3m6!1s0x2dd7fb11fbc671d9:0x1ff925f2b0e31b16!8m2!3d-7.3379189!4d112.7140611!16s%2Fg%2F11g4hqn0rz!19sChIJ2XHG-xH71y0RFhvjsPIl-R8?authuser=0&amp;hl=zh-TW&amp;rclk=1" TargetMode="External"/><Relationship Id="rId615" Type="http://schemas.openxmlformats.org/officeDocument/2006/relationships/hyperlink" Target="https://www.google.com/maps/place/Taman+Grand+Harvest+-+Harvestory+Park/data=!4m7!3m6!1s0x2dd7fd9449f741c7:0x76a8e1c7a7219f1!8m2!3d-7.3311981!4d112.6945173!16s%2Fg%2F11k9mzjnyg!19sChIJx0H3SZT91y0R8RlyehyOagc?authuser=0&amp;hl=zh-TW&amp;rclk=1" TargetMode="External"/><Relationship Id="rId614" Type="http://schemas.openxmlformats.org/officeDocument/2006/relationships/hyperlink" Target="https://www.google.com/maps/place/Taman+Kalisari/data=!4m7!3m6!1s0x2dd7fa0299a5ebdf:0x376acdb218a8a968!8m2!3d-7.2643734!4d112.8003615!16s%2Fg%2F11gbldlfkz!19sChIJ3-ulmQL61y0RaKmoGLLNajc?authuser=0&amp;hl=zh-TW&amp;rclk=1" TargetMode="External"/><Relationship Id="rId409" Type="http://schemas.openxmlformats.org/officeDocument/2006/relationships/hyperlink" Target="https://www.google.com/maps/place/SuperSate+%28%E8%B6%85%E7%B4%9A%E6%B2%99%E7%88%B9%EF%BC%89/data=!4m7!3m6!1s0x3442a9af256b6099:0x86963c9a7dd19a68!8m2!3d25.0650803!4d121.5016177!16s%2Fg%2F11rhpqdwxs!19sChIJmWBrJa-pQjQRaJrRfZo8loY?authuser=0&amp;hl=zh-TW&amp;rclk=1" TargetMode="External"/><Relationship Id="rId404" Type="http://schemas.openxmlformats.org/officeDocument/2006/relationships/hyperlink" Target="https://www.google.com/maps/place/Bakso+Solo+Cak+Lar/data=!4m7!3m6!1s0x2dd7fb2fc37c2347:0xceff8fd909aadfcf!8m2!3d-7.2736371!4d112.7247313!16s%2Fg%2F11qndmv56b!19sChIJRyN8wy_71y0Rz9-qCdmP_84?authuser=0&amp;hl=zh-TW&amp;rclk=1" TargetMode="External"/><Relationship Id="rId646" Type="http://schemas.openxmlformats.org/officeDocument/2006/relationships/hyperlink" Target="https://www.google.com/maps/place/The+Oak+Tree+Surabaya/data=!4m7!3m6!1s0x2dd7fd6a7d2bb3e3:0xd35448dd1d7417b!8m2!3d-7.2808387!4d112.6968022!16s%2Fg%2F11h70s73n0!19sChIJ47MrfWr91y0Re0HX0Y1ENQ0?authuser=0&amp;hl=zh-TW&amp;rclk=1" TargetMode="External"/><Relationship Id="rId403" Type="http://schemas.openxmlformats.org/officeDocument/2006/relationships/hyperlink" Target="https://www.google.com/maps/place/Wisata+Perahu+Kalimas+Rute+Monkasel+-+Siola/data=!4m7!3m6!1s0x2dd7fb7d5d9c785d:0x3f9326572701e5e6!8m2!3d-7.2623406!4d112.7457631!16s%2Fg%2F11fqqbfjhx!19sChIJXXicXX371y0R5uUBJ1cmkz8?authuser=0&amp;hl=zh-TW&amp;rclk=1" TargetMode="External"/><Relationship Id="rId645" Type="http://schemas.openxmlformats.org/officeDocument/2006/relationships/hyperlink" Target="https://www.google.com/maps/place/Mie+Ayam+Nusantara/data=!4m7!3m6!1s0x2dd7fbf750f760f9:0xe811991f6d43e4f9!8m2!3d-7.278608!4d112.72055!16s%2Fg%2F11ggr7d6jd!19sChIJ-WD3UPf71y0R-eRDbR-ZEeg?authuser=0&amp;hl=zh-TW&amp;rclk=1" TargetMode="External"/><Relationship Id="rId402" Type="http://schemas.openxmlformats.org/officeDocument/2006/relationships/hyperlink" Target="https://www.google.com/maps/place/Idaman+Chinese+and+Indonesian+Restaurant/data=!4m7!3m6!1s0x2dd7fa3398cd8fb1:0xec22972ed782e4e5!8m2!3d-7.2790823!4d112.765846!16s%2Fg%2F1hc2rbz3w!19sChIJsY_NmDP61y0R5eSC1y6XIuw?authuser=0&amp;hl=zh-TW&amp;rclk=1" TargetMode="External"/><Relationship Id="rId644" Type="http://schemas.openxmlformats.org/officeDocument/2006/relationships/hyperlink" Target="https://www.google.com/maps/place/Museum+Teknoform+-+Universitas+DINAMIKA/@-7.311438,112.7822063,17z/data=!3m1!4b1!4m6!3m5!1s0x2dd7faf3b896b79f:0xe1549ebf8ec62096!8m2!3d-7.311438!4d112.7822063!16s%2Fg%2F11gf0z7l24?entry=ttu&amp;g_ep=EgoyMDI2MDYyOS4wIKXMDSoASAFQAw%3D%3D" TargetMode="External"/><Relationship Id="rId401" Type="http://schemas.openxmlformats.org/officeDocument/2006/relationships/hyperlink" Target="https://www.google.com/maps/place/Sate+Solo+Pak+Dono/data=!4m7!3m6!1s0x2dd7f979848654d1:0x584fc63e2d97db1b!8m2!3d-7.2582853!4d112.7576459!16s%2Fg%2F11b6b3ms90!19sChIJ0VSGhHn51y0RG9uXLT7GT1g?authuser=0&amp;hl=zh-TW&amp;rclk=1" TargetMode="External"/><Relationship Id="rId643" Type="http://schemas.openxmlformats.org/officeDocument/2006/relationships/hyperlink" Target="https://www.google.com/maps/place/Pecel+Ponorogo+Hj.+Boeyatin/data=!4m7!3m6!1s0x2dd7f964806dce51:0x645d48df3234c09d!8m2!3d-7.2615223!4d112.7476246!16s%2Fg%2F11bx43h2wn!19sChIJUc5tgGT51y0RncA0Mt9IXWQ?authuser=0&amp;hl=zh-TW&amp;rclk=1" TargetMode="External"/><Relationship Id="rId408" Type="http://schemas.openxmlformats.org/officeDocument/2006/relationships/hyperlink" Target="https://www.google.com/maps/place/Taman+Teratai/data=!4m2!3m1!1s0x0:0x12e494e676c51fbe?sa=X&amp;ved=1t:2428&amp;ictx=111" TargetMode="External"/><Relationship Id="rId407" Type="http://schemas.openxmlformats.org/officeDocument/2006/relationships/hyperlink" Target="https://www.google.com/maps/place/Sate+Kambing+Cak+Lam/data=!4m7!3m6!1s0x2dd7e532b25e956d:0x810850545206840!8m2!3d-7.3459696!4d112.7756144!16s%2Fg%2F11b7f2pn8_!19sChIJbZVesjLl1y0RQGggRQWFEAg?authuser=0&amp;hl=zh-TW&amp;rclk=1" TargetMode="External"/><Relationship Id="rId649" Type="http://schemas.openxmlformats.org/officeDocument/2006/relationships/hyperlink" Target="https://www.google.com/maps/place/Kikil+Sapi+Bronggalan/data=!4m7!3m6!1s0x2dd7f982c1f695c3:0xb2f3a96d31761210!8m2!3d-7.2570304!4d112.7647202!16s%2Fg%2F11c606wj2l!19sChIJw5X2wYL51y0REBJ2MW2p87I?authuser=0&amp;hl=zh-TW&amp;rclk=1" TargetMode="External"/><Relationship Id="rId406" Type="http://schemas.openxmlformats.org/officeDocument/2006/relationships/hyperlink" Target="https://www.google.com/maps/place/Haewoo+One+Stop+Korean+Food+-+Dharmahusada+Indah+1/data=!4m7!3m6!1s0x2dd7fbe265170721:0xf93887d070261e8e!8m2!3d-7.2725651!4d112.773655!16s%2Fg%2F11p61px1gw!19sChIJIQcXZeL71y0Rjh4mcNCHOPk?authuser=0&amp;hl=zh-TW&amp;rclk=1" TargetMode="External"/><Relationship Id="rId648" Type="http://schemas.openxmlformats.org/officeDocument/2006/relationships/hyperlink" Target="https://www.google.com/maps/place/Bebek+Sinjay+-+Ahmad+Yani/@-7.3280587,112.732034,17z/data=!3m1!4b1!4m6!3m5!1s0x2dd7fb420b99e4ab:0x637dfa5d00c79d21!8m2!3d-7.3280587!4d112.732034!16s%2Fg%2F11b6lgw2js?entry=ttu&amp;g_ep=EgoyMDI2MDYyOS4wIKXMDSoASAFQAw%3D%3D" TargetMode="External"/><Relationship Id="rId405" Type="http://schemas.openxmlformats.org/officeDocument/2006/relationships/hyperlink" Target="https://www.google.com/maps/place/Zybrick+Coffee+%26+Cantina/data=!4m7!3m6!1s0x2dd7fb48ef8437a5:0xbada1c81486b5bfc!8m2!3d-7.3397275!4d112.7351597!16s%2Fg%2F11c48sdmb0!19sChIJpTeE70j71y0R_FtrSIEc2ro?authuser=0&amp;hl=zh-TW&amp;rclk=1" TargetMode="External"/><Relationship Id="rId647" Type="http://schemas.openxmlformats.org/officeDocument/2006/relationships/hyperlink" Target="https://www.google.com/maps/place/Warung+Mbak+Nar/data=!4m7!3m6!1s0x2dd7fabece71bdbd:0xf3fe9711f20c151e!8m2!3d-7.3294662!4d112.7906868!16s%2Fg%2F11bxc7kbr1!19sChIJvb1xzr761y0RHhUM8hGX_vM?authuser=0&amp;hl=zh-TW&amp;rclk=1" TargetMode="External"/><Relationship Id="rId400" Type="http://schemas.openxmlformats.org/officeDocument/2006/relationships/hyperlink" Target="https://www.google.com/maps/place/Soto+Ayam+Surabaya+Cak+Nur/data=!4m7!3m6!1s0x2dd7fbe108adf1db:0x7c1a00928aed3586!8m2!3d-7.2693164!4d112.7351645!16s%2Fg%2F1hm2z104d!19sChIJ2_GtCOH71y0RhjXtipIAGnw?authuser=0&amp;hl=zh-TW&amp;rclk=1" TargetMode="External"/><Relationship Id="rId642" Type="http://schemas.openxmlformats.org/officeDocument/2006/relationships/hyperlink" Target="https://www.google.com/maps/place/Bakso+Tengkleng+Suroboyo+%28BTS%29/data=!4m7!3m6!1s0x2dd7fbf9df49d9f7:0x18f84fb1ee127b0!8m2!3d-7.2798577!4d112.7188516!16s%2Fg%2F11hd9br1pr!19sChIJ99lJ3_n71y0RsCfhHvuEjwE?authuser=0&amp;hl=zh-TW&amp;rclk=1" TargetMode="External"/><Relationship Id="rId641" Type="http://schemas.openxmlformats.org/officeDocument/2006/relationships/hyperlink" Target="https://www.google.com/maps/place/Bebek+Donal+KedungDoro/data=!4m7!3m6!1s0x2dd7f92c976dc78b:0x3a7e611345e1d2c1!8m2!3d-7.3162677!4d112.7048635!16s%2Fg%2F11qzpn279w!19sChIJi8dtlyz51y0RwdLhRRNhfjo?authuser=0&amp;hl=zh-TW&amp;rclk=1" TargetMode="External"/><Relationship Id="rId640" Type="http://schemas.openxmlformats.org/officeDocument/2006/relationships/hyperlink" Target="https://www.google.com/maps/place/Bakso+Solo+%26+Mie+Ayam+Bakso+Goyang+Lidah+Pak+Tris/data=!4m7!3m6!1s0x2dd7fbbdce9d44cb:0xb48d35303f9cad9d!8m2!3d-7.2926469!4d112.7417471!16s%2Fg%2F1hm44yjdq!19sChIJy0Sdzr371y0Rna2cPzA1jbQ?authuser=0&amp;hl=zh-TW&amp;rclk=1" TargetMode="External"/><Relationship Id="rId635" Type="http://schemas.openxmlformats.org/officeDocument/2006/relationships/hyperlink" Target="https://www.google.com/maps/place/Kopi+Nako+Daur+Baur+-+Surabaya/data=!4m7!3m6!1s0x2dd7fb1a57a7c373:0x158af67d017ebdef!8m2!3d-7.2755699!4d112.7460441!16s%2Fg%2F11l_0drb_w!19sChIJc8OnVxr71y0R771-AX32ihU?authuser=0&amp;hl=zh-TW&amp;rclk=1" TargetMode="External"/><Relationship Id="rId634" Type="http://schemas.openxmlformats.org/officeDocument/2006/relationships/hyperlink" Target="https://www.google.com/maps/place/Warung+Prasmanan+Shafira/data=!4m7!3m6!1s0x2dd7fbd02cb28525:0xa0fb6203e75de12a!8m2!3d-7.2743434!4d112.7527633!16s%2Fg%2F11bwf7_t8n!19sChIJJYWyLND71y0RKuFd5wNi-6A?authuser=0&amp;hl=zh-TW&amp;rclk=1" TargetMode="External"/><Relationship Id="rId633" Type="http://schemas.openxmlformats.org/officeDocument/2006/relationships/hyperlink" Target="https://www.google.com/maps/place/Aroma+Coto+Gagak+Cabang+Surabaya/data=!4m7!3m6!1s0x2dd7fbea2908ec09:0x6a69d715c45fa515!8m2!3d-7.2919495!4d112.7243631!16s%2Fg%2F11stgftkvw!19sChIJCewIKer71y0RFaVfxBXXaWo?authuser=0&amp;hl=zh-TW&amp;rclk=1" TargetMode="External"/><Relationship Id="rId632" Type="http://schemas.openxmlformats.org/officeDocument/2006/relationships/hyperlink" Target="https://www.google.com/maps/place/Foodcourt+Urip+Sumoharjo/data=!4m7!3m6!1s0x2dd7fbdd1cc165e9:0xdd353d00a826c0e8!8m2!3d-7.2747433!4d112.7415447!16s%2Fg%2F11bvt1ndfb!19sChIJ6WXBHN371y0R6MAmqAA9Nd0?authuser=0&amp;hl=zh-TW&amp;rclk=1" TargetMode="External"/><Relationship Id="rId639" Type="http://schemas.openxmlformats.org/officeDocument/2006/relationships/hyperlink" Target="https://www.google.com/maps/place/Waduk+Kedurus/data=!4m7!3m6!1s0x2dd7fd9aa00c4289:0xf8cd6c653c149bea!8m2!3d-7.3222072!4d112.7038626!16s%2Fg%2F11j01h5b_y!19sChIJiUIMoJr91y0R6psUPGVszfg?authuser=0&amp;hl=zh-TW&amp;rclk=1" TargetMode="External"/><Relationship Id="rId638" Type="http://schemas.openxmlformats.org/officeDocument/2006/relationships/hyperlink" Target="https://www.google.com/maps/place/Coffee+Toffee+Apsari+Grahadi/data=!4m7!3m6!1s0x2dd7fa2fc1a83ad5:0x1af37aad0f30d0ba!8m2!3d-7.2638516!4d112.7433775!16s%2Fg%2F1hc1snx8k!19sChIJ1TqowS_61y0RutAwD6168xo?authuser=0&amp;hl=zh-TW&amp;rclk=1" TargetMode="External"/><Relationship Id="rId637" Type="http://schemas.openxmlformats.org/officeDocument/2006/relationships/hyperlink" Target="https://www.google.com/maps/place/Zangrandi+Ice+Cream+-+Yos+Sudarso/data=!4m7!3m6!1s0x2dd7f963c5e023b5:0x1c6d9f1e4bb8fbbb!8m2!3d-7.2634139!4d112.7461219!16s%2Fg%2F1hc15fzln!19sChIJtSPgxWP51y0Ru_u4Sx6fbRw?authuser=0&amp;hl=zh-TW&amp;rclk=1" TargetMode="External"/><Relationship Id="rId636" Type="http://schemas.openxmlformats.org/officeDocument/2006/relationships/hyperlink" Target="https://www.google.com/maps/place/Wisata+Kuliner+Malam+Surabaya/data=!4m7!3m6!1s0x2dd7fe7e4af91e69:0x8cbf07926f00c7e3!8m2!3d-7.268225!4d112.6652151!16s%2Fg%2F11dxkw4zbm!19sChIJaR75Sn7-1y0R48cAb5IHv4w?authuser=0&amp;hl=zh-TW&amp;rclk=1" TargetMode="External"/><Relationship Id="rId631" Type="http://schemas.openxmlformats.org/officeDocument/2006/relationships/hyperlink" Target="https://www.google.com/maps/place/Soto+Ayam+Kedung+Doro+Cak+Nasim/data=!4m7!3m6!1s0x2dd7f95c81befc25:0x56ba4956b80933c1!8m2!3d-7.259535!4d112.7328812!16s%2Fg%2F11hbr44bsf!19sChIJJfy-gVz51y0RwTMJuFZJulY?authuser=0&amp;hl=zh-TW&amp;rclk=1" TargetMode="External"/><Relationship Id="rId630" Type="http://schemas.openxmlformats.org/officeDocument/2006/relationships/hyperlink" Target="https://www.google.com/maps/place/Sentra+Kuliner+RMI/data=!4m7!3m6!1s0x2dd7fbb0dca5f7c1:0xed69f649c1f79788!8m2!3d-7.295064!4d112.7612661!16s%2Fg%2F11bwfl4z6n!19sChIJwfel3LD71y0RiJf3wUn2ae0?authuser=0&amp;hl=zh-TW&amp;rclk=1" TargetMode="External"/><Relationship Id="rId609" Type="http://schemas.openxmlformats.org/officeDocument/2006/relationships/hyperlink" Target="https://www.google.com/maps/place/Soto+Ayam+H.+Khosim/data=!4m7!3m6!1s0x2dd7fbce25762b93:0xba35712275ee608b!8m2!3d-7.2768032!4d112.7547234!16s%2Fg%2F11b6fkd76r!19sChIJkyt2Jc771y0Ri2DudSJxNbo?authuser=0&amp;hl=zh-TW&amp;rclk=1" TargetMode="External"/><Relationship Id="rId608" Type="http://schemas.openxmlformats.org/officeDocument/2006/relationships/hyperlink" Target="https://www.google.com/maps/place/Sentra+Wisata+Kuliner+Lidah+Wetan/data=!4m7!3m6!1s0x2dd7fd9f163b5ea9:0x6863da8594b7f2f2!8m2!3d-7.3073849!4d112.6656085!16s%2Fg%2F11v0694svv!19sChIJqV47Fp_91y0R8vK3lIXaY2g?authuser=0&amp;hl=zh-TW&amp;rclk=1" TargetMode="External"/><Relationship Id="rId607" Type="http://schemas.openxmlformats.org/officeDocument/2006/relationships/hyperlink" Target="https://www.google.com/maps/place/New+Pelabuhan+Resto+Seafood+%26+Chinese+Food+Sukomanunggal/data=!4m7!3m6!1s0x2dd7fdb4acb25cf7:0x823314725ab3a4f3!8m2!3d-7.2693994!4d112.6944568!16s%2Fg%2F11ryhmty44!19sChIJ91yyrLT91y0R86SzWnIUM4I?authuser=0&amp;hl=zh-TW&amp;rclk=1" TargetMode="External"/><Relationship Id="rId602" Type="http://schemas.openxmlformats.org/officeDocument/2006/relationships/hyperlink" Target="https://www.google.com/maps/place/Arumanis+Restaurant/@-7.2714753,112.7406384,17z/data=!3m1!4b1!4m6!3m5!1s0x2dd7fbde78bbd497:0x855e861ef7d59ea6!8m2!3d-7.2714753!4d112.7406384!16s%2Fg%2F1tg841mt?entry=ttu&amp;g_ep=EgoyMDI2MDYyOS4wIKXMDSoASAFQAw%3D%3D" TargetMode="External"/><Relationship Id="rId601" Type="http://schemas.openxmlformats.org/officeDocument/2006/relationships/hyperlink" Target="https://www.google.com/maps/place/Pecel+Bu+Kus/data=!4m7!3m6!1s0x2dd7fbaba1ae07fb:0xa9afb3a0018ad1b5!8m2!3d-7.3048615!4d112.7592702!16s%2Fg%2F1hc0zq6bh!19sChIJ-weuoav71y0RtdGKAaCzr6k?authuser=0&amp;hl=zh-TW&amp;rclk=1" TargetMode="External"/><Relationship Id="rId600" Type="http://schemas.openxmlformats.org/officeDocument/2006/relationships/hyperlink" Target="https://www.google.com/maps/place/Warung+Kuliner+Hijau+%28food+Court%29/data=!4m7!3m6!1s0x2dd7f976a3d876d7:0x6ef8def676495a36!8m2!3d-7.265323!4d112.7270665!16s%2Fg%2F11j5hsybn5!19sChIJ13bYo3b51y0RNlpJdvbe-G4?authuser=0&amp;hl=zh-TW&amp;rclk=1" TargetMode="External"/><Relationship Id="rId606" Type="http://schemas.openxmlformats.org/officeDocument/2006/relationships/hyperlink" Target="https://www.google.com/maps/place/Soto+Ayam+Lamongan+Cak+Tono/data=!4m7!3m6!1s0x2dd7fb0d08bf9911:0xf7d5bf39a933ce63!8m2!3d-7.2785677!4d112.758943!16s%2Fg%2F11g4jnccfr!19sChIJEZm_CA371y0RY84zqTm_1fc?authuser=0&amp;hl=zh-TW&amp;rclk=1" TargetMode="External"/><Relationship Id="rId605" Type="http://schemas.openxmlformats.org/officeDocument/2006/relationships/hyperlink" Target="http://google.com/maps/place/BONCAFE+RAYA+GUBENG/@-7.2768622,112.7581685,17z/data=!4m6!3m5!1s0x2dd7fbc8566bd81d:0xf74bed2af3c20537!8m2!3d-7.2718687!4d112.7483661!16s%2Fg%2F1thm5yn7?entry=ttu&amp;g_ep=EgoyMDI2MDYyOS4wIKXMDSoASAFQAw%3D%3D" TargetMode="External"/><Relationship Id="rId604" Type="http://schemas.openxmlformats.org/officeDocument/2006/relationships/hyperlink" Target="https://www.google.com/maps/place/Bakso+Balungan+Cak+Nur/data=!4m7!3m6!1s0x2dd7fd12ed97d45d:0x6c516da805f779e!8m2!3d-7.307765!4d112.67602!16s%2Fg%2F11fp8fmr_2!19sChIJXdSX7RL91y0RnndfgNoWxQY?authuser=0&amp;hl=zh-TW&amp;rclk=1" TargetMode="External"/><Relationship Id="rId603" Type="http://schemas.openxmlformats.org/officeDocument/2006/relationships/hyperlink" Target="https://www.google.com/maps/place/MADANI+SOCIETY+Coffee+Surabaya/@-7.2768622,112.7581685,17z/data=!3m1!4b1!4m6!3m5!1s0x2dd7fb08a3848f9f:0x8bcb87d577eef5df!8m2!3d-7.2768622!4d112.7581685!16s%2Fg%2F11p0zppj5c?entry=ttu&amp;g_ep=EgoyMDI2MDYyOS4wIKXMDSoASAFQAw%3D%3D" TargetMode="External"/><Relationship Id="rId228" Type="http://schemas.openxmlformats.org/officeDocument/2006/relationships/hyperlink" Target="https://www.google.com/maps/place/Taman+Lanjut+Usia/@-7.2609451,112.7408107,15z/data=!4m10!1m2!2m1!1sTaman+Lansia!3m6!1s0x2dd7fbd9f676d85f:0x94fc8c5663157ed7!8m2!3d-7.271015!4d112.7500365!15sCgxUYW1hbiBMYW5zaWFaDiIMdGFtYW4gbGFuc2lhkgEEcGFya5oBJENoZERTVWhOTUc5blMwVkpRMEZuU1VScU0xQmZNbmQzUlJBQuABAPoBBAgAEDo!16s%2Fg%2F11bxf4987r?entry=ttu&amp;g_ep=EgoyMDI2MDYyOS4wIKXMDSoASAFQAw%3D%3D" TargetMode="External"/><Relationship Id="rId227" Type="http://schemas.openxmlformats.org/officeDocument/2006/relationships/hyperlink" Target="https://www.google.com/maps/place/Bakso+%26+Mie+Ayam+Solo+Pak+Jo/data=!4m7!3m6!1s0x2dd7fc8044aa5b25:0x3895ea1a1c3e8fe9!8m2!3d-7.31227!4d112.7122539!16s%2Fg%2F11c47_00wc!19sChIJJVuqRID81y0R6Y8-HBrqlTg?authuser=0&amp;hl=zh-TW&amp;rclk=1" TargetMode="External"/><Relationship Id="rId469" Type="http://schemas.openxmlformats.org/officeDocument/2006/relationships/hyperlink" Target="https://www.google.com/maps/place/Food+Legacy/data=!4m7!3m6!1s0x2dd7f9df045e2c6f:0x4482f925bf5b1510!8m2!3d-7.2478838!4d112.7795224!16s%2Fg%2F11fl3yjmym!19sChIJbyxeBN_51y0REBVbvyX5gkQ?authuser=0&amp;hl=zh-TW&amp;rclk=1" TargetMode="External"/><Relationship Id="rId226" Type="http://schemas.openxmlformats.org/officeDocument/2006/relationships/hyperlink" Target="https://www.google.com/maps/place/Taman+Tanjung+Sadari/data=!4m7!3m6!1s0x2dd7f929eee02333:0xa22b3b2ba476adc2!8m2!3d-7.2285243!4d112.7221888!16s%2Fg%2F11c6rtr54v!19sChIJMyPg7in51y0Rwq12pCs7K6I?authuser=0&amp;hl=zh-TW&amp;rclk=1" TargetMode="External"/><Relationship Id="rId468" Type="http://schemas.openxmlformats.org/officeDocument/2006/relationships/hyperlink" Target="https://www.google.com/maps/place/Museum+Nahdlatul+Ulama/data=!4m2!3m1!1s0x2dd7fb508223f375:0x33ca3810ad3ad698?sa=X&amp;ved=1t:155783&amp;ictx=111" TargetMode="External"/><Relationship Id="rId225" Type="http://schemas.openxmlformats.org/officeDocument/2006/relationships/hyperlink" Target="https://www.google.com/maps/place/Soto+Daging+Cak+Mat+Ploso+Baru/data=!4m7!3m6!1s0x2dd7f985bd779347:0x39eb939363f50f43!8m2!3d-7.2585129!4d112.7731858!16s%2Fg%2F1hm4kf9b6!19sChIJR5N3vYX51y0RQw_1Y5OT6zk?authuser=0&amp;hl=zh-TW&amp;rclk=1" TargetMode="External"/><Relationship Id="rId467" Type="http://schemas.openxmlformats.org/officeDocument/2006/relationships/hyperlink" Target="https://www.google.com/maps/place/Taman+Ekspresi+Dan+Perpustakaan/data=!4m7!3m6!1s0x2dd7f966192051db:0x73421d48f52c1f0f!8m2!3d-7.2573072!4d112.7437199!16s%2Fg%2F11bwh9_1gl!19sChIJ21EgGWb51y0RDx8s9UgdQnM?authuser=0&amp;hl=zh-TW&amp;rclk=1" TargetMode="External"/><Relationship Id="rId229" Type="http://schemas.openxmlformats.org/officeDocument/2006/relationships/hyperlink" Target="https://www.google.com/maps/place/Taman+Paliatif/data=!4m7!3m6!1s0x2dd7f9706463fa91:0xee85832b33ee4e5d!8m2!3d-7.255478!4d112.7535054!16s%2Fg%2F11b6f1sghg!19sChIJkfpjZHD51y0RXU7uMyuDhe4?authuser=0&amp;hl=zh-TW&amp;rclk=1" TargetMode="External"/><Relationship Id="rId220" Type="http://schemas.openxmlformats.org/officeDocument/2006/relationships/hyperlink" Target="https://www.google.com/maps/place/D%27Jawa+Cafe+%26+Resto/data=!4m7!3m6!1s0x2dd7fbda43e1a45d:0xd268e2b815c31ba7!8m2!3d-7.2733607!4d112.7491388!16s%2Fg%2F11f1h44n3y!19sChIJXaThQ9r71y0RpxvDFbjiaNI?authuser=0&amp;hl=zh-TW&amp;rclk=1" TargetMode="External"/><Relationship Id="rId462" Type="http://schemas.openxmlformats.org/officeDocument/2006/relationships/hyperlink" Target="https://www.google.com/maps/place/Depot+Gang+Djangkrik/data=!4m7!3m6!1s0x2dd7fc0caa5ea0cd:0xaec6f5048ddc71ae!8m2!3d-7.2886942!4d112.7091512!16s%2Fg%2F1hc2mnvt0!19sChIJzaBeqgz81y0RrnHcjQT1xq4?authuser=0&amp;hl=zh-TW&amp;rclk=1" TargetMode="External"/><Relationship Id="rId461" Type="http://schemas.openxmlformats.org/officeDocument/2006/relationships/hyperlink" Target="https://www.google.com/maps/place/Kollabora/data=!4m2!3m1!1s0x2dd7fd25a3422c69:0xea8ba33292973f52?sa=X&amp;ved=1t:242&amp;ictx=111" TargetMode="External"/><Relationship Id="rId460" Type="http://schemas.openxmlformats.org/officeDocument/2006/relationships/hyperlink" Target="https://www.google.com/maps/place/Penyetan+Cak+Di/data=!4m7!3m6!1s0x2dd7fb47ebb98511:0x8d7a0b67c370d770!8m2!3d-7.3365032!4d112.7378343!16s%2Fg%2F11bxfjxf4m!19sChIJEYW560f71y0RcNdww2cLeo0?authuser=0&amp;hl=zh-TW&amp;rclk=1" TargetMode="External"/><Relationship Id="rId224" Type="http://schemas.openxmlformats.org/officeDocument/2006/relationships/hyperlink" Target="https://www.google.com/maps/place/Sate+dan+Gulai+Kambing+Pucan/data=!4m7!3m6!1s0x2dd7fbc976595f7d:0xaf755bce95df4e6f!8m2!3d-7.2837264!4d112.7559216!16s%2Fg%2F11cjj0q3w7!19sChIJfV9Zdsn71y0Rb07flc5bda8?authuser=0&amp;hl=zh-TW&amp;rclk=1" TargetMode="External"/><Relationship Id="rId466" Type="http://schemas.openxmlformats.org/officeDocument/2006/relationships/hyperlink" Target="https://www.google.com/maps/place/Fountain+Park/data=!4m7!3m6!1s0x2dd7f9622dbbd3c1:0xa20bc44e6774704c!8m2!3d-7.2644593!4d112.7456248!16s%2Fg%2F11f11psh4h!19sChIJwdO7LWL51y0RTHB0Z07EC6I?authuser=0&amp;hl=zh-TW&amp;rclk=1" TargetMode="External"/><Relationship Id="rId223" Type="http://schemas.openxmlformats.org/officeDocument/2006/relationships/hyperlink" Target="https://www.google.com/maps/place/Jukuta+Seafood/data=!4m7!3m6!1s0x2dd7fc7a7ab981bf:0xeb60ce8289eba8fb!8m2!3d-7.299577!4d112.706895!16s%2Fg%2F1tnmc1d_!19sChIJv4G5enr81y0R-6jriYLOYOs?authuser=0&amp;hl=zh-TW&amp;rclk=1" TargetMode="External"/><Relationship Id="rId465" Type="http://schemas.openxmlformats.org/officeDocument/2006/relationships/hyperlink" Target="https://www.google.com/maps/place/Warung+Taburai+-+Surabaya+Mulyosari/data=!4m7!3m6!1s0x2dd7fb7a0ff110bb:0x9ac9e3a2845f194!8m2!3d-7.264601!4d112.7959913!16s%2Fg%2F11xh1vb515!19sChIJuxDxD3r71y0RlPFFKDqerAk?authuser=0&amp;hl=zh-TW&amp;rclk=1" TargetMode="External"/><Relationship Id="rId222" Type="http://schemas.openxmlformats.org/officeDocument/2006/relationships/hyperlink" Target="https://www.google.com/maps/place/Gatherinc+Bistro+and+Bakery/data=!4m7!3m6!1s0x2dd7fdde2294f1d7:0xffd1d27532e74b26!8m2!3d-7.2781638!4d112.6454116!16s%2Fg%2F11c52d6cl4!19sChIJ1_GUIt791y0RJkvnMnXS0f8?authuser=0&amp;hl=zh-TW&amp;rclk=1" TargetMode="External"/><Relationship Id="rId464" Type="http://schemas.openxmlformats.org/officeDocument/2006/relationships/hyperlink" Target="https://www.google.com/maps/place/Mbok+Sil+Penyetan+Sambel+Tempong/data=!4m7!3m6!1s0x2dd7fb878a886bb1:0xe9224547a852f773!8m2!3d-7.277629!4d112.755673!16s%2Fg%2F11shm5ntc9!19sChIJsWuIiof71y0Rc_dSqEdFIuk?authuser=0&amp;hl=zh-TW&amp;rclk=1" TargetMode="External"/><Relationship Id="rId221" Type="http://schemas.openxmlformats.org/officeDocument/2006/relationships/hyperlink" Target="https://www.google.com/maps/place/Omah+Seafood+-+Merr/data=!4m7!3m6!1s0x2dd7fb936c91f569:0x73abbec9911e4f37!8m2!3d-7.3254837!4d112.7812799!16s%2Fg%2F11rtf15gb0!19sChIJafWRbJP71y0RN08ekcm-q3M?authuser=0&amp;hl=zh-TW&amp;rclk=1" TargetMode="External"/><Relationship Id="rId463" Type="http://schemas.openxmlformats.org/officeDocument/2006/relationships/hyperlink" Target="https://www.google.com/maps/place/Seafood+Bintang+Lima/data=!4m7!3m6!1s0x2dd7fb004c043809:0x70bf611954911492!8m2!3d-7.2887909!4d112.7555506!16s%2Fg%2F11m5vr_zwt!19sChIJCTgETAD71y0RkhSRVBlhv3A?authuser=0&amp;hl=zh-TW&amp;rclk=1" TargetMode="External"/><Relationship Id="rId217" Type="http://schemas.openxmlformats.org/officeDocument/2006/relationships/hyperlink" Target="https://www.google.com/maps/place/Hurricane%27s+Grill+Surabaya/data=!4m7!3m6!1s0x2dd7fb5158aac773:0x5d86638bd24508ee!8m2!3d-7.2850537!4d112.7376747!16s%2Fg%2F11l5bmwd5s!19sChIJc8eqWFH71y0R7ghF0otjhl0?authuser=0&amp;hl=zh-TW&amp;rclk=1" TargetMode="External"/><Relationship Id="rId459" Type="http://schemas.openxmlformats.org/officeDocument/2006/relationships/hyperlink" Target="https://www.google.com/maps/place/PEMPEK+SILAMPARI,+SURABAYA/data=!4m7!3m6!1s0x2dd7fd9b658f0597:0xcd58dd1c782a253e!8m2!3d-7.3183761!4d112.715751!16s%2Fg%2F11xm_mpc5d!19sChIJlwWPZZv91y0RPiUqeBzdWM0?authuser=0&amp;hl=zh-TW&amp;rclk=1" TargetMode="External"/><Relationship Id="rId216" Type="http://schemas.openxmlformats.org/officeDocument/2006/relationships/hyperlink" Target="https://www.google.com/maps/place/Bakso+Super+Do%27a+Ibu/data=!4m7!3m6!1s0x2dd7fb991e826fcf:0x7a51528ea48e3672!8m2!3d-7.3009369!4d112.7358409!16s%2Fg%2F11cmc9pf8p!19sChIJz2-CHpn71y0RcjaOpI5SUXo?authuser=0&amp;hl=zh-TW&amp;rclk=1" TargetMode="External"/><Relationship Id="rId458" Type="http://schemas.openxmlformats.org/officeDocument/2006/relationships/hyperlink" Target="https://www.google.com/maps/place/WARUNG+RAWON+48+-+BU+TIN/data=!4m7!3m6!1s0x2dd7fbcbf381e607:0xa4e5a13e795f1dd5!8m2!3d-7.281273!4d112.7582204!16s%2Fg%2F11cn9n1sjm!19sChIJB-aB88v71y0R1R1feT6h5aQ?authuser=0&amp;hl=zh-TW&amp;rclk=1" TargetMode="External"/><Relationship Id="rId215" Type="http://schemas.openxmlformats.org/officeDocument/2006/relationships/hyperlink" Target="https://www.google.com/maps/place/SWK+Klampis+Ngasem/data=!4m7!3m6!1s0x2dd7fa472d362b93:0x5fe0b4429f152ee9!8m2!3d-7.2870201!4d112.7805159!16s%2Fg%2F11f1jxmpn9!19sChIJkys2LUf61y0R6S4Vn0K04F8?authuser=0&amp;hl=zh-TW&amp;rclk=1" TargetMode="External"/><Relationship Id="rId457" Type="http://schemas.openxmlformats.org/officeDocument/2006/relationships/hyperlink" Target="https://www.google.com/maps/place/Pangsit+Mie+Ayam+Tuban+Ronggolawe/data=!4m7!3m6!1s0x2dd7fda5ca27ee8f:0x48517eee9258f43c!8m2!3d-7.3056625!4d112.6529933!16s%2Fg%2F11b67lb_m5!19sChIJj-4nyqX91y0RPPRYku5-UUg?authuser=0&amp;hl=zh-TW&amp;rclk=1" TargetMode="External"/><Relationship Id="rId699" Type="http://schemas.openxmlformats.org/officeDocument/2006/relationships/hyperlink" Target="https://www.google.com/maps/place/Siola+Surabaya+Museum/data=!4m7!3m6!1s0x2dd7f942c75df75b:0xc57e15b6db89588b!8m2!3d-7.2562963!4d112.7375696!16s%2Fg%2F1pzsyxbxv!19sChIJW_ddx0L51y0Ri1iJ27YVfsU?authuser=0&amp;hl=zh-TW&amp;rclk=1" TargetMode="External"/><Relationship Id="rId214" Type="http://schemas.openxmlformats.org/officeDocument/2006/relationships/hyperlink" Target="https://www.google.com/maps/place/THE+KOFFEE+Surabaya/data=!4m7!3m6!1s0x2dd7f9015a4b2f35:0x10237f083be2688d!8m2!3d-7.2569375!4d112.7365341!16s%2Fg%2F11n0rvjcpk!19sChIJNS9LWgH51y0RjWjiOwh_IxA?authuser=0&amp;hl=zh-TW&amp;rclk=1" TargetMode="External"/><Relationship Id="rId456" Type="http://schemas.openxmlformats.org/officeDocument/2006/relationships/hyperlink" Target="https://www.google.com/maps/place/Bakso+Chukul/data=!4m7!3m6!1s0x2dd7fb1d3aa72665:0xf8f476910d17e63b!8m2!3d-7.2679211!4d112.7373578!16s%2Fg%2F11q35_8s88!19sChIJZSanOh371y0RO-YXDZF29Pg?authuser=0&amp;hl=zh-TW&amp;rclk=1" TargetMode="External"/><Relationship Id="rId698" Type="http://schemas.openxmlformats.org/officeDocument/2006/relationships/hyperlink" Target="https://www.google.com/maps/place/Kuliner+Alun+Alun+Surabaya/data=!4m7!3m6!1s0x2dd7f9004c8e1105:0x75500091c21f9cba!8m2!3d-7.2635958!4d112.7450731!16s%2Fg%2F11x900dmv9!19sChIJBRGOTAD51y0RupwfwpEAUHU?authuser=0&amp;hl=zh-TW&amp;rclk=1" TargetMode="External"/><Relationship Id="rId219" Type="http://schemas.openxmlformats.org/officeDocument/2006/relationships/hyperlink" Target="https://www.google.com/maps/place/Sate+Pak+Mat+Jami%27i/data=!4m7!3m6!1s0x2dd7fb2584cf7ad5:0x667b5fd9a408567e!8m2!3d-7.2750425!4d112.7622081!16s%2Fg%2F11f624k8v8!19sChIJ1XrPhCX71y0RflYIpNlfe2Y?authuser=0&amp;hl=zh-TW&amp;rclk=1" TargetMode="External"/><Relationship Id="rId218" Type="http://schemas.openxmlformats.org/officeDocument/2006/relationships/hyperlink" Target="https://www.google.com/maps/place/Soto+Ayam+Cak+Di/data=!4m7!3m6!1s0x2dd7fbe989c15a31:0x6f373f52b4b9da0e!8m2!3d-7.2831142!4d112.7375446!16s%2Fg%2F1pzr7x_3t!19sChIJMVrBien71y0RDtq5tFI_N28?authuser=0&amp;hl=zh-TW&amp;rclk=1" TargetMode="External"/><Relationship Id="rId451" Type="http://schemas.openxmlformats.org/officeDocument/2006/relationships/hyperlink" Target="https://www.google.com/maps/place/Depot+Mie+Pangsit+Sejahtera/data=!4m7!3m6!1s0x2dd7fb1e0e697d1f:0x5f82d4d108dbf641!8m2!3d-7.3205511!4d112.7610212!16s%2Fg%2F11c3tqbc4p!19sChIJH31pDh771y0RQfbbCNHUgl8?authuser=0&amp;hl=zh-TW&amp;rclk=1" TargetMode="External"/><Relationship Id="rId693" Type="http://schemas.openxmlformats.org/officeDocument/2006/relationships/hyperlink" Target="https://www.google.com/maps/place/Warung+Barokasih/data=!4m7!3m6!1s0x2dd7fbd12ce07321:0x9f385f8430e6dcfd!8m2!3d-7.2714676!4d112.7547717!16s%2Fg%2F11g6bl2nps!19sChIJIXPgLNH71y0R_dzmMIRfOJ8?authuser=0&amp;hl=zh-TW&amp;rclk=1" TargetMode="External"/><Relationship Id="rId450" Type="http://schemas.openxmlformats.org/officeDocument/2006/relationships/hyperlink" Target="https://www.google.com/maps/place/Museum+TNI+AL+Loka+Jala+Crana/data=!4m7!3m6!1s0x2dd7f92a55555555:0x26519de6b6dac08!8m2!3d-7.227185!4d112.718997!16s%2Fg%2F1pzq39nbs!19sChIJVVVVVSr51y0RCKxta94ZZQI?authuser=0&amp;hl=zh-TW&amp;rclk=1" TargetMode="External"/><Relationship Id="rId692" Type="http://schemas.openxmlformats.org/officeDocument/2006/relationships/hyperlink" Target="https://www.google.com/maps/place/Blockbuster+Museum+Surabaya/@-7.2477541,112.7795727,17z/data=!3m1!4b1!4m6!3m5!1s0x2dd7f92a3fda62c3:0x571a8893dca24a3c!8m2!3d-7.2477541!4d112.7795727!16s%2Fg%2F11fkst4ldn?entry=ttu&amp;g_ep=EgoyMDI2MDYyOS4wIKXMDSoASAFQAw%3D%3D" TargetMode="External"/><Relationship Id="rId691" Type="http://schemas.openxmlformats.org/officeDocument/2006/relationships/hyperlink" Target="https://www.google.com/maps/place/PAPER+CUP+COFFEE+DHARMAHUSADA/@-7.2789659,112.772689,17z/data=!3m1!4b1!4m6!3m5!1s0x2dd7fb5838558ecf:0x9bbea0a05dd87c3d!8m2!3d-7.2789659!4d112.772689!16s%2Fg%2F11m_48khbp?entry=ttu&amp;g_ep=EgoyMDI2MDYyOS4wIKXMDSoASAFQAw%3D%3D" TargetMode="External"/><Relationship Id="rId690" Type="http://schemas.openxmlformats.org/officeDocument/2006/relationships/hyperlink" Target="https://www.google.com/maps/place/Pangsit+Mie+Ayam+Limo+Raya+Surabaya/data=!4m7!3m6!1s0x2dd7fb08293e42bd:0x649565c82964079d!8m2!3d-7.2762785!4d112.7525941!16s%2Fg%2F11qh2q8gz6!19sChIJvUI-KQj71y0RnQdkKchllWQ?authuser=0&amp;hl=zh-TW&amp;rclk=1" TargetMode="External"/><Relationship Id="rId213" Type="http://schemas.openxmlformats.org/officeDocument/2006/relationships/hyperlink" Target="https://www.google.com/maps/place/Depo+Bebek/data=!4m7!3m6!1s0x2dd7fe7a2071ac0f:0xa651eee75ba6957c!8m2!3d-7.2668155!4d112.6563306!16s%2Fg%2F11btvgbk2k!19sChIJD6xxIHr-1y0RfJWmW-fuUaY?authuser=0&amp;hl=zh-TW&amp;rclk=1" TargetMode="External"/><Relationship Id="rId455" Type="http://schemas.openxmlformats.org/officeDocument/2006/relationships/hyperlink" Target="https://www.google.com/maps/place/Aucafe+Specialty+Coffee+-+Manyar+Kertoarjo+3/data=!4m7!3m6!1s0x2dd7fb63ca20ea05:0xf9ea0b7af3fbd529!8m2!3d-7.2804783!4d112.7647157!16s%2Fg%2F11j9dbfplj!19sChIJBeogymP71y0RKdX783oL6vk?authuser=0&amp;hl=zh-TW&amp;rclk=1" TargetMode="External"/><Relationship Id="rId697" Type="http://schemas.openxmlformats.org/officeDocument/2006/relationships/hyperlink" Target="https://www.google.com/maps/place/Taman+Kayoon/data=!4m7!3m6!1s0x2dd7fbdbf7f34015:0x940ca252e68f57e9!8m2!3d-7.2724756!4d112.7450944!16s%2Fg%2F11g9qllsk3!19sChIJFUDz99v71y0R6VeP5lKiDJQ?authuser=0&amp;hl=zh-TW&amp;rclk=1" TargetMode="External"/><Relationship Id="rId212" Type="http://schemas.openxmlformats.org/officeDocument/2006/relationships/hyperlink" Target="https://www.google.com/maps/place/JAVAROMA+at+Sentral+Tunjungan+Surabaya/@-7.2609451,112.7408107,17z/data=!3m1!4b1!4m6!3m5!1s0x2dd7f9cca5b6c2ad:0xce6324806a337674!8m2!3d-7.2609451!4d112.7408107!16s%2Fg%2F11x0wth42d?entry=ttu&amp;g_ep=EgoyMDI2MDYyOS4wIKXMDSoASAFQAw%3D%3D" TargetMode="External"/><Relationship Id="rId454" Type="http://schemas.openxmlformats.org/officeDocument/2006/relationships/hyperlink" Target="https://www.google.com/maps/place/Depot+Penyetan+Cak+Herry/data=!4m7!3m6!1s0x2dd7fa4a54f63e67:0x1ddb3ee5883988be!8m2!3d-7.2887861!4d112.768027!16s%2Fg%2F11dfh35y2d!19sChIJZz72VEr61y0Rvog5iOU-2x0?authuser=0&amp;hl=zh-TW&amp;rclk=1" TargetMode="External"/><Relationship Id="rId696" Type="http://schemas.openxmlformats.org/officeDocument/2006/relationships/hyperlink" Target="https://www.google.com/maps/place/Taman+Kayoon/data=!4m7!3m6!1s0x2dd7fbdbf7f34015:0x940ca252e68f57e9!8m2!3d-7.2724756!4d112.7450944!16s%2Fg%2F11g9qllsk3!19sChIJFUDz99v71y0R6VeP5lKiDJQ?authuser=0&amp;hl=zh-TW&amp;rclk=1" TargetMode="External"/><Relationship Id="rId211" Type="http://schemas.openxmlformats.org/officeDocument/2006/relationships/hyperlink" Target="https://www.google.com/maps/place/Taman+Cahaya/@-7.2409734,112.6250084,17z/data=!3m1!4b1!4m6!3m5!1s0x2dd7fe28cc63c03f:0xe28aedf5db925d48!8m2!3d-7.2409734!4d112.6250084!16s%2Fg%2F11b6s_wfdf?entry=ttu&amp;g_ep=EgoyMDI2MDYyOS4wIKXMDSoASAFQAw%3D%3D" TargetMode="External"/><Relationship Id="rId453" Type="http://schemas.openxmlformats.org/officeDocument/2006/relationships/hyperlink" Target="https://www.google.com/maps/place/Breeze+Bean+Coffee/data=!4m7!3m6!1s0x2dd7fb9a222e9453:0x24f17a14fac10598!8m2!3d-7.2773!4d112.739528!16s%2Fg%2F11pcprqr26!19sChIJU5QuIpr71y0RmAXB-hR68SQ?authuser=0&amp;hl=zh-TW&amp;rclk=1" TargetMode="External"/><Relationship Id="rId695" Type="http://schemas.openxmlformats.org/officeDocument/2006/relationships/hyperlink" Target="https://www.google.com/maps/place/Soto+Ayam+Cak+Pardi/data=!4m7!3m6!1s0x2dd7f95d92030169:0xed9e68a07d4563e2!8m2!3d-7.2605688!4d112.7382972!16s%2Fg%2F11b6b421l5!19sChIJaQEDkl351y0R4mNFfaBonu0?authuser=0&amp;hl=zh-TW&amp;rclk=1" TargetMode="External"/><Relationship Id="rId210" Type="http://schemas.openxmlformats.org/officeDocument/2006/relationships/hyperlink" Target="https://www.google.com/maps/place/Common+Grounds+-+Graha+Famili/data=!4m7!3m6!1s0x2dd7fdbaf4f73723:0xb98bf12db65bc119!8m2!3d-7.2914316!4d112.6856682!16s%2Fg%2F11q30p4qgc!19sChIJIzf39Lr91y0RGcFbti3xi7k?authuser=0&amp;hl=zh-TW&amp;rclk=1" TargetMode="External"/><Relationship Id="rId452" Type="http://schemas.openxmlformats.org/officeDocument/2006/relationships/hyperlink" Target="https://www.google.com/maps/place/Rawon+Kimlek/data=!4m7!3m6!1s0x2dd7fb40299a9131:0x5391ee13f01bd3fa!8m2!3d-7.3287592!4d112.7402674!16s%2Fg%2F11clsz4rft!19sChIJMZGaKUD71y0R-tMb8BPukVM?authuser=0&amp;hl=zh-TW&amp;rclk=1" TargetMode="External"/><Relationship Id="rId694" Type="http://schemas.openxmlformats.org/officeDocument/2006/relationships/hyperlink" Target="https://www.google.com/maps/place/Sate+Klopo+Patua/data=!4m7!3m6!1s0x2dd7f94fe0f8d865:0x4633c9a5acd4fa4b!8m2!3d-7.2575729!4d112.7256849!16s%2Fg%2F1hm3mpgb6!19sChIJZdj44E_51y0RS_rUrKXJM0Y?authuser=0&amp;hl=zh-TW&amp;rclk=1" TargetMode="External"/><Relationship Id="rId491" Type="http://schemas.openxmlformats.org/officeDocument/2006/relationships/hyperlink" Target="https://www.google.com/maps/place/Bakso+Barokah+cabang+CAK+TOPO+pulo/data=!4m7!3m6!1s0x2dd7fb82a1642da7:0x1f9eb8f3b2bb93cc!8m2!3d-7.3077402!4d112.725849!16s%2Fg%2F11gf4nbp1h!19sChIJpy1koYL71y0RzJO7svO4nh8?authuser=0&amp;hl=zh-TW&amp;rclk=1" TargetMode="External"/><Relationship Id="rId490" Type="http://schemas.openxmlformats.org/officeDocument/2006/relationships/hyperlink" Target="https://www.google.com/maps/place/Wisata+Kuliner+Jajar+Tunggal+Surabaya/data=!4m7!3m6!1s0x2dd7fc8b73ebe583:0xebfbce1eacc9db20!8m2!3d-7.3138735!4d112.7006293!16s%2Fg%2F11bx4bcq6z!19sChIJg-Xrc4v81y0RINvJrB7O--s?authuser=0&amp;hl=zh-TW&amp;rclk=1" TargetMode="External"/><Relationship Id="rId249" Type="http://schemas.openxmlformats.org/officeDocument/2006/relationships/hyperlink" Target="https://www.google.com/maps/place/Binh+Binh+-+Araya/data=!4m7!3m6!1s0x2dd7fb00790c1143:0xe89019d7172425d2!8m2!3d-7.3020643!4d112.7853666!16s%2Fg%2F11wwdp8382!19sChIJQxEMeQD71y0R0iUkF9cZkOg?authuser=0&amp;hl=zh-TW&amp;rclk=1" TargetMode="External"/><Relationship Id="rId248" Type="http://schemas.openxmlformats.org/officeDocument/2006/relationships/hyperlink" Target="https://www.google.com/maps/place/Bakso+Cak+Nur+1/data=!4m7!3m6!1s0x2dd7fbb3651e40c5:0x4f300ddab9d52927!8m2!3d-7.291864!4d112.7616669!16s%2Fg%2F11c2p0d6vf!19sChIJxUAeZbP71y0RJynVudoNME8?authuser=0&amp;hl=zh-TW&amp;rclk=1" TargetMode="External"/><Relationship Id="rId247" Type="http://schemas.openxmlformats.org/officeDocument/2006/relationships/hyperlink" Target="https://www.google.com/maps/place/Taman+Harmoni+Keputih/data=!4m7!3m6!1s0x2dd7fa7a177ebfbd:0x94c826f638ea1d55!8m2!3d-7.2952211!4d112.8035603!16s%2Fg%2F11cjj1kf5k!19sChIJvb9-F3r61y0RVR3qOPYmyJQ?authuser=0&amp;hl=zh-TW&amp;rclk=1" TargetMode="External"/><Relationship Id="rId489" Type="http://schemas.openxmlformats.org/officeDocument/2006/relationships/hyperlink" Target="https://www.google.com/maps/place/De%27Oasis+Cafe+Eatery/data=!4m7!3m6!1s0x2dd7f92375ba161d:0xf18309d2c115d2f6!8m2!3d-7.2629966!4d112.7645719!16s%2Fg%2F11v9z7qjgz!19sChIJHRa6dSP51y0R9tIVwdIJg_E?authuser=0&amp;hl=zh-TW&amp;rclk=1" TargetMode="External"/><Relationship Id="rId242" Type="http://schemas.openxmlformats.org/officeDocument/2006/relationships/hyperlink" Target="https://www.google.com/maps/place/Bebek+Kayu+Tangan/data=!4m7!3m6!1s0x2dd7fbafbe8e3dc5:0x531fd9dfaa965132!8m2!3d-7.298061!4d112.7510558!16s%2Fg%2F1hc636h9x!19sChIJxT2Ovq_71y0RMlGWqt_ZH1M?authuser=0&amp;hl=zh-TW&amp;rclk=1" TargetMode="External"/><Relationship Id="rId484" Type="http://schemas.openxmlformats.org/officeDocument/2006/relationships/hyperlink" Target="https://www.google.com/maps/place/Soto+Banjar+Pak+Kumis/data=!4m7!3m6!1s0x2dd7fbcf2dbef5b3:0xe26d767bdebc46c8!8m2!3d-7.288827!4d112.752195!16s%2Fg%2F11b6s19srs!19sChIJs_W-Lc_71y0RyEa83nt2beI?authuser=0&amp;hl=zh-TW&amp;rclk=1" TargetMode="External"/><Relationship Id="rId241" Type="http://schemas.openxmlformats.org/officeDocument/2006/relationships/hyperlink" Target="https://www.google.com/maps/place/Sea+Monsters+Seafood+Restaurant/data=!4m7!3m6!1s0x2dd7fbda5958b31b:0x43e1ce8d5fb58a1b!8m2!3d-7.2896333!4d112.7423838!16s%2Fg%2F11c3129153!19sChIJG7NYWdr71y0RG4q1X43O4UM?authuser=0&amp;hl=zh-TW&amp;rclk=1" TargetMode="External"/><Relationship Id="rId483" Type="http://schemas.openxmlformats.org/officeDocument/2006/relationships/hyperlink" Target="https://www.google.com/maps/place/Taman+Husada+Graha+Famili'/data=!4m2!3m1!1s0x2dd7fc5c69efebf7:0xcd9c0fd37e2fee07?sa=X&amp;ved=1t:155783&amp;ictx=111" TargetMode="External"/><Relationship Id="rId240" Type="http://schemas.openxmlformats.org/officeDocument/2006/relationships/hyperlink" Target="https://www.google.com/maps/place/Mie+Restu+Bang+Karman/data=!4m7!3m6!1s0x2dd7fbc9a89cc40b:0x1f90418c0a9a7f65!8m2!3d-7.2841903!4d112.7580239!16s%2Fg%2F1pzx7_b07!19sChIJC8ScqMn71y0RZX-aCoxBkB8?authuser=0&amp;hl=zh-TW&amp;rclk=1" TargetMode="External"/><Relationship Id="rId482" Type="http://schemas.openxmlformats.org/officeDocument/2006/relationships/hyperlink" Target="https://www.google.com/maps/place/Warung+75+Nasi+Bebek+Bu+Nur/data=!4m7!3m6!1s0x2dd7fba4d1bb674f:0x64d56a624745c712!8m2!3d-7.2973269!4d112.7473791!16s%2Fg%2F11b6bw1fm4!19sChIJT2e70aT71y0REsdFR2Jq1WQ?authuser=0&amp;hl=zh-TW&amp;rclk=1" TargetMode="External"/><Relationship Id="rId481" Type="http://schemas.openxmlformats.org/officeDocument/2006/relationships/hyperlink" Target="https://www.google.com/maps/place/Fifteenth+Cafe+by+Mark+Design/data=!4m2!3m1!1s0x2dd7fb058f8b2b57:0xa650e8fa56becfa7?sa=X&amp;ved=1t:242&amp;ictx=111" TargetMode="External"/><Relationship Id="rId246" Type="http://schemas.openxmlformats.org/officeDocument/2006/relationships/hyperlink" Target="https://www.google.com/search?q=Redback+Specialty+Coffee&amp;oq=Redback+Specialty+Coffee&amp;gs_lcrp=EgZjaHJvbWUqBggAEEUYOzIGCAAQRRg7MgcIARAAGIAEMgcIAhAAGIAEMg0IAxAuGK8BGMcBGIAEMgcIBBAAGIAEMhAIBRAuGK8BGMcBGIAEGI4FMgcIBhAAGIAEMgcIBxAAGIAEMgcICBAAGIAEMgcICRAAGIAE0gEIOTE1ajBqMTWoAgiwAgHxBcN4CFdZccib&amp;sourceid=chrome&amp;ie=UTF-8" TargetMode="External"/><Relationship Id="rId488" Type="http://schemas.openxmlformats.org/officeDocument/2006/relationships/hyperlink" Target="https://www.google.com/maps/place/Coffee+Breng+And+Lounge/data=!4m7!3m6!1s0x2dd7f95ba7a6e419:0x419aab0713ad2b17!8m2!3d-7.2601566!4d112.7307898!16s%2Fg%2F11bwqq0g0r!19sChIJGeSmp1v51y0RFyutEwermkE?authuser=0&amp;hl=zh-TW&amp;rclk=1" TargetMode="External"/><Relationship Id="rId245" Type="http://schemas.openxmlformats.org/officeDocument/2006/relationships/hyperlink" Target="https://www.google.com/maps/place/Bakso+Solo+%E2%80%9CPak+Jan%E2%80%9D/data=!4m7!3m6!1s0x2dd7fbda8107b0e5:0x5b0e4443329ab342!8m2!3d-7.273907!4d112.750824!16s%2Fg%2F1hm540_w9!19sChIJ5bAHgdr71y0RQrOaMkNEDls?authuser=0&amp;hl=zh-TW&amp;rclk=1" TargetMode="External"/><Relationship Id="rId487" Type="http://schemas.openxmlformats.org/officeDocument/2006/relationships/hyperlink" Target="https://www.google.com/maps/place/Mie+Kedondong+Soerabaja+1977/data=!4m7!3m6!1s0x2dd7fbde2c902b73:0xe63b9e25a104734b!8m2!3d-7.2698359!4d112.7396575!16s%2Fg%2F1hm1pwmbk!19sChIJcyuQLN771y0RS3MEoSWeO-Y?authuser=0&amp;hl=zh-TW&amp;rclk=1" TargetMode="External"/><Relationship Id="rId244" Type="http://schemas.openxmlformats.org/officeDocument/2006/relationships/hyperlink" Target="https://www.google.com/maps/place/Soto+Ayam+Imam+Bonjol/data=!4m7!3m6!1s0x2dd7fbea2a832e17:0x1bdd165cfbcfd636!8m2!3d-7.2823602!4d112.7362857!16s%2Fg%2F1hm24v3vs!19sChIJFy6DKur71y0RNtbP-1wW3Rs?authuser=0&amp;hl=zh-TW&amp;rclk=1" TargetMode="External"/><Relationship Id="rId486" Type="http://schemas.openxmlformats.org/officeDocument/2006/relationships/hyperlink" Target="https://www.google.com/maps/place/Bebek+Sinjay+Tidar/data=!4m7!3m6!1s0x2dd7f95b5bc53595:0x217712a51cef984b!8m2!3d-7.2585255!4d112.7325961!16s%2Fg%2F11c5rv44bx!19sChIJlTXFW1v51y0RS5jvHKUSdyE?authuser=0&amp;hl=zh-TW&amp;rclk=1" TargetMode="External"/><Relationship Id="rId243" Type="http://schemas.openxmlformats.org/officeDocument/2006/relationships/hyperlink" Target="https://www.google.com/maps/place/Deckside+Lounge+%26+Cafe/data=!4m7!3m6!1s0x2dd7fb62be784477:0xb5079bc1d5e8f087!8m2!3d-7.2800527!4d112.7814105!16s%2Fg%2F11fmdc6m87!19sChIJd0R4vmL71y0Rh_Do1cGbB7U?authuser=0&amp;hl=zh-TW&amp;rclk=1" TargetMode="External"/><Relationship Id="rId485" Type="http://schemas.openxmlformats.org/officeDocument/2006/relationships/hyperlink" Target="https://www.google.com/maps/place/NELAYAN+SEAFOOD+SURABAYA/data=!4m7!3m6!1s0x2dd7fbcc5a1d1a21:0x45c838b7f0b4b6fa!8m2!3d-7.3127654!4d112.7804565!16s%2Fg%2F11npcq_gx5!19sChIJIRodWsz71y0R-ra08Lc4yEU?authuser=0&amp;hl=zh-TW&amp;rclk=1" TargetMode="External"/><Relationship Id="rId480" Type="http://schemas.openxmlformats.org/officeDocument/2006/relationships/hyperlink" Target="https://www.google.com/maps/place/Warung+Ibu+Asrep/data=!4m7!3m6!1s0x2dd7f991de2b0341:0x3f1c3c9a23d91478!8m2!3d-7.2401301!4d112.7510069!16s%2Fg%2F11m3980yym!19sChIJQQMr3pH51y0ReBTZI5o8HD8?authuser=0&amp;hl=zh-TW&amp;rclk=1" TargetMode="External"/><Relationship Id="rId239" Type="http://schemas.openxmlformats.org/officeDocument/2006/relationships/hyperlink" Target="https://www.google.com/maps/place/Taman+Kartika/data=!4m7!3m6!1s0x2dd7f9d233b15101:0xc97a9d9f4487d380!8m2!3d-7.2667913!4d112.736308!16s%2Fg%2F11sv650ds7!19sChIJAVGxM9L51y0RgNOHRJ-desk?authuser=0&amp;hl=zh-TW&amp;rclk=1" TargetMode="External"/><Relationship Id="rId238" Type="http://schemas.openxmlformats.org/officeDocument/2006/relationships/hyperlink" Target="https://www.google.com/maps/place/Taichan+Pahlawan/data=!4m7!3m6!1s0x2dd7fb4116e82433:0xdea7da309ec66c2e!8m2!3d-7.2908702!4d112.740404!16s%2Fg%2F11shdk2yb0!19sChIJMyToFkH71y0RLmzGnjDap94?authuser=0&amp;hl=zh-TW&amp;rclk=1" TargetMode="External"/><Relationship Id="rId237" Type="http://schemas.openxmlformats.org/officeDocument/2006/relationships/hyperlink" Target="https://www.google.com/maps/place/Kahyangan+Resto/@-7.2926497,112.6545787,17z/data=!3m1!4b1!4m6!3m5!1s0x2dd7fdb810b4e1d3:0x656c90b84eb5f01f!8m2!3d-7.2926497!4d112.6545787!16s%2Fg%2F1hhnf_gmx?entry=ttu&amp;g_ep=EgoyMDI2MDYyOS4wIKXMDSoASAFQAw%3D%3D" TargetMode="External"/><Relationship Id="rId479" Type="http://schemas.openxmlformats.org/officeDocument/2006/relationships/hyperlink" Target="https://www.google.com/maps/place/Sate+Ayam+Madura+Pak+Roib/data=!4m7!3m6!1s0x2dd7fbe282f285ed:0xf04494f81d997250!8m2!3d-7.2676691!4d112.7296346!16s%2Fg%2F11c6rtftd9!19sChIJ7YXyguL71y0RUHKZHfiURPA?authuser=0&amp;hl=zh-TW&amp;rclk=1" TargetMode="External"/><Relationship Id="rId236" Type="http://schemas.openxmlformats.org/officeDocument/2006/relationships/hyperlink" Target="https://www.google.com/maps/place/Soto+Ayam+Kampung+Pak+Djayus/data=!4m7!3m6!1s0x2dd7fbad301a76df:0x86808f41879d17b8!8m2!3d-7.2980583!4d112.7622917!16s%2Fg%2F1hm2zydc1!19sChIJ33YaMK371y0RuBedh0GPgIY?authuser=0&amp;hl=zh-TW&amp;rclk=1" TargetMode="External"/><Relationship Id="rId478" Type="http://schemas.openxmlformats.org/officeDocument/2006/relationships/hyperlink" Target="https://www.google.com/maps/place/Rawon+Empal+Bu+Enny/data=!4m7!3m6!1s0x2dd7f9a3e42c3d79:0xc2bf4a6a39210764!8m2!3d-7.2407334!4d112.7695376!16s%2Fg%2F11b6c2sk0r!19sChIJeT0s5KP51y0RZAchOWpKv8I?authuser=0&amp;hl=zh-TW&amp;rclk=1" TargetMode="External"/><Relationship Id="rId231" Type="http://schemas.openxmlformats.org/officeDocument/2006/relationships/hyperlink" Target="https://www.google.com/maps/place/Lontong+Balap+Asli+Pak+Gendut+%28Tidak+Buka+Cabang%29/data=!4m7!3m6!1s0x2dd7f95d917c4fdf:0x49db77b7799abc54!8m2!3d-7.2598405!4d112.7368492!16s%2Fg%2F11c3yv_b3t!19sChIJ3098kV351y0RVLyaebd320k?authuser=0&amp;hl=zh-TW&amp;rclk=1" TargetMode="External"/><Relationship Id="rId473" Type="http://schemas.openxmlformats.org/officeDocument/2006/relationships/hyperlink" Target="https://www.google.com/maps/place/Taman+Araya/data=!4m7!3m6!1s0x2dd7fa420d0a937d:0x9560d218e65fb8cd!8m2!3d-7.2908996!4d112.786073!16s%2Fg%2F11g9jyrh06!19sChIJfZMKDUL61y0Rzbhf5hjSYJU?authuser=0&amp;hl=zh-TW&amp;rclk=1" TargetMode="External"/><Relationship Id="rId230" Type="http://schemas.openxmlformats.org/officeDocument/2006/relationships/hyperlink" Target="https://www.google.com/maps/place/Chicken+Noodle+Jakarta+SIOLA/data=!4m7!3m6!1s0x2dd7f942a4b62aa1:0x1100286e5bade0ac!8m2!3d-7.2569464!4d112.7383488!16s%2Fg%2F11bzpnvyx1!19sChIJoSq2pEL51y0RrOCtW24oABE?authuser=0&amp;hl=zh-TW&amp;rclk=1" TargetMode="External"/><Relationship Id="rId472" Type="http://schemas.openxmlformats.org/officeDocument/2006/relationships/hyperlink" Target="https://www.google.com/maps/place/Penyetan+Watu+Uleg/data=!4m7!3m6!1s0x2dd7fb36625e83a5:0x1ed0d3f296f559e7!8m2!3d-7.2775095!4d112.7656871!16s%2Fg%2F11tn8gl589!19sChIJpYNeYjb71y0R51n1lvLT0B4?authuser=0&amp;hl=zh-TW&amp;rclk=1" TargetMode="External"/><Relationship Id="rId471" Type="http://schemas.openxmlformats.org/officeDocument/2006/relationships/hyperlink" Target="https://www.google.com/maps/place/Kopilaborasi/data=!4m7!3m6!1s0x2dd7fba920d2eaa1:0xde008d964e51feae!8m2!3d-7.2893849!4d112.7573433!16s%2Fg%2F11qycc3jz_!19sChIJoerSIKn71y0Rrv5RTpaNAN4?authuser=0&amp;hl=zh-TW&amp;rclk=1" TargetMode="External"/><Relationship Id="rId470" Type="http://schemas.openxmlformats.org/officeDocument/2006/relationships/hyperlink" Target="https://www.google.com/maps/place/Warung+Bu+Mar+%28Ibuk+Marsiati%29/data=!4m7!3m6!1s0x2dd7fa40224c325d:0x40798b7569130629!8m2!3d-7.2861537!4d112.7861373!16s%2Fg%2F11d_w7svq7!19sChIJXTJMIkD61y0RKQYTaXWLeUA?authuser=0&amp;hl=zh-TW&amp;rclk=1" TargetMode="External"/><Relationship Id="rId235" Type="http://schemas.openxmlformats.org/officeDocument/2006/relationships/hyperlink" Target="https://www.google.com/maps/place/Bebek+Carok+-+Surabaya/@-7.2948767,112.762648,17z/data=!3m1!4b1!4m6!3m5!1s0x2e789ff5020f1ad7:0x7116370b5e11cfc7!8m2!3d-7.2948767!4d112.762648!16s%2Fg%2F11twkjxqpx?entry=ttu&amp;g_ep=EgoyMDI2MDYyOS4wIKXMDSoASAFQAw%3D%3D" TargetMode="External"/><Relationship Id="rId477" Type="http://schemas.openxmlformats.org/officeDocument/2006/relationships/hyperlink" Target="https://www.google.com/maps/place/Soto+Otot+Jimerto/data=!4m7!3m6!1s0x2dd7f9650a60d449:0xb5e71c241bf1444!8m2!3d-7.2579295!4d112.7459538!16s%2Fg%2F1pzr7xp93!19sChIJSdRgCmX51y0RRBS_QcJxXgs?authuser=0&amp;hl=zh-TW&amp;rclk=1" TargetMode="External"/><Relationship Id="rId234" Type="http://schemas.openxmlformats.org/officeDocument/2006/relationships/hyperlink" Target="https://www.google.com/maps/place/Bakwan+Prasmanan+Trunojoyo/data=!4m7!3m6!1s0x2dd7f958294d72f3:0xb6f0be23dbf48dc0!8m2!3d-7.2658331!4d112.7273346!16s%2Fg%2F11g8g1cw8d!19sChIJ83JNKVj51y0RwI302yO-8LY?authuser=0&amp;hl=zh-TW&amp;rclk=1" TargetMode="External"/><Relationship Id="rId476" Type="http://schemas.openxmlformats.org/officeDocument/2006/relationships/hyperlink" Target="https://www.google.com/maps/place/Rawon+Mbak+Pad/data=!4m7!3m6!1s0x2dd7fbcef8af717d:0x76f5ca981c3dff65!8m2!3d-7.2789121!4d112.7543596!16s%2Fg%2F11b7yps3f2!19sChIJfXGv-M771y0RZf89HJjK9XY?authuser=0&amp;hl=zh-TW&amp;rclk=1" TargetMode="External"/><Relationship Id="rId233" Type="http://schemas.openxmlformats.org/officeDocument/2006/relationships/hyperlink" Target="https://www.google.com/maps/place/BOBER+cafe+%26+ruang+komunitas/data=!4m7!3m6!1s0x2dd7fb148d0d5523:0x58e784062584bac5!8m2!3d-7.3236547!4d112.741669!16s%2Fg%2F11gh3bmk8p!19sChIJI1UNjRT71y0RxbqEJQaE51g?authuser=0&amp;hl=zh-TW&amp;rclk=1" TargetMode="External"/><Relationship Id="rId475" Type="http://schemas.openxmlformats.org/officeDocument/2006/relationships/hyperlink" Target="https://www.google.com/maps/place/Taman+Buah/data=!4m7!3m6!1s0x2dd7fa1daed3496f:0x56f16ff0753bd4db!8m2!3d-7.2662139!4d112.795281!16s%2Fg%2F11cjhbpr36!19sChIJb0nTrh361y0R29Q7dfBv8VY?authuser=0&amp;hl=zh-TW&amp;rclk=1" TargetMode="External"/><Relationship Id="rId232" Type="http://schemas.openxmlformats.org/officeDocument/2006/relationships/hyperlink" Target="https://www.google.com/maps/place/Grandfather+Coffeeshop/data=!4m7!3m6!1s0x2dd7f9798f58c959:0x7b3d395d91372f73!8m2!3d-7.2579476!4d112.7573536!16s%2Fg%2F11ckrhlylv!19sChIJWclYj3n51y0Rcy83kV05PXs?authuser=0&amp;hl=zh-TW&amp;rclk=1" TargetMode="External"/><Relationship Id="rId474" Type="http://schemas.openxmlformats.org/officeDocument/2006/relationships/hyperlink" Target="https://www.google.com/maps/place/Unesa+Lake/data=!4m7!3m6!1s0x2dd7fc51bf64abdb:0x455426ee1e347d5f!8m2!3d-7.3014893!4d112.6749246!16s%2Fg%2F11c60jpp5v!19sChIJ26tkv1H81y0RX300Hu4mVEU?authuser=0&amp;hl=zh-TW&amp;rclk=1" TargetMode="External"/><Relationship Id="rId426" Type="http://schemas.openxmlformats.org/officeDocument/2006/relationships/hyperlink" Target="https://www.google.com/maps/place/Warung+Bagus/data=!4m7!3m6!1s0x2dd7fb7bc6b8feb1:0x1af9e9c9ffc5502!8m2!3d-7.2660114!4d112.7906514!16s%2Fg%2F11szd1nqr7!19sChIJsf64xnv71y0RAlX8n5yerwE?authuser=0&amp;hl=zh-TW&amp;rclk=1" TargetMode="External"/><Relationship Id="rId668" Type="http://schemas.openxmlformats.org/officeDocument/2006/relationships/hyperlink" Target="https://www.google.com/maps/place/GOFFE%C3%89+Doughnut+%26+Coffee+-+Manyar+Kertoarjo/@-7.2796814,112.7603124,17z/data=!3m1!4b1!4m6!3m5!1s0x2dd7fb004f608233:0x1dee0eccd547cb4a!8m2!3d-7.2796867!4d112.7628873!16s%2Fg%2F11z0ktwx9j?entry=ttu&amp;g_ep=EgoyMDI2MDYyOS4wIKXMDSoASAFQAw%3D%3D" TargetMode="External"/><Relationship Id="rId425" Type="http://schemas.openxmlformats.org/officeDocument/2006/relationships/hyperlink" Target="https://www.google.com/maps/place/Bakso+Barokah+Cak+Topo+Pulo/data=!4m7!3m6!1s0x2dd7fb991d894433:0x7f42f51cdd97bcfd!8m2!3d-7.300796!4d112.7360432!16s%2Fg%2F11cmc915wm!19sChIJM0SJHZn71y0R_byX3Rz1Qn8?authuser=0&amp;hl=zh-TW&amp;rclk=1" TargetMode="External"/><Relationship Id="rId667" Type="http://schemas.openxmlformats.org/officeDocument/2006/relationships/hyperlink" Target="https://www.google.com/maps/place/Kepiting+kenari+surabaya/data=!4m7!3m6!1s0x2dd7fb08c74f2e63:0xe37956b9b867cea3!8m2!3d-7.2899956!4d112.7185399!16s%2Fg%2F11y27nrwld!19sChIJYy5Pxwj71y0Ro85nuLlWeeM?authuser=0&amp;hl=zh-TW&amp;rclk=1" TargetMode="External"/><Relationship Id="rId424" Type="http://schemas.openxmlformats.org/officeDocument/2006/relationships/hyperlink" Target="https://www.google.com/maps/place/SOTO+AYAM+LAMONGAN+PAK+RADEN+D.K/data=!4m7!3m6!1s0x2dd7f9007185bab7:0xea808747e2298234!8m2!3d-7.263641!4d112.7517293!16s%2Fg%2F11mczss_v_!19sChIJt7qFcQD51y0RNIIp4keHgOo?authuser=0&amp;hl=zh-TW&amp;rclk=1" TargetMode="External"/><Relationship Id="rId666" Type="http://schemas.openxmlformats.org/officeDocument/2006/relationships/hyperlink" Target="https://www.google.com/maps/place/Echo+Resto+%26+Karaoke/data=!4m7!3m6!1s0x2dd7f90057da57e1:0x65d8a1afb3d407e3!8m2!3d-7.291489!4d112.7443085!16s%2Fg%2F11vrc_j_ld!19sChIJ4VfaVwD51y0R4wfUs6-h2GU?authuser=0&amp;hl=zh-TW&amp;rclk=1" TargetMode="External"/><Relationship Id="rId423" Type="http://schemas.openxmlformats.org/officeDocument/2006/relationships/hyperlink" Target="https://www.google.com/maps/place/Soto+Ayam+Cak+Sidik/data=!4m7!3m6!1s0x2dd7f970e59a32cf:0x19af5f7e1dfd95c5!8m2!3d-7.2543375!4d112.75477!16s%2Fg%2F11f57j6k4_!19sChIJzzKa5XD51y0RxZX9HX5frxk?authuser=0&amp;hl=zh-TW&amp;rclk=1" TargetMode="External"/><Relationship Id="rId665" Type="http://schemas.openxmlformats.org/officeDocument/2006/relationships/hyperlink" Target="https://www.google.com/maps/place/Halaman+78/data=!4m7!3m6!1s0x2dd7f94651674125:0x9248d36128b30aa9!8m2!3d-7.2564304!4d112.7434309!16s%2Fg%2F11mcrr_qw0!19sChIJJUFnUUb51y0RqQqzKGHTSJI?authuser=0&amp;hl=zh-TW&amp;rclk=1" TargetMode="External"/><Relationship Id="rId429" Type="http://schemas.openxmlformats.org/officeDocument/2006/relationships/hyperlink" Target="https://www.google.com/maps/place/Ultra+Coffee/data=!4m2!3m1!1s0x2dd7fbbc74716d63:0x4189e257d0a96962?sa=X&amp;ved=1t:242&amp;ictx=111" TargetMode="External"/><Relationship Id="rId428" Type="http://schemas.openxmlformats.org/officeDocument/2006/relationships/hyperlink" Target="https://www.google.com/maps/place/Bebek+Goreng+Harissa/data=!4m7!3m6!1s0x2dd7fa9494f9529d:0xa53975432b1b2888!8m2!3d-7.3257377!4d112.7814338!16s%2Fg%2F11b6sx31r_!19sChIJnVL5lJT61y0RiCgbK0N1OaU?authuser=0&amp;hl=zh-TW&amp;rclk=1" TargetMode="External"/><Relationship Id="rId427" Type="http://schemas.openxmlformats.org/officeDocument/2006/relationships/hyperlink" Target="https://www.google.com/maps/place/Soto+Madura+Tapak+Siring/data=!4m7!3m6!1s0x2dd7f97b75d76e43:0x79181c9cf469095a!8m2!3d-7.2602079!4d112.7538874!16s%2Fg%2F11cmczww5p!19sChIJQ27XdXv51y0RWglp9JwcGHk?authuser=0&amp;hl=zh-TW&amp;rclk=1" TargetMode="External"/><Relationship Id="rId669" Type="http://schemas.openxmlformats.org/officeDocument/2006/relationships/hyperlink" Target="https://www.google.com/maps/place/Dapoer+Kecombrang+Surabaya+-+Wonorejo+Timur/data=!4m7!3m6!1s0x2dd7fbee5ba8f4b5:0x6a10af46e1a2f22f!8m2!3d-7.3089034!4d112.7886546!16s%2Fg%2F11qmcbnhy3!19sChIJtfSoW-771y0RL_Ki4UavEGo?authuser=0&amp;hl=zh-TW&amp;rclk=1" TargetMode="External"/><Relationship Id="rId660" Type="http://schemas.openxmlformats.org/officeDocument/2006/relationships/hyperlink" Target="https://www.google.com/maps/place/Sidowareg+Penyetan+%26+Ikan+Bakar/data=!4m7!3m6!1s0x2dd7f909229f860f:0x370c77ea61c7f867!8m2!3d-7.238965!4d112.758405!16s%2Fg%2F1hc1y2hjv!19sChIJD4afIgn51y0RZ_jHYep3DDc?authuser=0&amp;hl=zh-TW&amp;rclk=1" TargetMode="External"/><Relationship Id="rId422" Type="http://schemas.openxmlformats.org/officeDocument/2006/relationships/hyperlink" Target="https://www.google.com/maps/place/Sate+Pak+Amad+-+Suket+Bunder+Food+And+Drink/data=!4m7!3m6!1s0x2dd7f9a4096411c9:0x9d96dfd504976edf!8m2!3d-7.2391381!4d112.7328311!16s%2Fg%2F11j086yy26!19sChIJyRFkCaT51y0R326XBNXflp0?authuser=0&amp;hl=zh-TW&amp;rclk=1" TargetMode="External"/><Relationship Id="rId664" Type="http://schemas.openxmlformats.org/officeDocument/2006/relationships/hyperlink" Target="https://www.google.com/maps/place/Bubur+Ayam+Spensix+Bang+Salim/data=!4m7!3m6!1s0x2dd7fbdbb6b67de9:0x8923f9d442ce90a1!8m2!3d-7.2734208!4d112.7491549!16s%2Fg%2F11bwtwl211!19sChIJ6X22ttv71y0RoZDOQtT5I4k?authuser=0&amp;hl=zh-TW&amp;rclk=1" TargetMode="External"/><Relationship Id="rId421" Type="http://schemas.openxmlformats.org/officeDocument/2006/relationships/hyperlink" Target="https://www.google.com/maps/place/Nur+Pacific+Restaurant/data=!4m7!3m6!1s0x2dd7fbdbb51a2e07:0xc1d347d40fc6ed69!8m2!3d-7.2727093!4d112.7480262!16s%2Fg%2F1tkn52v9!19sChIJBy4atdv71y0Rae3GD9RH08E?authuser=0&amp;hl=zh-TW&amp;rclk=1" TargetMode="External"/><Relationship Id="rId663" Type="http://schemas.openxmlformats.org/officeDocument/2006/relationships/hyperlink" Target="https://www.google.com/maps/place/RAWON+PINGGIR+EMBONG/data=!4m7!3m6!1s0x2dd7fa372becce45:0xc58906aa8431e66a!8m2!3d-7.2814117!4d112.7716559!16s%2Fg%2F11gd4gtctj!19sChIJRc7sKzf61y0RauYxhKoGicU?authuser=0&amp;hl=zh-TW&amp;rclk=1" TargetMode="External"/><Relationship Id="rId420" Type="http://schemas.openxmlformats.org/officeDocument/2006/relationships/hyperlink" Target="https://www.google.com/maps/place/Warung+Bebek+Kanwa+24/data=!4m7!3m6!1s0x2dd7fb751083d98f:0x7b4643e49564d937!8m2!3d-7.2846788!4d112.7305273!16s%2Fg%2F11v0ytbfr_!19sChIJj9mDEHX71y0RN9lkleRDRns?authuser=0&amp;hl=zh-TW&amp;rclk=1" TargetMode="External"/><Relationship Id="rId662" Type="http://schemas.openxmlformats.org/officeDocument/2006/relationships/hyperlink" Target="https://www.google.com/maps/place/Sate+Kelopo+Tiara/data=!4m7!3m6!1s0x2dd7f97929c416ad:0xf4e35992c767d559!8m2!3d-7.2605199!4d112.7598766!16s%2Fg%2F11bwkdqtly!19sChIJrRbEKXn51y0RWdVnx5JZ4_Q?authuser=0&amp;hl=zh-TW&amp;rclk=1" TargetMode="External"/><Relationship Id="rId661" Type="http://schemas.openxmlformats.org/officeDocument/2006/relationships/hyperlink" Target="https://www.google.com/maps/place/Bakso+%26+Mie+Ayam+Nariz/data=!4m7!3m6!1s0x2dd7fc0098905563:0x40bd1aab27ecb15!8m2!3d-7.272113!4d112.714712!16s%2Fg%2F11clzknt2h!19sChIJY1WQmAD81y0RFct-sqrRCwQ?authuser=0&amp;hl=zh-TW&amp;rclk=1" TargetMode="External"/><Relationship Id="rId415" Type="http://schemas.openxmlformats.org/officeDocument/2006/relationships/hyperlink" Target="https://www.google.com/maps/place/Bakso+Bonnet/data=!4m7!3m6!1s0x2dd7fa33aae5fb87:0xc0c9d00394e86c4f!8m2!3d-7.2784272!4d112.765886!16s%2Fg%2F11cn92z8pg!19sChIJh_vlqjP61y0RT2zolAPQycA?authuser=0&amp;hl=zh-TW&amp;rclk=1" TargetMode="External"/><Relationship Id="rId657" Type="http://schemas.openxmlformats.org/officeDocument/2006/relationships/hyperlink" Target="https://www.google.com/maps/place/Hollywood+Surabaya/data=!4m7!3m6!1s0x2dd7fb7b35909f83:0x69315b922a804f57!8m2!3d-7.3162762!4d112.7352576!16s%2Fg%2F11p59fw7r5!19sChIJg5-QNXv71y0RV0-AKpJbMWk?authuser=0&amp;hl=zh-TW&amp;rclk=1" TargetMode="External"/><Relationship Id="rId414" Type="http://schemas.openxmlformats.org/officeDocument/2006/relationships/hyperlink" Target="https://www.google.com/maps/place/Boncaf%C3%A9+-+Pregolan/data=!4m7!3m6!1s0x2dd7fbdff0da1b6b:0x8445a0ff1627a868!8m2!3d-7.2661868!4d112.7397954!16s%2Fg%2F1tfvw7xk!19sChIJaxva8N_71y0RaKgnFv-gRYQ?authuser=0&amp;hl=zh-TW&amp;rclk=1" TargetMode="External"/><Relationship Id="rId656" Type="http://schemas.openxmlformats.org/officeDocument/2006/relationships/hyperlink" Target="https://www.google.com/maps/place/Soto+Ayam+Lamongan+CAK+HAR/data=!4m7!3m6!1s0x2dd7fa5caf3a40dd:0xaab82c00cb0d97d7!8m2!3d-7.2957171!4d112.7813592!16s%2Fg%2F11b6v0lymf!19sChIJ3UA6r1z61y0R15cNywAsuKo?authuser=0&amp;hl=zh-TW&amp;rclk=1" TargetMode="External"/><Relationship Id="rId413" Type="http://schemas.openxmlformats.org/officeDocument/2006/relationships/hyperlink" Target="https://www.google.com/maps/place/THE+SOCIALITE+SURABAYA/data=!4m7!3m6!1s0x2dd7fb93a5777e8f:0x302d356d422c95c5!8m2!3d-7.2906759!4d112.7308801!16s%2Fg%2F11c2nc6p6l!19sChIJj353pZP71y0RxZUsQm01LTA?authuser=0&amp;hl=zh-TW&amp;rclk=1" TargetMode="External"/><Relationship Id="rId655" Type="http://schemas.openxmlformats.org/officeDocument/2006/relationships/hyperlink" Target="https://www.google.com/maps/place/Warung+Sate+Buk+Mis/data=!4m7!3m6!1s0x2dd7f97ee2d3ed53:0xb3fba3d7fa54a9c1!8m2!3d-7.2628288!4d112.7598266!16s%2Fg%2F11c0q0q4yb!19sChIJU-3T4n751y0RwalU-tej-7M?authuser=0&amp;hl=zh-TW&amp;rclk=1" TargetMode="External"/><Relationship Id="rId412" Type="http://schemas.openxmlformats.org/officeDocument/2006/relationships/hyperlink" Target="https://www.google.com/maps/place/Taman+Flora+Bratang+Surabaya/data=!4m2!3m1!1s0x2dd7fbb2807f4593:0x51d06bd30548e1d6?sa=X&amp;ved=1t:155783&amp;ictx=111" TargetMode="External"/><Relationship Id="rId654" Type="http://schemas.openxmlformats.org/officeDocument/2006/relationships/hyperlink" Target="https://www.google.com/maps/place/RAWON+CACA/data=!4m7!3m6!1s0x2dd7fb49ef3f4ca9:0xb143966c57e74488!8m2!3d-7.3230784!4d112.7703778!16s%2Fg%2F11tnl7qys0!19sChIJqUw_70n71y0RiETnV2yWQ7E?authuser=0&amp;hl=zh-TW&amp;rclk=1" TargetMode="External"/><Relationship Id="rId419" Type="http://schemas.openxmlformats.org/officeDocument/2006/relationships/hyperlink" Target="https://www.google.com/maps/place/Pecel+Rawon+Tetelan+Gapuro/data=!4m7!3m6!1s0x2dd7fb00627790a3:0xecfd8f0e3dd8fb39!8m2!3d-7.3113632!4d112.7354573!16s%2Fg%2F11y37ql3kl!19sChIJo5B3YgD71y0ROfvYPQ6P_ew?authuser=0&amp;hl=zh-TW&amp;rclk=1" TargetMode="External"/><Relationship Id="rId418" Type="http://schemas.openxmlformats.org/officeDocument/2006/relationships/hyperlink" Target="https://www.google.com/maps?vet=10CAAQoqAOahcKEwi45af0zqiVAxUAAAAAHQAAAAAQBQ..i&amp;pvq=Cg0vZy8xMWI2Y3Bod2hyIhkKE1RhbWFuIEt1bmFuZy1LdW5hbmcQAhgD&amp;lqi=ChNUYW1hbiBLdW5hbmctS3VuYW5nSPfb37qZqoCACFohEAAQARACGAAYARgCIhN0YW1hbiBrdW5hbmcga3VuYW5nkgEEcGFyaw&amp;fvr=1&amp;cs=1&amp;um=1&amp;ie=UTF-8&amp;fb=1&amp;gl=id&amp;sa=X&amp;ftid=0x2dd7faecf437a521:0xc20515bde56f72ce" TargetMode="External"/><Relationship Id="rId417" Type="http://schemas.openxmlformats.org/officeDocument/2006/relationships/hyperlink" Target="https://www.google.com/maps/place/Bakso+Pratama/data=!4m7!3m6!1s0x2dd7fc0c69ecde97:0x55c1d3294be8442e!8m2!3d-7.2842517!4d112.7082558!16s%2Fg%2F1hm5_182t!19sChIJl97saQz81y0RLkToSynTwVU?authuser=0&amp;hl=zh-TW&amp;rclk=1" TargetMode="External"/><Relationship Id="rId659" Type="http://schemas.openxmlformats.org/officeDocument/2006/relationships/hyperlink" Target="https://www.google.com/maps/place/Warung+Leko+HR+Muhammad/data=!4m7!3m6!1s0x2dd7fc1441643e83:0xac78fc0b241307a!8m2!3d-7.2826462!4d112.6862411!16s%2Fg%2F11b6dnpf8t!19sChIJgz5kQRT81y0RejBBssCPxwo?authuser=0&amp;hl=zh-TW&amp;rclk=1" TargetMode="External"/><Relationship Id="rId416" Type="http://schemas.openxmlformats.org/officeDocument/2006/relationships/hyperlink" Target="https://www.google.com/maps/place/Sentra+Wisata+Kuliner+Convention+Hall/data=!4m7!3m6!1s0x2dd7fb6b0433122f:0xedf793a530449c77!8m2!3d-7.2893635!4d112.7834711!16s%2Fg%2F11grpqy1x3!19sChIJLxIzBGv71y0Rd5xEMKWT9-0?authuser=0&amp;hl=zh-TW&amp;rclk=1" TargetMode="External"/><Relationship Id="rId658" Type="http://schemas.openxmlformats.org/officeDocument/2006/relationships/hyperlink" Target="https://www.google.com/maps/place/Bebek+Songkem+H.+Ahmad/data=!4m7!3m6!1s0x2dd7fa214327a8eb:0xc6eb0541beb26285!8m2!3d-7.322962!4d112.78073!16s%2Fg%2F11cjhyxmfd!19sChIJ66gnQyH61y0RhWKyvkEF68Y?authuser=0&amp;hl=zh-TW&amp;rclk=1" TargetMode="External"/><Relationship Id="rId411" Type="http://schemas.openxmlformats.org/officeDocument/2006/relationships/hyperlink" Target="https://www.google.com/maps/place/Warung+H.Mufid+%28Rawon+Balungan+Benowo%29/data=!4m7!3m6!1s0x2e780087d166982f:0xe657f872b73de7e0!8m2!3d-7.235906!4d112.6081684!16s%2Fg%2F11b6gpbxx8!19sChIJL5hm0YcAeC4R4Oc9t3L4V-Y?authuser=0&amp;hl=zh-TW&amp;rclk=1" TargetMode="External"/><Relationship Id="rId653" Type="http://schemas.openxmlformats.org/officeDocument/2006/relationships/hyperlink" Target="https://www.google.com/maps/place/BEBEK+SEMANGAT+TUNJUNGAN+PLAZA-2/data=!4m7!3m6!1s0x2dd7f9afa62c84b3:0x474bb77bb057fe9d!8m2!3d-7.2623458!4d112.7402984!16s%2Fg%2F11m6d7r_0d!19sChIJs4Qspq_51y0Rnf5XsHu3S0c?authuser=0&amp;hl=zh-TW&amp;rclk=1" TargetMode="External"/><Relationship Id="rId410" Type="http://schemas.openxmlformats.org/officeDocument/2006/relationships/hyperlink" Target="https://www.google.com/maps/place/Apeng+Kwetiau+Medan/data=!4m2!3m1!1s0x2dd7fb94d6e5e18d:0x5014df8369ab113c?sa=X&amp;ved=1t:242&amp;ictx=111" TargetMode="External"/><Relationship Id="rId652" Type="http://schemas.openxmlformats.org/officeDocument/2006/relationships/hyperlink" Target="https://www.google.com/maps/place/Warung+17/data=!4m7!3m6!1s0x2dd7fae286ee7f99:0xf91b631bc126ee7d!8m2!3d-7.3173083!4d112.7629097!16s%2Fg%2F11bxfqf281!19sChIJmX_uhuL61y0Rfe4mwRtjG_k?authuser=0&amp;hl=zh-TW&amp;rclk=1" TargetMode="External"/><Relationship Id="rId651" Type="http://schemas.openxmlformats.org/officeDocument/2006/relationships/hyperlink" Target="https://www.google.com/maps/place/TOMORO+COFFEE+-+GRAND+HARVEST+SURABAYA/data=!4m7!3m6!1s0x2dd7fd0a119a708f:0x502acaf82e11964e!8m2!3d-7.3304813!4d112.6940546!16s%2Fg%2F11m6p8k92r!19sChIJj3CaEQr91y0RTpYRLvjKKlA?authuser=0&amp;hl=zh-TW&amp;rclk=1" TargetMode="External"/><Relationship Id="rId650" Type="http://schemas.openxmlformats.org/officeDocument/2006/relationships/hyperlink" Target="https://www.google.com/maps/place/Bakso+Urat+Lumintu+Om+Sugeng/data=!4m7!3m6!1s0x2dd7fb914df40035:0x370062e8321f9429!8m2!3d-7.2931879!4d112.7328471!16s%2Fg%2F11g029_lbc!19sChIJNQD0TZH71y0RKZQfMuhiADc?authuser=0&amp;hl=zh-TW&amp;rclk=1" TargetMode="External"/><Relationship Id="rId206" Type="http://schemas.openxmlformats.org/officeDocument/2006/relationships/hyperlink" Target="https://www.google.com/maps/place/sate+ayam+h.+bairi/data=!4m7!3m6!1s0x2dd7fb002c4a72a5:0x62529636adb834c8!8m2!3d-7.2812663!4d112.7386752!16s%2Fg%2F11lv81gjng!19sChIJpXJKLAD71y0RyDS4rTaWUmI?authuser=0&amp;hl=zh-TW&amp;rclk=1" TargetMode="External"/><Relationship Id="rId448" Type="http://schemas.openxmlformats.org/officeDocument/2006/relationships/hyperlink" Target="https://www.google.com/maps/place/Taman+Mayangkara/data=!4m2!3m1!1s0x2dd7fb9e2e33845f:0x455409e45d94f7da?sa=X&amp;ved=1t:155783&amp;ictx=111" TargetMode="External"/><Relationship Id="rId205" Type="http://schemas.openxmlformats.org/officeDocument/2006/relationships/hyperlink" Target="https://www.google.com/maps/place/PENYETAN+BANG+ALI+KUPANG+INDAH/data=!4m7!3m6!1s0x2dd7fc05786d8f55:0x8f36f6dc613a7e3d!8m2!3d-7.2772673!4d112.7080909!16s%2Fg%2F11clsp12bp!19sChIJVY9teAX81y0RPX46Ydz2No8?authuser=0&amp;hl=zh-TW&amp;rclk=1" TargetMode="External"/><Relationship Id="rId447" Type="http://schemas.openxmlformats.org/officeDocument/2006/relationships/hyperlink" Target="https://www.google.com/maps/place/Taman+Kendangsari/data=!4m7!3m6!1s0x2dd7fbf9e0adbe41:0xe64df22b4286b553!8m2!3d-7.3269242!4d112.7460052!16s%2Fg%2F11h1g23kh6!19sChIJQb6t4Pn71y0RU7WGQivyTeY?authuser=0&amp;hl=zh-TW&amp;rclk=1" TargetMode="External"/><Relationship Id="rId689" Type="http://schemas.openxmlformats.org/officeDocument/2006/relationships/hyperlink" Target="https://www.google.com/maps/place/Warung+Nasi+Rawon+Mandarin/data=!4m7!3m6!1s0x2dd7fd10163ef909:0x32e55f8cb6fb1e72!8m2!3d-7.2786951!4d112.6958553!16s%2Fg%2F11gv0vj7gk!19sChIJCfk-FhD91y0Rch77toxf5TI?authuser=0&amp;hl=zh-TW&amp;rclk=1" TargetMode="External"/><Relationship Id="rId204" Type="http://schemas.openxmlformats.org/officeDocument/2006/relationships/hyperlink" Target="https://www.google.com/maps/place/Bakso+Solo+Pak+Min/data=!4m7!3m6!1s0x2dd7fe6323927233:0xeb14dff2a438d103!8m2!3d-7.2600363!4d112.6640576!16s%2Fg%2F11b76tx9_0!19sChIJM3KSI2P-1y0RA9E4pPLfFOs?authuser=0&amp;hl=zh-TW&amp;rclk=1" TargetMode="External"/><Relationship Id="rId446" Type="http://schemas.openxmlformats.org/officeDocument/2006/relationships/hyperlink" Target="https://www.google.com/maps/place/Taman+Nginden/data=!4m7!3m6!1s0x2dd7fa55fd0df0a9:0x2d9fbf9a5019e441!8m2!3d-7.306881!4d112.7685263!16s%2Fg%2F11cnc9d_7h!19sChIJqfAN_VX61y0RQeQZUJq_ny0?authuser=0&amp;hl=zh-TW&amp;rclk=1" TargetMode="External"/><Relationship Id="rId688" Type="http://schemas.openxmlformats.org/officeDocument/2006/relationships/hyperlink" Target="https://www.google.com/maps/place/Sentra+Wisata+Kuliner+Terminal+Kasuari/data=!4m7!3m6!1s0x2dd7f9160986886d:0xa9e35c285a33cbcc!8m2!3d-7.2355364!4d112.7362948!16s%2Fg%2F11hyp21_4c!19sChIJbYiGCRb51y0RzMszWihc46k?authuser=0&amp;hl=zh-TW&amp;rclk=1" TargetMode="External"/><Relationship Id="rId203" Type="http://schemas.openxmlformats.org/officeDocument/2006/relationships/hyperlink" Target="https://www.google.com/maps/place/Taman+Teluk+Bayur/data=!4m7!3m6!1s0x2dd7f8c575109619:0xe99dacc95d42ea81!8m2!3d-7.2149459!4d112.7284977!16s%2Fg%2F11g6bq5034!19sChIJGZYQdcX41y0RgepCXcmsnek?authuser=0&amp;hl=zh-TW&amp;rclk=1" TargetMode="External"/><Relationship Id="rId445" Type="http://schemas.openxmlformats.org/officeDocument/2006/relationships/hyperlink" Target="https://www.google.com/maps/place/Pangsit+Mie+Ayam+Jakarta+AsemRowo/data=!4m7!3m6!1s0x2dd7feb4c051e9f5:0x7e8371b2283c90c4!8m2!3d-7.2518862!4d112.7137412!16s%2Fg%2F11bc7mz78x!19sChIJ9elRwLT-1y0RxJA8KLJxg34?authuser=0&amp;hl=zh-TW&amp;rclk=1" TargetMode="External"/><Relationship Id="rId687" Type="http://schemas.openxmlformats.org/officeDocument/2006/relationships/hyperlink" Target="https://www.google.com/maps/place/Toko+Kopi+TUKU+-+SPBU+bp+Gubeng/data=!4m7!3m6!1s0x2dd7fb75c4e64cd5:0xb0e1c4b6d27fdc56!8m2!3d-7.2729095!4d112.7477386!16s%2Fg%2F11qh7gstyv!19sChIJ1UzmxHX71y0RVtx_0rbE4bA?authuser=0&amp;hl=zh-TW&amp;rclk=1" TargetMode="External"/><Relationship Id="rId209" Type="http://schemas.openxmlformats.org/officeDocument/2006/relationships/hyperlink" Target="https://www.google.com/maps/place/Soto+Ayam+Hartono/data=!4m7!3m6!1s0x2dd7f9692427352d:0x589fa49564f92880!8m2!3d-7.2525296!4d112.7440718!16s%2Fg%2F11b6c650dd!19sChIJLTUnJGn51y0RgCj5ZJWkn1g?authuser=0&amp;hl=zh-TW&amp;rclk=1" TargetMode="External"/><Relationship Id="rId208" Type="http://schemas.openxmlformats.org/officeDocument/2006/relationships/hyperlink" Target="https://www.google.com/maps/place/Pulau+Sentosa+Seafood+Market/data=!4m7!3m6!1s0x2dd7fb5d8c443b2f:0x9e8ed927b27455c8!8m2!3d-7.2846868!4d112.7385554!16s%2Fg%2F11tcgrdwjf!19sChIJLztEjF371y0RyFV0sifZjp4?authuser=0&amp;hl=zh-TW&amp;rclk=1" TargetMode="External"/><Relationship Id="rId207" Type="http://schemas.openxmlformats.org/officeDocument/2006/relationships/hyperlink" Target="https://www.google.com/maps/place/Soto+Madura+%22Imam+Bonjol%22/data=!4m7!3m6!1s0x2dd7fbe91158086d:0x14a5c3bb03082dc8!8m2!3d-7.2768535!4d112.7354619!16s%2Fg%2F11bc7r78cj!19sChIJbQhYEen71y0RyC0IA7vDpRQ?authuser=0&amp;hl=zh-TW&amp;rclk=1" TargetMode="External"/><Relationship Id="rId449" Type="http://schemas.openxmlformats.org/officeDocument/2006/relationships/hyperlink" Target="https://www.google.com/maps/place/Nasi+Bebek+Tugu+Pahlawan+Asli/data=!4m7!3m6!1s0x2dd7f9400b122a33:0xecd781a4b7470fc8!8m2!3d-7.2452688!4d112.7369513!16s%2Fg%2F11b77dsm56!19sChIJMyoSC0D51y0RyA9Ht6SB1-w?authuser=0&amp;hl=zh-TW&amp;rclk=1" TargetMode="External"/><Relationship Id="rId440" Type="http://schemas.openxmlformats.org/officeDocument/2006/relationships/hyperlink" Target="https://www.google.com/maps/place/Blue+Doors+Surabaya/data=!4m2!3m1!1s0x2dd7fbdef5aee58f:0x22bf0875498e0124?sa=X&amp;ved=1t:242&amp;ictx=111" TargetMode="External"/><Relationship Id="rId682" Type="http://schemas.openxmlformats.org/officeDocument/2006/relationships/hyperlink" Target="https://www.google.com/maps/place/Soto+Ayam+Cak+Nan/data=!4m7!3m6!1s0x2dd7fa2a4714e7c3:0x9d7c8d7c6d54c28c!8m2!3d-7.266253!4d112.7677125!16s%2Fg%2F11c6ddnsz8!19sChIJw-cURyr61y0RjMJUbXyNfJ0?authuser=0&amp;hl=zh-TW&amp;rclk=1" TargetMode="External"/><Relationship Id="rId681" Type="http://schemas.openxmlformats.org/officeDocument/2006/relationships/hyperlink" Target="https://www.google.com/maps/place/209+Dining/data=!4m7!3m6!1s0x2dd7fd77c7915e29:0x4979b3c45f4f2d36!8m2!3d-7.286211!4d112.6992675!16s%2Fg%2F11ghq03zqp!19sChIJKV6Rx3f91y0RNi1PX8SzeUk?authuser=0&amp;hl=zh-TW&amp;rclk=1" TargetMode="External"/><Relationship Id="rId680" Type="http://schemas.openxmlformats.org/officeDocument/2006/relationships/hyperlink" Target="https://www.google.com/maps/place/Bakso+Solo+JOLOTUNDO/data=!4m7!3m6!1s0x2dd7f9784f3055a9:0x50330f74863917cc!8m2!3d-7.2575378!4d112.7606246!16s%2Fg%2F1hm5qjfmx!19sChIJqVUwT3j51y0RzBc5hnQPM1A?authuser=0&amp;hl=zh-TW&amp;rclk=1" TargetMode="External"/><Relationship Id="rId202" Type="http://schemas.openxmlformats.org/officeDocument/2006/relationships/hyperlink" Target="https://www.google.com/maps/place/Sate+Asin+Garuda/data=!4m7!3m6!1s0x2dd7fb9614cd41d7:0x2d133eb571e7b9b3!8m2!3d-7.2808456!4d112.7465747!16s%2Fg%2F11rxzkch18!19sChIJ10HNFJb71y0Rs7nncbU-Ey0?authuser=0&amp;hl=zh-TW&amp;rclk=1" TargetMode="External"/><Relationship Id="rId444" Type="http://schemas.openxmlformats.org/officeDocument/2006/relationships/hyperlink" Target="https://www.google.com/maps/place/Mie+Ayam+Jamboel+%22Spesial+:+Telur,+Ceker+,+Kepala+%22./data=!4m7!3m6!1s0x2dd7fa53ee8d007b:0xe8aa1aaf683e8836!8m2!3d-7.300121!4d112.7678766!16s%2Fg%2F1hm1v4bbp!19sChIJewCN7lP61y0RNog-aK8aqug?authuser=0&amp;hl=zh-TW&amp;rclk=1" TargetMode="External"/><Relationship Id="rId686" Type="http://schemas.openxmlformats.org/officeDocument/2006/relationships/hyperlink" Target="https://www.google.com/maps/place/BAKSO+BERANAK+SUROBOYO/data=!4m7!3m6!1s0x2dd7fbe66981d62f:0x90e791dec1898fa2!8m2!3d-7.2758346!4d112.7343928!16s%2Fg%2F11bzrf3mmk!19sChIJL9aBaeb71y0Roo-Jwd6R55A?authuser=0&amp;hl=zh-TW&amp;rclk=1" TargetMode="External"/><Relationship Id="rId201" Type="http://schemas.openxmlformats.org/officeDocument/2006/relationships/hyperlink" Target="https://www.google.com/maps/place/Soto+Ayam+Surabaya+Cak+Kurnia/data=!4m7!3m6!1s0x2dd7fa2aab90e23f:0xa247bf90a3321515!8m2!3d-7.2661066!4d112.7631424!16s%2Fg%2F11b8zzg6df!19sChIJP-KQqyr61y0RFRUyo5C_R6I?authuser=0&amp;hl=zh-TW&amp;rclk=1" TargetMode="External"/><Relationship Id="rId443" Type="http://schemas.openxmlformats.org/officeDocument/2006/relationships/hyperlink" Target="https://www.google.com/maps/place/Bakso+Solo+Pak+Sentot/data=!4m7!3m6!1s0x2dd7f99c4744cd3b:0x6aa72fc629dde2fa!8m2!3d-7.2517863!4d112.7671219!16s%2Fg%2F11c6fbn16j!19sChIJO81ER5z51y0R-uLdKcYvp2o?authuser=0&amp;hl=zh-TW&amp;rclk=1" TargetMode="External"/><Relationship Id="rId685" Type="http://schemas.openxmlformats.org/officeDocument/2006/relationships/hyperlink" Target="https://www.google.com/maps/place/Sentra+Wisata+Kuliner+Embong+Sawo/data=!4m7!3m6!1s0x2dd7f996e06809e3:0xafcbe61111c706a7!8m2!3d-7.2667434!4d112.7423959!16s%2Fg%2F11jlqgf7_r!19sChIJ4wlo4Jb51y0RpwbHERHmy68?authuser=0&amp;hl=zh-TW&amp;rclk=1" TargetMode="External"/><Relationship Id="rId200" Type="http://schemas.openxmlformats.org/officeDocument/2006/relationships/hyperlink" Target="https://www.google.com/maps/place/Bebek+Goreng+Kampung+Seng+45+-+BKS.45/data=!4m7!3m6!1s0x2dd7f9105d4d3d59:0x2f769b888a9c33d2!8m2!3d-7.23764!4d112.7487517!16s%2Fg%2F11csrrr1f4!19sChIJWT1NXRD51y0R0jOcioibdi8?authuser=0&amp;hl=zh-TW&amp;rclk=1" TargetMode="External"/><Relationship Id="rId442" Type="http://schemas.openxmlformats.org/officeDocument/2006/relationships/hyperlink" Target="https://www.google.com/maps/place/Sentra+Wisata+Kuliner+Bentul/data=!4m7!3m6!1s0x2dd7fb8f12d1e0b9:0x76de744ea45a0c15!8m2!3d-7.3056356!4d112.7419023!16s%2Fg%2F11f7bqd42l!19sChIJueDREo_71y0RFQxapE503nY?authuser=0&amp;hl=zh-TW&amp;rclk=1" TargetMode="External"/><Relationship Id="rId684" Type="http://schemas.openxmlformats.org/officeDocument/2006/relationships/hyperlink" Target="https://www.google.com/maps/place/Sari+Laut+Kapasan/data=!4m7!3m6!1s0x2dd7f90e67d5db2d:0xd355f0d701559caf!8m2!3d-7.2406741!4d112.7521716!16s%2Fg%2F12ml2mrhg!19sChIJLdvVZw751y0Rr5xVAdfwVdM?authuser=0&amp;hl=zh-TW&amp;rclk=1" TargetMode="External"/><Relationship Id="rId441" Type="http://schemas.openxmlformats.org/officeDocument/2006/relationships/hyperlink" Target="https://www.google.com/maps/place/LONTONG+BALAP+PAK+GENDUT+PKL+SURABAYA/data=!4m7!3m6!1s0x2dd7f9f44fff6a47:0x715b863c22ef94eb!8m2!3d-7.2560633!4d112.7315719!16s%2Fg%2F11cfgh64_!19sChIJR2r_T_T51y0R65TvIjyGW3E?authuser=0&amp;hl=zh-TW&amp;rclk=1" TargetMode="External"/><Relationship Id="rId683" Type="http://schemas.openxmlformats.org/officeDocument/2006/relationships/hyperlink" Target="https://www.google.com/maps/place/Titik+Tengah+Surabaya/data=!4m7!3m6!1s0x2dd7fb736e844f45:0x7cace86772822696!8m2!3d-7.2677313!4d112.7339446!16s%2Fg%2F11llcw3_fj!19sChIJRU-EbnP71y0RliaCcmforHw?authuser=0&amp;hl=zh-TW&amp;rclk=1" TargetMode="External"/><Relationship Id="rId437" Type="http://schemas.openxmlformats.org/officeDocument/2006/relationships/hyperlink" Target="https://www.google.com/maps/place/RUF+Coffee+%26+Eatery/data=!4m7!3m6!1s0x2dd7fbd215d53419:0x4dc2253792fc58c0!8m2!3d-7.2893767!4d112.7758843!16s%2Fg%2F11v3npjwwg!19sChIJGTTVFdL71y0RwFj8kjclwk0?authuser=0&amp;hl=zh-TW&amp;rclk=1" TargetMode="External"/><Relationship Id="rId679" Type="http://schemas.openxmlformats.org/officeDocument/2006/relationships/hyperlink" Target="https://www.google.com/maps/place/Soto+Ayam+NING+NDAYUK/data=!4m7!3m6!1s0x2dd7fbe10659451f:0x3c5c17e52d658545!8m2!3d-7.270024!4d112.73549!16s%2Fg%2F11g8xg1hsf!19sChIJH0VZBuH71y0RRYVlLeUXXDw?authuser=0&amp;hl=zh-TW&amp;rclk=1" TargetMode="External"/><Relationship Id="rId436" Type="http://schemas.openxmlformats.org/officeDocument/2006/relationships/hyperlink" Target="https://www.google.com/maps/place/Rawon+Pak+Ndut/data=!4m7!3m6!1s0x2dd7e4b715823477:0x238549c7db1e6153!8m2!3d-7.3565652!4d112.7355748!16s%2Fg%2F11fzfdbkjj!19sChIJdzSCFbfk1y0RU2Ee28dJhSM?authuser=0&amp;hl=zh-TW&amp;rclk=1" TargetMode="External"/><Relationship Id="rId678" Type="http://schemas.openxmlformats.org/officeDocument/2006/relationships/hyperlink" Target="https://www.google.com/maps/place/Sate+Kambing+%26+Thengkleng+Rica-rica+Pak+Manto/data=!4m7!3m6!1s0x2dd7f953147fce1b:0xa461e170a02246e3!8m2!3d-7.2598318!4d112.75009!16s%2Fg%2F11h55ndfdm!19sChIJG85_FFP51y0R40YioHDhYaQ?authuser=0&amp;hl=zh-TW&amp;rclk=1" TargetMode="External"/><Relationship Id="rId435" Type="http://schemas.openxmlformats.org/officeDocument/2006/relationships/hyperlink" Target="https://www.google.com/maps/place/Merr+Kayu+Manis+Restaurant/data=!4m7!3m6!1s0x2dd7fae957c32d3f:0x2851c489b2a5ec3b!8m2!3d-7.3208463!4d112.7806342!16s%2Fg%2F11b6wh6rpz!19sChIJPy3DV-n61y0RO-ylsonEUSg?authuser=0&amp;hl=zh-TW&amp;rclk=1" TargetMode="External"/><Relationship Id="rId677" Type="http://schemas.openxmlformats.org/officeDocument/2006/relationships/hyperlink" Target="https://www.google.com/maps/place/Raja+Seafood/data=!4m7!3m6!1s0x2dd7fc3deeadbd5f:0xf4b04ef6bb374f37!8m2!3d-7.28397!4d112.6903194!16s%2Fg%2F11dxdznt35!19sChIJX72t7j381y0RN083u_ZOsPQ?authuser=0&amp;hl=zh-TW&amp;rclk=1" TargetMode="External"/><Relationship Id="rId434" Type="http://schemas.openxmlformats.org/officeDocument/2006/relationships/hyperlink" Target="https://www.google.com/maps/place/Soto+Madura+Cak+Ukin/data=!4m7!3m6!1s0x2dd7fb9d12cd8ea3:0x965e3d5011bcf695!8m2!3d-7.3066167!4d112.7292337!16s%2Fg%2F11b6bpz1m2!19sChIJo47NEp371y0Rlfa8EVA9XpY?authuser=0&amp;hl=zh-TW&amp;rclk=1" TargetMode="External"/><Relationship Id="rId676" Type="http://schemas.openxmlformats.org/officeDocument/2006/relationships/hyperlink" Target="https://www.google.com/maps/place/Taman+Asmaul+Husna+%EA%A6%A0%EA%A6%A9%EA%A6%A4%EA%A7%80%EA%A6%84%EA%A6%B1%EA%A7%80%EA%A6%A9%EA%A6%88%EA%A6%AD%EA%A7%80%EA%A6%B2%EA%A6%B8%EA%A6%B1%EA%A7%80%EA%A6%A4/@-7.335649,112.7163832,17z/data=!3m1!4b1!4m6!3m5!1s0x2dd7fbfe5c2f0e35:0xd702bc2be00d3669!8m2!3d-7.335649!4d112.7163832!16s%2Fg%2F11j9jk89jr?entry=ttu&amp;g_ep=EgoyMDI2MDYyOS4wIKXMDSoASAFQAw%3D%3D" TargetMode="External"/><Relationship Id="rId439" Type="http://schemas.openxmlformats.org/officeDocument/2006/relationships/hyperlink" Target="https://www.google.com/maps/place/Pangsit+Mie+Ayam+Jakarta+Cak+To+Tuban/data=!4m7!3m6!1s0x2dd7fbf5cfef79e7:0xc5b22a5d502bb9ef!8m2!3d-7.2865218!4d112.7448904!16s%2Fg%2F11klrhhh1p!19sChIJ53nvz_X71y0R77krUF0qssU?authuser=0&amp;hl=zh-TW&amp;rclk=1" TargetMode="External"/><Relationship Id="rId438" Type="http://schemas.openxmlformats.org/officeDocument/2006/relationships/hyperlink" Target="https://www.google.com/maps/place/Indragiri+Resto+-+Racikan+Nusantara+Surabaya/data=!4m7!3m6!1s0x2dd7fb93bbd5ac7f:0xf33abba5a7afff3b!8m2!3d-7.2885492!4d112.7312356!16s%2Fg%2F1hc21v53c!19sChIJf6zVu5P71y0RO_-vp6W7OvM?authuser=0&amp;hl=zh-TW&amp;rclk=1" TargetMode="External"/><Relationship Id="rId671" Type="http://schemas.openxmlformats.org/officeDocument/2006/relationships/hyperlink" Target="https://www.google.com/maps/place/Bebek+Goreng+Palupi+Rungkut/data=!4m7!3m6!1s0x2dd7fac32e4f865f:0x8b1a1f2b450b3614!8m2!3d-7.3286071!4d112.7752838!16s%2Fg%2F11b8vddtlr!19sChIJX4ZPLsP61y0RFDYLRSsfGos?authuser=0&amp;hl=zh-TW&amp;rclk=1" TargetMode="External"/><Relationship Id="rId670" Type="http://schemas.openxmlformats.org/officeDocument/2006/relationships/hyperlink" Target="https://www.google.com/maps/place/Taman+Pelangi/data=!4m7!3m6!1s0x2dd7fb69dbf567ff:0x2993db27b0539b3d!8m2!3d-7.3275604!4d112.7312242!16s%2Fg%2F11b721z8jg!19sChIJ_2f122n71y0RPZtTsCfbkyk?authuser=0&amp;hl=zh-TW&amp;rclk=1" TargetMode="External"/><Relationship Id="rId433" Type="http://schemas.openxmlformats.org/officeDocument/2006/relationships/hyperlink" Target="https://www.google.com/maps?vet=10CAAQoqAOahcKEwiA0eLgzqiVAxUAAAAAHQAAAAAQEQ..i&amp;pvq=Cg0vZy8xMWI2Z3FmNXpi&amp;fvr=1&amp;cs=1&amp;um=1&amp;ie=UTF-8&amp;fb=1&amp;gl=id&amp;sa=X&amp;ftid=0x2dd7f9b7653c6f77:0x4c32c403f15c5939" TargetMode="External"/><Relationship Id="rId675" Type="http://schemas.openxmlformats.org/officeDocument/2006/relationships/hyperlink" Target="https://www.google.com/maps/place/Penyetan+Mbak+Nur/data=!4m7!3m6!1s0x2dd7fb952eaf095f:0xec3403e540e61b79!8m2!3d-7.2876522!4d112.73648!16s%2Fg%2F11ggs_gbvj!19sChIJXwmvLpX71y0ReRvmQOUDNOw?authuser=0&amp;hl=zh-TW&amp;rclk=1" TargetMode="External"/><Relationship Id="rId432" Type="http://schemas.openxmlformats.org/officeDocument/2006/relationships/hyperlink" Target="https://www.google.com/maps/place/Mash%C5%AB+All+You+Can+Eat/data=!4m7!3m6!1s0x2dd7fba0348e9637:0x938cee7509ef775e!8m2!3d-7.2873119!4d112.7327292!16s%2Fg%2F11h76m7j13!19sChIJN5aONKD71y0RXnfvCXXujJM?authuser=0&amp;hl=zh-TW&amp;rclk=1" TargetMode="External"/><Relationship Id="rId674" Type="http://schemas.openxmlformats.org/officeDocument/2006/relationships/hyperlink" Target="https://www.google.com/maps/place/Empal+Pengampon/data=!4m7!3m6!1s0x2dd7f9132d273a15:0xf355c54ff83938aa!8m2!3d-7.2470413!4d112.747019!16s%2Fg%2F1hc17lb1_!19sChIJFTonLRP51y0Rqjg5-E_FVfM?authuser=0&amp;hl=zh-TW&amp;rclk=1" TargetMode="External"/><Relationship Id="rId431" Type="http://schemas.openxmlformats.org/officeDocument/2006/relationships/hyperlink" Target="https://www.google.com/maps/place/Warung+Mejoyo/data=!4m7!3m6!1s0x2dd7fae470be2a6b:0x3de794bbe9816ad0!8m2!3d-7.3190959!4d112.7693638!16s%2Fg%2F11b76d0gmw!19sChIJayq-cOT61y0R0GqB6buU5z0?authuser=0&amp;hl=zh-TW&amp;rclk=1" TargetMode="External"/><Relationship Id="rId673" Type="http://schemas.openxmlformats.org/officeDocument/2006/relationships/hyperlink" Target="https://www.google.com/maps/place/Taman+Lapang+Wonocolo/data=!4m7!3m6!1s0x2dd7fbb849f9b8e3:0x75b61d80b87e06d5!8m2!3d-7.3189496!4d112.7398378!16s%2Fg%2F11fn2qrdqf!19sChIJ47j5Sbj71y0R1QZ-uIAdtnU?authuser=0&amp;hl=zh-TW&amp;rclk=1" TargetMode="External"/><Relationship Id="rId430" Type="http://schemas.openxmlformats.org/officeDocument/2006/relationships/hyperlink" Target="https://www.google.com/maps/place/Sentra+Wisata+Kuliner+Indrapura/data=!4m7!3m6!1s0x2dd7f93eea7b3f93:0xcc4ae4320a69f8c0!8m2!3d-7.2438092!4d112.7364089!16s%2Fg%2F11cp7lth17!19sChIJkz976j751y0RwPhpCjLkSsw?authuser=0&amp;hl=zh-TW&amp;rclk=1" TargetMode="External"/><Relationship Id="rId672" Type="http://schemas.openxmlformats.org/officeDocument/2006/relationships/hyperlink" Target="https://www.google.com/maps/place/Sontoloyo+Gubeng/data=!4m7!3m6!1s0x2dd7fbc608ed9207:0x4d526c691fe3f055!8m2!3d-7.2727252!4d112.7507038!16s%2Fg%2F11x090w82r!19sChIJB5LtCMb71y0RVfDjH2lsUk0?authuser=0&amp;hl=zh-TW&amp;rclk=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63"/>
    <col customWidth="1" min="2" max="2" width="33.88"/>
    <col customWidth="1" min="12" max="12" width="16.0"/>
  </cols>
  <sheetData>
    <row r="1">
      <c r="A1" s="1" t="s">
        <v>0</v>
      </c>
      <c r="B1" s="2" t="s">
        <v>1</v>
      </c>
      <c r="C1" s="2" t="s">
        <v>2</v>
      </c>
      <c r="D1" s="2" t="s">
        <v>3</v>
      </c>
      <c r="E1" s="1" t="s">
        <v>4</v>
      </c>
      <c r="F1" s="1" t="s">
        <v>5</v>
      </c>
      <c r="G1" s="2" t="s">
        <v>6</v>
      </c>
      <c r="H1" s="2" t="s">
        <v>7</v>
      </c>
      <c r="I1" s="3" t="s">
        <v>8</v>
      </c>
      <c r="J1" s="1" t="s">
        <v>9</v>
      </c>
      <c r="K1" s="1" t="s">
        <v>10</v>
      </c>
      <c r="L1" s="1" t="s">
        <v>11</v>
      </c>
      <c r="M1" s="1" t="s">
        <v>12</v>
      </c>
      <c r="N1" s="4" t="s">
        <v>13</v>
      </c>
      <c r="O1" s="5" t="s">
        <v>14</v>
      </c>
      <c r="P1" s="4" t="s">
        <v>15</v>
      </c>
      <c r="Q1" s="6" t="s">
        <v>16</v>
      </c>
    </row>
    <row r="2">
      <c r="A2" s="6">
        <v>1.0</v>
      </c>
      <c r="B2" s="6" t="s">
        <v>17</v>
      </c>
      <c r="C2" s="6" t="s">
        <v>18</v>
      </c>
      <c r="D2" s="6" t="s">
        <v>19</v>
      </c>
      <c r="E2" s="6" t="s">
        <v>20</v>
      </c>
      <c r="F2" s="7">
        <v>507.0</v>
      </c>
      <c r="G2" s="6" t="s">
        <v>21</v>
      </c>
      <c r="H2" s="7" t="s">
        <v>22</v>
      </c>
      <c r="I2" s="8">
        <v>46269.0</v>
      </c>
      <c r="J2" s="9" t="s">
        <v>23</v>
      </c>
      <c r="L2" s="10">
        <v>0.3333333333333333</v>
      </c>
      <c r="M2" s="10">
        <v>0.9583333333333334</v>
      </c>
      <c r="N2" s="6" t="s">
        <v>24</v>
      </c>
      <c r="O2" s="11">
        <v>-7.2598901E7</v>
      </c>
      <c r="P2" s="11">
        <v>1.127393419E9</v>
      </c>
      <c r="Q2" s="12" t="s">
        <v>25</v>
      </c>
    </row>
    <row r="3">
      <c r="A3" s="13">
        <f t="shared" ref="A3:A799" si="1">A2+1</f>
        <v>2</v>
      </c>
      <c r="B3" s="6" t="s">
        <v>26</v>
      </c>
      <c r="C3" s="6" t="s">
        <v>27</v>
      </c>
      <c r="D3" s="6" t="s">
        <v>19</v>
      </c>
      <c r="E3" s="6" t="s">
        <v>28</v>
      </c>
      <c r="F3" s="7">
        <v>1323.0</v>
      </c>
      <c r="G3" s="6" t="s">
        <v>21</v>
      </c>
      <c r="H3" s="7" t="s">
        <v>29</v>
      </c>
      <c r="I3" s="8">
        <v>46177.0</v>
      </c>
      <c r="J3" s="9" t="s">
        <v>23</v>
      </c>
      <c r="L3" s="10">
        <v>0.4166666666666667</v>
      </c>
      <c r="M3" s="10">
        <v>0.9166666666666666</v>
      </c>
      <c r="N3" s="6" t="s">
        <v>30</v>
      </c>
      <c r="O3" s="11">
        <v>-7.2858283E7</v>
      </c>
      <c r="P3" s="11">
        <v>1.127331216E9</v>
      </c>
      <c r="Q3" s="12" t="s">
        <v>31</v>
      </c>
    </row>
    <row r="4">
      <c r="A4" s="13">
        <f t="shared" si="1"/>
        <v>3</v>
      </c>
      <c r="B4" s="6" t="s">
        <v>32</v>
      </c>
      <c r="C4" s="6" t="s">
        <v>33</v>
      </c>
      <c r="D4" s="6" t="s">
        <v>34</v>
      </c>
      <c r="E4" s="6" t="s">
        <v>35</v>
      </c>
      <c r="F4" s="7">
        <v>1359.0</v>
      </c>
      <c r="G4" s="6" t="s">
        <v>21</v>
      </c>
      <c r="H4" s="7" t="s">
        <v>36</v>
      </c>
      <c r="I4" s="8">
        <v>46146.0</v>
      </c>
      <c r="J4" s="9" t="s">
        <v>23</v>
      </c>
      <c r="L4" s="10">
        <v>0.2916666666666667</v>
      </c>
      <c r="M4" s="10">
        <v>0.625</v>
      </c>
      <c r="N4" s="6" t="s">
        <v>37</v>
      </c>
      <c r="O4" s="11">
        <v>-7.2525207E7</v>
      </c>
      <c r="P4" s="11">
        <v>1.127446953E9</v>
      </c>
      <c r="Q4" s="12" t="s">
        <v>38</v>
      </c>
    </row>
    <row r="5">
      <c r="A5" s="13">
        <f t="shared" si="1"/>
        <v>4</v>
      </c>
      <c r="B5" s="6" t="s">
        <v>39</v>
      </c>
      <c r="C5" s="6" t="s">
        <v>40</v>
      </c>
      <c r="D5" s="6" t="s">
        <v>34</v>
      </c>
      <c r="E5" s="6" t="s">
        <v>41</v>
      </c>
      <c r="F5" s="7">
        <v>1847.0</v>
      </c>
      <c r="G5" s="6" t="s">
        <v>21</v>
      </c>
      <c r="H5" s="7" t="s">
        <v>22</v>
      </c>
      <c r="I5" s="8">
        <v>46085.0</v>
      </c>
      <c r="J5" s="9" t="s">
        <v>23</v>
      </c>
      <c r="L5" s="10">
        <v>0.6666666666666666</v>
      </c>
      <c r="M5" s="10">
        <v>0.9166666666666666</v>
      </c>
      <c r="N5" s="6" t="s">
        <v>42</v>
      </c>
      <c r="O5" s="11">
        <v>-7.2802789E7</v>
      </c>
      <c r="P5" s="11">
        <v>1.127494287E9</v>
      </c>
      <c r="Q5" s="12" t="s">
        <v>43</v>
      </c>
    </row>
    <row r="6">
      <c r="A6" s="13">
        <f t="shared" si="1"/>
        <v>5</v>
      </c>
      <c r="B6" s="9" t="s">
        <v>44</v>
      </c>
      <c r="C6" s="14" t="s">
        <v>45</v>
      </c>
      <c r="D6" s="9" t="s">
        <v>46</v>
      </c>
      <c r="E6" s="14" t="s">
        <v>47</v>
      </c>
      <c r="F6" s="15">
        <v>221.0</v>
      </c>
      <c r="G6" s="9" t="s">
        <v>21</v>
      </c>
      <c r="H6" s="16">
        <v>0.0</v>
      </c>
      <c r="I6" s="17">
        <v>46238.0</v>
      </c>
      <c r="J6" s="9" t="s">
        <v>23</v>
      </c>
      <c r="K6" s="9"/>
      <c r="L6" s="18">
        <v>0.0</v>
      </c>
      <c r="M6" s="18">
        <v>0.9993055555555556</v>
      </c>
      <c r="N6" s="19" t="s">
        <v>48</v>
      </c>
      <c r="O6" s="20" t="str">
        <f>IFERROR(__xludf.DUMMYFUNCTION("REGEXEXTRACT(N6,""^-?[0-9.]+"")"),"-7.260153182222541")</f>
        <v>-7.260153182222541</v>
      </c>
      <c r="P6" s="21" t="str">
        <f>IFERROR(__xludf.DUMMYFUNCTION("REGEXEXTRACT(N6,"",\s*(-?[0-9.]+)"")"),"112.73950248957301")</f>
        <v>112.73950248957301</v>
      </c>
      <c r="Q6" s="22" t="s">
        <v>49</v>
      </c>
      <c r="R6" s="23"/>
      <c r="S6" s="23"/>
      <c r="T6" s="23"/>
      <c r="U6" s="23"/>
      <c r="V6" s="23"/>
      <c r="W6" s="23"/>
      <c r="X6" s="23"/>
      <c r="Y6" s="23"/>
      <c r="Z6" s="23"/>
      <c r="AA6" s="23"/>
      <c r="AB6" s="23"/>
      <c r="AC6" s="23"/>
      <c r="AD6" s="23"/>
      <c r="AE6" s="23"/>
    </row>
    <row r="7">
      <c r="A7" s="13">
        <f t="shared" si="1"/>
        <v>6</v>
      </c>
      <c r="B7" s="24" t="s">
        <v>50</v>
      </c>
      <c r="C7" s="25" t="s">
        <v>51</v>
      </c>
      <c r="D7" s="9" t="s">
        <v>19</v>
      </c>
      <c r="E7" s="25" t="s">
        <v>52</v>
      </c>
      <c r="F7" s="16">
        <v>2156.0</v>
      </c>
      <c r="G7" s="9" t="s">
        <v>21</v>
      </c>
      <c r="H7" s="26" t="s">
        <v>22</v>
      </c>
      <c r="I7" s="17">
        <v>46146.0</v>
      </c>
      <c r="J7" s="9" t="s">
        <v>23</v>
      </c>
      <c r="K7" s="9"/>
      <c r="L7" s="18">
        <v>0.4166666666666667</v>
      </c>
      <c r="M7" s="18">
        <v>0.9166666666666666</v>
      </c>
      <c r="N7" s="19" t="s">
        <v>53</v>
      </c>
      <c r="O7" s="20" t="str">
        <f>IFERROR(__xludf.DUMMYFUNCTION("REGEXEXTRACT(N7,""^-?[0-9.]+"")"),"-7.261025892481609")</f>
        <v>-7.261025892481609</v>
      </c>
      <c r="P7" s="21" t="str">
        <f>IFERROR(__xludf.DUMMYFUNCTION("REGEXEXTRACT(N7,"",\s*(-?[0-9.]+)"")"),"112.74880975485473")</f>
        <v>112.74880975485473</v>
      </c>
      <c r="Q7" s="22" t="s">
        <v>54</v>
      </c>
      <c r="R7" s="23"/>
      <c r="S7" s="23"/>
      <c r="T7" s="23"/>
      <c r="U7" s="23"/>
      <c r="V7" s="23"/>
      <c r="W7" s="23"/>
      <c r="X7" s="23"/>
      <c r="Y7" s="23"/>
      <c r="Z7" s="23"/>
      <c r="AA7" s="23"/>
      <c r="AB7" s="23"/>
      <c r="AC7" s="23"/>
      <c r="AD7" s="23"/>
      <c r="AE7" s="23"/>
    </row>
    <row r="8">
      <c r="A8" s="13">
        <f t="shared" si="1"/>
        <v>7</v>
      </c>
      <c r="B8" s="6" t="s">
        <v>55</v>
      </c>
      <c r="C8" s="6" t="s">
        <v>56</v>
      </c>
      <c r="D8" s="6" t="s">
        <v>19</v>
      </c>
      <c r="E8" s="6" t="s">
        <v>57</v>
      </c>
      <c r="F8" s="7">
        <v>136.0</v>
      </c>
      <c r="G8" s="6" t="s">
        <v>21</v>
      </c>
      <c r="H8" s="7">
        <v>250000.0</v>
      </c>
      <c r="I8" s="8">
        <v>46177.0</v>
      </c>
      <c r="J8" s="27" t="s">
        <v>58</v>
      </c>
      <c r="K8" s="6" t="s">
        <v>59</v>
      </c>
      <c r="L8" s="10">
        <v>0.7083333333333334</v>
      </c>
      <c r="M8" s="10">
        <v>0.9583333333333334</v>
      </c>
      <c r="N8" s="6" t="s">
        <v>60</v>
      </c>
      <c r="O8" s="11">
        <v>-7.2886644E7</v>
      </c>
      <c r="P8" s="11">
        <v>1.12678333E8</v>
      </c>
      <c r="Q8" s="12" t="s">
        <v>61</v>
      </c>
    </row>
    <row r="9">
      <c r="A9" s="13">
        <f t="shared" si="1"/>
        <v>8</v>
      </c>
      <c r="B9" s="6" t="s">
        <v>62</v>
      </c>
      <c r="C9" s="6" t="s">
        <v>63</v>
      </c>
      <c r="D9" s="6" t="s">
        <v>34</v>
      </c>
      <c r="E9" s="6" t="s">
        <v>64</v>
      </c>
      <c r="F9" s="7">
        <v>3411.0</v>
      </c>
      <c r="G9" s="6" t="s">
        <v>21</v>
      </c>
      <c r="H9" s="7" t="s">
        <v>22</v>
      </c>
      <c r="I9" s="8">
        <v>46146.0</v>
      </c>
      <c r="J9" s="27" t="s">
        <v>65</v>
      </c>
      <c r="K9" s="6" t="s">
        <v>66</v>
      </c>
      <c r="L9" s="10">
        <v>0.2708333333333333</v>
      </c>
      <c r="M9" s="10">
        <v>0.7291666666666666</v>
      </c>
      <c r="N9" s="6" t="s">
        <v>67</v>
      </c>
      <c r="O9" s="11">
        <v>-7.2878148E7</v>
      </c>
      <c r="P9" s="11">
        <v>1.127682769E9</v>
      </c>
      <c r="Q9" s="12" t="s">
        <v>68</v>
      </c>
    </row>
    <row r="10">
      <c r="A10" s="13">
        <f t="shared" si="1"/>
        <v>9</v>
      </c>
      <c r="B10" s="6" t="s">
        <v>69</v>
      </c>
      <c r="C10" s="6" t="s">
        <v>70</v>
      </c>
      <c r="D10" s="6" t="s">
        <v>34</v>
      </c>
      <c r="E10" s="6" t="s">
        <v>71</v>
      </c>
      <c r="F10" s="7">
        <v>561.0</v>
      </c>
      <c r="G10" s="6" t="s">
        <v>21</v>
      </c>
      <c r="H10" s="7" t="s">
        <v>72</v>
      </c>
      <c r="I10" s="8">
        <v>46146.0</v>
      </c>
      <c r="J10" s="9" t="s">
        <v>23</v>
      </c>
      <c r="L10" s="10">
        <v>0.0</v>
      </c>
      <c r="M10" s="10">
        <v>0.9993055555555556</v>
      </c>
      <c r="N10" s="6" t="s">
        <v>73</v>
      </c>
      <c r="O10" s="11">
        <v>-7.2748924E7</v>
      </c>
      <c r="P10" s="11">
        <v>1.127011636E9</v>
      </c>
      <c r="Q10" s="12" t="s">
        <v>74</v>
      </c>
    </row>
    <row r="11">
      <c r="A11" s="13">
        <f t="shared" si="1"/>
        <v>10</v>
      </c>
      <c r="B11" s="6" t="s">
        <v>75</v>
      </c>
      <c r="C11" s="6" t="s">
        <v>76</v>
      </c>
      <c r="D11" s="6" t="s">
        <v>34</v>
      </c>
      <c r="E11" s="6" t="s">
        <v>77</v>
      </c>
      <c r="F11" s="7">
        <v>338.0</v>
      </c>
      <c r="G11" s="6" t="s">
        <v>21</v>
      </c>
      <c r="H11" s="7" t="s">
        <v>36</v>
      </c>
      <c r="I11" s="8">
        <v>46177.0</v>
      </c>
      <c r="J11" s="27" t="s">
        <v>65</v>
      </c>
      <c r="K11" s="6" t="s">
        <v>66</v>
      </c>
      <c r="L11" s="10">
        <v>0.4375</v>
      </c>
      <c r="M11" s="10">
        <v>0.6666666666666666</v>
      </c>
      <c r="N11" s="6" t="s">
        <v>78</v>
      </c>
      <c r="O11" s="11">
        <v>-7.2677907E7</v>
      </c>
      <c r="P11" s="11">
        <v>1.127492986E9</v>
      </c>
      <c r="Q11" s="12" t="s">
        <v>79</v>
      </c>
    </row>
    <row r="12">
      <c r="A12" s="13">
        <f t="shared" si="1"/>
        <v>11</v>
      </c>
      <c r="B12" s="6" t="s">
        <v>80</v>
      </c>
      <c r="C12" s="6" t="s">
        <v>81</v>
      </c>
      <c r="D12" s="6" t="s">
        <v>34</v>
      </c>
      <c r="E12" s="6" t="s">
        <v>82</v>
      </c>
      <c r="F12" s="7">
        <v>1593.0</v>
      </c>
      <c r="G12" s="6" t="s">
        <v>21</v>
      </c>
      <c r="H12" s="7" t="s">
        <v>36</v>
      </c>
      <c r="I12" s="8">
        <v>46085.0</v>
      </c>
      <c r="J12" s="9" t="s">
        <v>23</v>
      </c>
      <c r="L12" s="10">
        <v>0.5</v>
      </c>
      <c r="M12" s="10">
        <v>0.8958333333333334</v>
      </c>
      <c r="N12" s="6" t="s">
        <v>83</v>
      </c>
      <c r="O12" s="11">
        <v>-7.2576953E7</v>
      </c>
      <c r="P12" s="11">
        <v>1.127579731E9</v>
      </c>
      <c r="Q12" s="12" t="s">
        <v>84</v>
      </c>
    </row>
    <row r="13">
      <c r="A13" s="13">
        <f t="shared" si="1"/>
        <v>12</v>
      </c>
      <c r="B13" s="6" t="s">
        <v>85</v>
      </c>
      <c r="C13" s="6" t="s">
        <v>86</v>
      </c>
      <c r="D13" s="6" t="s">
        <v>34</v>
      </c>
      <c r="E13" s="6" t="s">
        <v>86</v>
      </c>
      <c r="F13" s="7">
        <v>3396.0</v>
      </c>
      <c r="G13" s="6" t="s">
        <v>21</v>
      </c>
      <c r="H13" s="7" t="s">
        <v>87</v>
      </c>
      <c r="I13" s="8">
        <v>46238.0</v>
      </c>
      <c r="J13" s="9" t="s">
        <v>23</v>
      </c>
      <c r="L13" s="10">
        <v>0.5</v>
      </c>
      <c r="M13" s="10">
        <v>0.9166666666666666</v>
      </c>
      <c r="N13" s="6" t="s">
        <v>88</v>
      </c>
      <c r="O13" s="11">
        <v>-7.2945121E7</v>
      </c>
      <c r="P13" s="11">
        <v>1.127326607E9</v>
      </c>
      <c r="Q13" s="12" t="s">
        <v>89</v>
      </c>
    </row>
    <row r="14">
      <c r="A14" s="13">
        <f t="shared" si="1"/>
        <v>13</v>
      </c>
      <c r="B14" s="6" t="s">
        <v>90</v>
      </c>
      <c r="C14" s="6" t="s">
        <v>91</v>
      </c>
      <c r="D14" s="6" t="s">
        <v>46</v>
      </c>
      <c r="E14" s="6" t="s">
        <v>92</v>
      </c>
      <c r="F14" s="7">
        <v>188.0</v>
      </c>
      <c r="G14" s="6" t="s">
        <v>21</v>
      </c>
      <c r="H14" s="7">
        <v>0.0</v>
      </c>
      <c r="I14" s="8">
        <v>46177.0</v>
      </c>
      <c r="J14" s="9" t="s">
        <v>23</v>
      </c>
      <c r="L14" s="10">
        <v>0.0</v>
      </c>
      <c r="M14" s="10">
        <v>0.9993055555555556</v>
      </c>
      <c r="N14" s="6" t="s">
        <v>93</v>
      </c>
      <c r="O14" s="11">
        <v>-7.2691696E7</v>
      </c>
      <c r="P14" s="11">
        <v>1.127830632E9</v>
      </c>
      <c r="Q14" s="12" t="s">
        <v>94</v>
      </c>
    </row>
    <row r="15">
      <c r="A15" s="13">
        <f t="shared" si="1"/>
        <v>14</v>
      </c>
      <c r="B15" s="6" t="s">
        <v>95</v>
      </c>
      <c r="C15" s="6" t="s">
        <v>96</v>
      </c>
      <c r="D15" s="6" t="s">
        <v>34</v>
      </c>
      <c r="E15" s="6" t="s">
        <v>97</v>
      </c>
      <c r="F15" s="7">
        <v>306.0</v>
      </c>
      <c r="G15" s="6" t="s">
        <v>21</v>
      </c>
      <c r="H15" s="7" t="s">
        <v>36</v>
      </c>
      <c r="I15" s="8">
        <v>46146.0</v>
      </c>
      <c r="J15" s="9" t="s">
        <v>23</v>
      </c>
      <c r="L15" s="10">
        <v>0.2916666666666667</v>
      </c>
      <c r="M15" s="10">
        <v>0.8854166666666666</v>
      </c>
      <c r="N15" s="6" t="s">
        <v>98</v>
      </c>
      <c r="O15" s="11">
        <v>-7.2543638E7</v>
      </c>
      <c r="P15" s="11">
        <v>1.127823786E9</v>
      </c>
      <c r="Q15" s="12" t="s">
        <v>99</v>
      </c>
    </row>
    <row r="16">
      <c r="A16" s="13">
        <f t="shared" si="1"/>
        <v>15</v>
      </c>
      <c r="B16" s="6" t="s">
        <v>100</v>
      </c>
      <c r="C16" s="6" t="s">
        <v>101</v>
      </c>
      <c r="D16" s="6" t="s">
        <v>34</v>
      </c>
      <c r="E16" s="6" t="s">
        <v>102</v>
      </c>
      <c r="F16" s="7">
        <v>976.0</v>
      </c>
      <c r="G16" s="6" t="s">
        <v>21</v>
      </c>
      <c r="H16" s="7" t="s">
        <v>22</v>
      </c>
      <c r="I16" s="8">
        <v>46177.0</v>
      </c>
      <c r="J16" s="27" t="s">
        <v>103</v>
      </c>
      <c r="K16" s="6" t="s">
        <v>104</v>
      </c>
      <c r="L16" s="10">
        <v>0.2916666666666667</v>
      </c>
      <c r="M16" s="10">
        <v>0.6666666666666666</v>
      </c>
      <c r="N16" s="6" t="s">
        <v>105</v>
      </c>
      <c r="O16" s="11">
        <v>-7275834.0</v>
      </c>
      <c r="P16" s="11">
        <v>1.127053885E9</v>
      </c>
      <c r="Q16" s="12" t="s">
        <v>106</v>
      </c>
    </row>
    <row r="17">
      <c r="A17" s="13">
        <f t="shared" si="1"/>
        <v>16</v>
      </c>
      <c r="B17" s="6" t="s">
        <v>107</v>
      </c>
      <c r="C17" s="6" t="s">
        <v>108</v>
      </c>
      <c r="D17" s="6" t="s">
        <v>34</v>
      </c>
      <c r="E17" s="6" t="s">
        <v>109</v>
      </c>
      <c r="F17" s="7">
        <v>124.0</v>
      </c>
      <c r="G17" s="6" t="s">
        <v>21</v>
      </c>
      <c r="H17" s="7" t="s">
        <v>36</v>
      </c>
      <c r="I17" s="8">
        <v>46116.0</v>
      </c>
      <c r="J17" s="9" t="s">
        <v>23</v>
      </c>
      <c r="L17" s="10">
        <v>0.4583333333333333</v>
      </c>
      <c r="M17" s="10">
        <v>0.9583333333333334</v>
      </c>
      <c r="N17" s="6" t="s">
        <v>110</v>
      </c>
      <c r="O17" s="11">
        <v>-7.3002765E7</v>
      </c>
      <c r="P17" s="11">
        <v>1.127728283E9</v>
      </c>
      <c r="Q17" s="12" t="s">
        <v>111</v>
      </c>
    </row>
    <row r="18">
      <c r="A18" s="13">
        <f t="shared" si="1"/>
        <v>17</v>
      </c>
      <c r="B18" s="6" t="s">
        <v>112</v>
      </c>
      <c r="C18" s="6" t="s">
        <v>113</v>
      </c>
      <c r="D18" s="6" t="s">
        <v>34</v>
      </c>
      <c r="E18" s="6" t="s">
        <v>114</v>
      </c>
      <c r="F18" s="7">
        <v>69.0</v>
      </c>
      <c r="G18" s="6" t="s">
        <v>21</v>
      </c>
      <c r="H18" s="7" t="s">
        <v>36</v>
      </c>
      <c r="I18" s="8">
        <v>46238.0</v>
      </c>
      <c r="J18" s="9" t="s">
        <v>23</v>
      </c>
      <c r="L18" s="10">
        <v>0.45902777777777776</v>
      </c>
      <c r="M18" s="10">
        <v>0.9166666666666666</v>
      </c>
      <c r="N18" s="6" t="s">
        <v>115</v>
      </c>
      <c r="O18" s="11">
        <v>-7.3434727E7</v>
      </c>
      <c r="P18" s="11">
        <v>1.127372855E9</v>
      </c>
      <c r="Q18" s="12" t="s">
        <v>116</v>
      </c>
    </row>
    <row r="19">
      <c r="A19" s="13">
        <f t="shared" si="1"/>
        <v>18</v>
      </c>
      <c r="B19" s="6" t="s">
        <v>117</v>
      </c>
      <c r="C19" s="6" t="s">
        <v>118</v>
      </c>
      <c r="D19" s="6" t="s">
        <v>46</v>
      </c>
      <c r="E19" s="6" t="s">
        <v>119</v>
      </c>
      <c r="F19" s="7">
        <v>806.0</v>
      </c>
      <c r="G19" s="6" t="s">
        <v>21</v>
      </c>
      <c r="H19" s="7">
        <v>0.0</v>
      </c>
      <c r="I19" s="8">
        <v>46146.0</v>
      </c>
      <c r="J19" s="9" t="s">
        <v>23</v>
      </c>
      <c r="L19" s="10">
        <v>0.0</v>
      </c>
      <c r="M19" s="10">
        <v>0.9993055555555556</v>
      </c>
      <c r="N19" s="6" t="s">
        <v>120</v>
      </c>
      <c r="O19" s="11">
        <v>-7.2475283E7</v>
      </c>
      <c r="P19" s="11">
        <v>1.127341726E9</v>
      </c>
      <c r="Q19" s="12" t="s">
        <v>121</v>
      </c>
    </row>
    <row r="20">
      <c r="A20" s="13">
        <f t="shared" si="1"/>
        <v>19</v>
      </c>
      <c r="B20" s="6" t="s">
        <v>122</v>
      </c>
      <c r="C20" s="6" t="s">
        <v>123</v>
      </c>
      <c r="D20" s="6" t="s">
        <v>34</v>
      </c>
      <c r="E20" s="6" t="s">
        <v>124</v>
      </c>
      <c r="F20" s="7">
        <v>96.0</v>
      </c>
      <c r="G20" s="6" t="s">
        <v>21</v>
      </c>
      <c r="H20" s="7" t="s">
        <v>36</v>
      </c>
      <c r="I20" s="8">
        <v>46269.0</v>
      </c>
      <c r="J20" s="9" t="s">
        <v>23</v>
      </c>
      <c r="L20" s="10">
        <v>0.6666666666666666</v>
      </c>
      <c r="M20" s="10">
        <v>0.041666666666666664</v>
      </c>
      <c r="N20" s="6" t="s">
        <v>125</v>
      </c>
      <c r="O20" s="11">
        <v>-7.2742691E7</v>
      </c>
      <c r="P20" s="11">
        <v>1.12636627E8</v>
      </c>
      <c r="Q20" s="12" t="s">
        <v>126</v>
      </c>
    </row>
    <row r="21">
      <c r="A21" s="13">
        <f t="shared" si="1"/>
        <v>20</v>
      </c>
      <c r="B21" s="28" t="s">
        <v>127</v>
      </c>
      <c r="C21" s="28" t="s">
        <v>128</v>
      </c>
      <c r="D21" s="28" t="s">
        <v>129</v>
      </c>
      <c r="E21" s="28" t="s">
        <v>130</v>
      </c>
      <c r="F21" s="28">
        <v>17842.0</v>
      </c>
      <c r="G21" s="28" t="s">
        <v>21</v>
      </c>
      <c r="H21" s="28" t="s">
        <v>131</v>
      </c>
      <c r="I21" s="29">
        <v>46207.0</v>
      </c>
      <c r="J21" s="9" t="s">
        <v>23</v>
      </c>
      <c r="K21" s="30"/>
      <c r="L21" s="31">
        <v>0.4166666666666667</v>
      </c>
      <c r="M21" s="31">
        <v>0.9166666666666666</v>
      </c>
      <c r="N21" s="32" t="s">
        <v>132</v>
      </c>
      <c r="O21" s="33" t="s">
        <v>133</v>
      </c>
      <c r="P21" s="34" t="s">
        <v>134</v>
      </c>
      <c r="Q21" s="12" t="s">
        <v>135</v>
      </c>
    </row>
    <row r="22">
      <c r="A22" s="13">
        <f t="shared" si="1"/>
        <v>21</v>
      </c>
      <c r="B22" s="6" t="s">
        <v>136</v>
      </c>
      <c r="C22" s="6" t="s">
        <v>137</v>
      </c>
      <c r="D22" s="6" t="s">
        <v>34</v>
      </c>
      <c r="E22" s="6" t="s">
        <v>138</v>
      </c>
      <c r="F22" s="7">
        <v>1298.0</v>
      </c>
      <c r="G22" s="6" t="s">
        <v>21</v>
      </c>
      <c r="H22" s="7" t="s">
        <v>22</v>
      </c>
      <c r="I22" s="8">
        <v>46116.0</v>
      </c>
      <c r="J22" s="9" t="s">
        <v>23</v>
      </c>
      <c r="L22" s="10">
        <v>0.5416666666666666</v>
      </c>
      <c r="M22" s="10">
        <v>0.0</v>
      </c>
      <c r="N22" s="6" t="s">
        <v>139</v>
      </c>
      <c r="O22" s="11">
        <v>-7.2660166E7</v>
      </c>
      <c r="P22" s="11">
        <v>1.127664359E9</v>
      </c>
      <c r="Q22" s="12" t="s">
        <v>140</v>
      </c>
    </row>
    <row r="23">
      <c r="A23" s="13">
        <f t="shared" si="1"/>
        <v>22</v>
      </c>
      <c r="B23" s="6" t="s">
        <v>141</v>
      </c>
      <c r="C23" s="6" t="s">
        <v>142</v>
      </c>
      <c r="D23" s="6" t="s">
        <v>19</v>
      </c>
      <c r="E23" s="6" t="s">
        <v>143</v>
      </c>
      <c r="F23" s="7">
        <v>3242.0</v>
      </c>
      <c r="G23" s="6" t="s">
        <v>21</v>
      </c>
      <c r="H23" s="7" t="s">
        <v>22</v>
      </c>
      <c r="I23" s="8">
        <v>46116.0</v>
      </c>
      <c r="J23" s="9" t="s">
        <v>23</v>
      </c>
      <c r="L23" s="10">
        <v>0.3333333333333333</v>
      </c>
      <c r="M23" s="10">
        <v>0.125</v>
      </c>
      <c r="N23" s="6" t="s">
        <v>144</v>
      </c>
      <c r="O23" s="11">
        <v>-7.2925846E7</v>
      </c>
      <c r="P23" s="11">
        <v>1.127512433E9</v>
      </c>
      <c r="Q23" s="12" t="s">
        <v>145</v>
      </c>
    </row>
    <row r="24">
      <c r="A24" s="13">
        <f t="shared" si="1"/>
        <v>23</v>
      </c>
      <c r="B24" s="6" t="s">
        <v>146</v>
      </c>
      <c r="C24" s="6" t="s">
        <v>147</v>
      </c>
      <c r="D24" s="6" t="s">
        <v>34</v>
      </c>
      <c r="E24" s="6" t="s">
        <v>148</v>
      </c>
      <c r="F24" s="7">
        <v>10485.0</v>
      </c>
      <c r="G24" s="6" t="s">
        <v>21</v>
      </c>
      <c r="H24" s="7" t="s">
        <v>22</v>
      </c>
      <c r="I24" s="8">
        <v>46116.0</v>
      </c>
      <c r="J24" s="9" t="s">
        <v>23</v>
      </c>
      <c r="L24" s="10">
        <v>0.3333333333333333</v>
      </c>
      <c r="M24" s="10">
        <v>0.9166666666666666</v>
      </c>
      <c r="N24" s="6" t="s">
        <v>149</v>
      </c>
      <c r="O24" s="11">
        <v>-7.2601075E7</v>
      </c>
      <c r="P24" s="11">
        <v>1.127442245E9</v>
      </c>
      <c r="Q24" s="12" t="s">
        <v>150</v>
      </c>
    </row>
    <row r="25">
      <c r="A25" s="13">
        <f t="shared" si="1"/>
        <v>24</v>
      </c>
      <c r="B25" s="6" t="s">
        <v>151</v>
      </c>
      <c r="C25" s="6" t="s">
        <v>152</v>
      </c>
      <c r="D25" s="6" t="s">
        <v>46</v>
      </c>
      <c r="E25" s="6" t="s">
        <v>153</v>
      </c>
      <c r="F25" s="7">
        <v>20.0</v>
      </c>
      <c r="G25" s="6" t="s">
        <v>21</v>
      </c>
      <c r="H25" s="7">
        <v>0.0</v>
      </c>
      <c r="I25" s="8">
        <v>46177.0</v>
      </c>
      <c r="J25" s="9" t="s">
        <v>23</v>
      </c>
      <c r="L25" s="10">
        <v>0.0</v>
      </c>
      <c r="M25" s="10">
        <v>0.9993055555555556</v>
      </c>
      <c r="N25" s="6" t="s">
        <v>154</v>
      </c>
      <c r="O25" s="11">
        <v>-7.3385112E7</v>
      </c>
      <c r="P25" s="11">
        <v>1.127673209E9</v>
      </c>
      <c r="Q25" s="12" t="s">
        <v>155</v>
      </c>
    </row>
    <row r="26">
      <c r="A26" s="13">
        <f t="shared" si="1"/>
        <v>25</v>
      </c>
      <c r="B26" s="6" t="s">
        <v>156</v>
      </c>
      <c r="C26" s="6" t="s">
        <v>157</v>
      </c>
      <c r="D26" s="6" t="s">
        <v>19</v>
      </c>
      <c r="E26" s="6" t="s">
        <v>158</v>
      </c>
      <c r="F26" s="7">
        <v>653.0</v>
      </c>
      <c r="G26" s="6" t="s">
        <v>21</v>
      </c>
      <c r="H26" s="7" t="s">
        <v>22</v>
      </c>
      <c r="I26" s="8">
        <v>46177.0</v>
      </c>
      <c r="J26" s="9" t="s">
        <v>23</v>
      </c>
      <c r="L26" s="10">
        <v>0.375</v>
      </c>
      <c r="M26" s="10">
        <v>0.9583333333333334</v>
      </c>
      <c r="N26" s="6" t="s">
        <v>159</v>
      </c>
      <c r="O26" s="11">
        <v>-7.2917597E7</v>
      </c>
      <c r="P26" s="11">
        <v>1.12812315E8</v>
      </c>
      <c r="Q26" s="12" t="s">
        <v>160</v>
      </c>
    </row>
    <row r="27">
      <c r="A27" s="13">
        <f t="shared" si="1"/>
        <v>26</v>
      </c>
      <c r="B27" s="6" t="s">
        <v>161</v>
      </c>
      <c r="C27" s="6" t="s">
        <v>162</v>
      </c>
      <c r="D27" s="6" t="s">
        <v>34</v>
      </c>
      <c r="E27" s="6" t="s">
        <v>163</v>
      </c>
      <c r="F27" s="7">
        <v>2438.0</v>
      </c>
      <c r="G27" s="6" t="s">
        <v>21</v>
      </c>
      <c r="H27" s="7" t="s">
        <v>164</v>
      </c>
      <c r="I27" s="8">
        <v>46238.0</v>
      </c>
      <c r="J27" s="9" t="s">
        <v>23</v>
      </c>
      <c r="L27" s="10">
        <v>0.4166666666666667</v>
      </c>
      <c r="M27" s="10">
        <v>0.0</v>
      </c>
      <c r="N27" s="6" t="s">
        <v>165</v>
      </c>
      <c r="O27" s="11">
        <v>-7.2732746E7</v>
      </c>
      <c r="P27" s="11">
        <v>1.127466362E9</v>
      </c>
      <c r="Q27" s="12" t="s">
        <v>166</v>
      </c>
    </row>
    <row r="28">
      <c r="A28" s="13">
        <f t="shared" si="1"/>
        <v>27</v>
      </c>
      <c r="B28" s="6" t="s">
        <v>167</v>
      </c>
      <c r="C28" s="6" t="s">
        <v>168</v>
      </c>
      <c r="D28" s="6" t="s">
        <v>34</v>
      </c>
      <c r="E28" s="6" t="s">
        <v>169</v>
      </c>
      <c r="F28" s="7">
        <v>32.0</v>
      </c>
      <c r="G28" s="6" t="s">
        <v>21</v>
      </c>
      <c r="H28" s="7" t="s">
        <v>36</v>
      </c>
      <c r="I28" s="8">
        <v>46269.0</v>
      </c>
      <c r="J28" s="9" t="s">
        <v>23</v>
      </c>
      <c r="L28" s="10">
        <v>0.4583333333333333</v>
      </c>
      <c r="M28" s="10">
        <v>0.8125</v>
      </c>
      <c r="N28" s="6" t="s">
        <v>170</v>
      </c>
      <c r="O28" s="11">
        <v>-7.2465379E7</v>
      </c>
      <c r="P28" s="11">
        <v>1.127572979E9</v>
      </c>
      <c r="Q28" s="12" t="s">
        <v>171</v>
      </c>
    </row>
    <row r="29">
      <c r="A29" s="13">
        <f t="shared" si="1"/>
        <v>28</v>
      </c>
      <c r="B29" s="6" t="s">
        <v>172</v>
      </c>
      <c r="C29" s="6" t="s">
        <v>173</v>
      </c>
      <c r="D29" s="6" t="s">
        <v>34</v>
      </c>
      <c r="E29" s="6" t="s">
        <v>174</v>
      </c>
      <c r="F29" s="7">
        <v>2342.0</v>
      </c>
      <c r="G29" s="6" t="s">
        <v>21</v>
      </c>
      <c r="H29" s="7" t="s">
        <v>22</v>
      </c>
      <c r="I29" s="8">
        <v>46146.0</v>
      </c>
      <c r="J29" s="9" t="s">
        <v>23</v>
      </c>
      <c r="L29" s="10">
        <v>0.2916666666666667</v>
      </c>
      <c r="M29" s="10">
        <v>0.7916666666666666</v>
      </c>
      <c r="N29" s="6" t="s">
        <v>175</v>
      </c>
      <c r="O29" s="11">
        <v>-7.2877322E7</v>
      </c>
      <c r="P29" s="11">
        <v>1.127624485E9</v>
      </c>
      <c r="Q29" s="12" t="s">
        <v>176</v>
      </c>
    </row>
    <row r="30">
      <c r="A30" s="13">
        <f t="shared" si="1"/>
        <v>29</v>
      </c>
      <c r="B30" s="6" t="s">
        <v>177</v>
      </c>
      <c r="C30" s="6" t="s">
        <v>178</v>
      </c>
      <c r="D30" s="6" t="s">
        <v>34</v>
      </c>
      <c r="E30" s="6" t="s">
        <v>179</v>
      </c>
      <c r="F30" s="7">
        <v>204.0</v>
      </c>
      <c r="G30" s="6" t="s">
        <v>21</v>
      </c>
      <c r="H30" s="7" t="s">
        <v>36</v>
      </c>
      <c r="I30" s="8">
        <v>46146.0</v>
      </c>
      <c r="J30" s="9" t="s">
        <v>23</v>
      </c>
      <c r="L30" s="10">
        <v>0.2972222222222222</v>
      </c>
      <c r="M30" s="10">
        <v>0.8805555555555555</v>
      </c>
      <c r="N30" s="6" t="s">
        <v>180</v>
      </c>
      <c r="O30" s="11">
        <v>-7.2266081E7</v>
      </c>
      <c r="P30" s="11">
        <v>1.127684107E9</v>
      </c>
      <c r="Q30" s="12" t="s">
        <v>181</v>
      </c>
    </row>
    <row r="31">
      <c r="A31" s="13">
        <f t="shared" si="1"/>
        <v>30</v>
      </c>
      <c r="B31" s="6" t="s">
        <v>182</v>
      </c>
      <c r="C31" s="6" t="s">
        <v>183</v>
      </c>
      <c r="D31" s="6" t="s">
        <v>19</v>
      </c>
      <c r="E31" s="6" t="s">
        <v>184</v>
      </c>
      <c r="F31" s="7">
        <v>155.0</v>
      </c>
      <c r="G31" s="6" t="s">
        <v>21</v>
      </c>
      <c r="H31" s="7">
        <v>250000.0</v>
      </c>
      <c r="I31" s="8">
        <v>46238.0</v>
      </c>
      <c r="J31" s="9" t="s">
        <v>23</v>
      </c>
      <c r="L31" s="10">
        <v>0.4166666666666667</v>
      </c>
      <c r="M31" s="10">
        <v>0.9583333333333334</v>
      </c>
      <c r="N31" s="6" t="s">
        <v>185</v>
      </c>
      <c r="O31" s="11">
        <v>-7.2868057E7</v>
      </c>
      <c r="P31" s="11">
        <v>1.126470856E9</v>
      </c>
      <c r="Q31" s="12" t="s">
        <v>186</v>
      </c>
    </row>
    <row r="32">
      <c r="A32" s="13">
        <f t="shared" si="1"/>
        <v>31</v>
      </c>
      <c r="B32" s="6" t="s">
        <v>187</v>
      </c>
      <c r="C32" s="6" t="s">
        <v>188</v>
      </c>
      <c r="D32" s="6" t="s">
        <v>19</v>
      </c>
      <c r="E32" s="6" t="s">
        <v>189</v>
      </c>
      <c r="F32" s="7">
        <v>898.0</v>
      </c>
      <c r="G32" s="6" t="s">
        <v>21</v>
      </c>
      <c r="H32" s="7" t="s">
        <v>22</v>
      </c>
      <c r="I32" s="8">
        <v>46085.0</v>
      </c>
      <c r="J32" s="9" t="s">
        <v>23</v>
      </c>
      <c r="L32" s="10">
        <v>0.6666666666666666</v>
      </c>
      <c r="M32" s="10">
        <v>0.9166666666666666</v>
      </c>
      <c r="N32" s="6" t="s">
        <v>190</v>
      </c>
      <c r="O32" s="11">
        <v>-7.2638032E7</v>
      </c>
      <c r="P32" s="11">
        <v>1.127173132E9</v>
      </c>
      <c r="Q32" s="12" t="s">
        <v>191</v>
      </c>
    </row>
    <row r="33">
      <c r="A33" s="13">
        <f t="shared" si="1"/>
        <v>32</v>
      </c>
      <c r="B33" s="6" t="s">
        <v>192</v>
      </c>
      <c r="C33" s="6" t="s">
        <v>193</v>
      </c>
      <c r="D33" s="6" t="s">
        <v>19</v>
      </c>
      <c r="E33" s="6" t="s">
        <v>194</v>
      </c>
      <c r="F33" s="7">
        <v>235.0</v>
      </c>
      <c r="G33" s="6" t="s">
        <v>21</v>
      </c>
      <c r="H33" s="7" t="s">
        <v>22</v>
      </c>
      <c r="I33" s="8">
        <v>46269.0</v>
      </c>
      <c r="J33" s="9" t="s">
        <v>23</v>
      </c>
      <c r="L33" s="10">
        <v>0.375</v>
      </c>
      <c r="M33" s="10">
        <v>0.9166666666666666</v>
      </c>
      <c r="N33" s="6" t="s">
        <v>195</v>
      </c>
      <c r="O33" s="11">
        <v>-7.2838563E7</v>
      </c>
      <c r="P33" s="11">
        <v>1.127082899E9</v>
      </c>
      <c r="Q33" s="12" t="s">
        <v>196</v>
      </c>
    </row>
    <row r="34">
      <c r="A34" s="13">
        <f t="shared" si="1"/>
        <v>33</v>
      </c>
      <c r="B34" s="6" t="s">
        <v>197</v>
      </c>
      <c r="C34" s="6" t="s">
        <v>198</v>
      </c>
      <c r="D34" s="6" t="s">
        <v>34</v>
      </c>
      <c r="E34" s="6" t="s">
        <v>199</v>
      </c>
      <c r="F34" s="7">
        <v>872.0</v>
      </c>
      <c r="G34" s="6" t="s">
        <v>21</v>
      </c>
      <c r="H34" s="7" t="s">
        <v>36</v>
      </c>
      <c r="I34" s="8">
        <v>46085.0</v>
      </c>
      <c r="J34" s="9" t="s">
        <v>23</v>
      </c>
      <c r="L34" s="10">
        <v>0.4166666666666667</v>
      </c>
      <c r="M34" s="10">
        <v>0.9583333333333334</v>
      </c>
      <c r="N34" s="6" t="s">
        <v>200</v>
      </c>
      <c r="O34" s="11">
        <v>-7252782.0</v>
      </c>
      <c r="P34" s="11">
        <v>1.127670666E9</v>
      </c>
      <c r="Q34" s="12" t="s">
        <v>201</v>
      </c>
    </row>
    <row r="35">
      <c r="A35" s="13">
        <f t="shared" si="1"/>
        <v>34</v>
      </c>
      <c r="B35" s="6" t="s">
        <v>202</v>
      </c>
      <c r="C35" s="6" t="s">
        <v>203</v>
      </c>
      <c r="D35" s="6" t="s">
        <v>34</v>
      </c>
      <c r="E35" s="6" t="s">
        <v>204</v>
      </c>
      <c r="F35" s="7">
        <v>253.0</v>
      </c>
      <c r="G35" s="6" t="s">
        <v>21</v>
      </c>
      <c r="H35" s="7" t="s">
        <v>36</v>
      </c>
      <c r="I35" s="8">
        <v>46177.0</v>
      </c>
      <c r="J35" s="9" t="s">
        <v>23</v>
      </c>
      <c r="L35" s="10">
        <v>0.375</v>
      </c>
      <c r="M35" s="10">
        <v>0.9375</v>
      </c>
      <c r="N35" s="6" t="s">
        <v>205</v>
      </c>
      <c r="O35" s="11">
        <v>-7.2764531E7</v>
      </c>
      <c r="P35" s="11">
        <v>1.127058434E9</v>
      </c>
      <c r="Q35" s="12" t="s">
        <v>206</v>
      </c>
    </row>
    <row r="36">
      <c r="A36" s="13">
        <f t="shared" si="1"/>
        <v>35</v>
      </c>
      <c r="B36" s="6" t="s">
        <v>207</v>
      </c>
      <c r="C36" s="6" t="s">
        <v>208</v>
      </c>
      <c r="D36" s="6" t="s">
        <v>34</v>
      </c>
      <c r="E36" s="6" t="s">
        <v>209</v>
      </c>
      <c r="F36" s="7">
        <v>49.0</v>
      </c>
      <c r="G36" s="6" t="s">
        <v>21</v>
      </c>
      <c r="H36" s="7" t="s">
        <v>210</v>
      </c>
      <c r="I36" s="8">
        <v>46177.0</v>
      </c>
      <c r="J36" s="9" t="s">
        <v>23</v>
      </c>
      <c r="L36" s="10">
        <v>0.0</v>
      </c>
      <c r="M36" s="10">
        <v>0.9993055555555556</v>
      </c>
      <c r="N36" s="6" t="s">
        <v>211</v>
      </c>
      <c r="O36" s="11">
        <v>-7.2974774E7</v>
      </c>
      <c r="P36" s="11">
        <v>1.127331763E9</v>
      </c>
      <c r="Q36" s="12" t="s">
        <v>212</v>
      </c>
    </row>
    <row r="37">
      <c r="A37" s="13">
        <f t="shared" si="1"/>
        <v>36</v>
      </c>
      <c r="B37" s="6" t="s">
        <v>213</v>
      </c>
      <c r="C37" s="6" t="s">
        <v>214</v>
      </c>
      <c r="D37" s="6" t="s">
        <v>34</v>
      </c>
      <c r="E37" s="6" t="s">
        <v>215</v>
      </c>
      <c r="F37" s="7">
        <v>207.0</v>
      </c>
      <c r="G37" s="6" t="s">
        <v>21</v>
      </c>
      <c r="H37" s="7" t="s">
        <v>36</v>
      </c>
      <c r="I37" s="8">
        <v>46026.0</v>
      </c>
      <c r="J37" s="9" t="s">
        <v>23</v>
      </c>
      <c r="L37" s="10">
        <v>0.375</v>
      </c>
      <c r="M37" s="10">
        <v>0.9166666666666666</v>
      </c>
      <c r="N37" s="6" t="s">
        <v>216</v>
      </c>
      <c r="O37" s="11">
        <v>-7.3135353E7</v>
      </c>
      <c r="P37" s="11">
        <v>1.126968003E9</v>
      </c>
      <c r="Q37" s="12" t="s">
        <v>217</v>
      </c>
    </row>
    <row r="38">
      <c r="A38" s="13">
        <f t="shared" si="1"/>
        <v>37</v>
      </c>
      <c r="B38" s="6" t="s">
        <v>218</v>
      </c>
      <c r="C38" s="6" t="s">
        <v>219</v>
      </c>
      <c r="D38" s="6" t="s">
        <v>34</v>
      </c>
      <c r="E38" s="6" t="s">
        <v>220</v>
      </c>
      <c r="F38" s="7">
        <v>562.0</v>
      </c>
      <c r="G38" s="6" t="s">
        <v>21</v>
      </c>
      <c r="H38" s="7" t="s">
        <v>221</v>
      </c>
      <c r="I38" s="8">
        <v>46146.0</v>
      </c>
      <c r="J38" s="9" t="s">
        <v>23</v>
      </c>
      <c r="L38" s="10">
        <v>0.4583333333333333</v>
      </c>
      <c r="M38" s="10">
        <v>0.8333333333333334</v>
      </c>
      <c r="N38" s="6" t="s">
        <v>222</v>
      </c>
      <c r="O38" s="11">
        <v>-7287681.0</v>
      </c>
      <c r="P38" s="11">
        <v>1.12731984E8</v>
      </c>
      <c r="Q38" s="12" t="s">
        <v>223</v>
      </c>
    </row>
    <row r="39">
      <c r="A39" s="13">
        <f t="shared" si="1"/>
        <v>38</v>
      </c>
      <c r="B39" s="6" t="s">
        <v>224</v>
      </c>
      <c r="C39" s="6" t="s">
        <v>225</v>
      </c>
      <c r="D39" s="6" t="s">
        <v>19</v>
      </c>
      <c r="E39" s="6" t="s">
        <v>226</v>
      </c>
      <c r="F39" s="7">
        <v>50.0</v>
      </c>
      <c r="G39" s="6" t="s">
        <v>21</v>
      </c>
      <c r="H39" s="7" t="s">
        <v>22</v>
      </c>
      <c r="I39" s="8">
        <v>46269.0</v>
      </c>
      <c r="J39" s="9" t="s">
        <v>23</v>
      </c>
      <c r="L39" s="10">
        <v>0.3333333333333333</v>
      </c>
      <c r="M39" s="10">
        <v>0.875</v>
      </c>
      <c r="N39" s="6" t="s">
        <v>227</v>
      </c>
      <c r="O39" s="11">
        <v>-7.2587001E7</v>
      </c>
      <c r="P39" s="11">
        <v>1.127828312E9</v>
      </c>
      <c r="Q39" s="12" t="s">
        <v>228</v>
      </c>
    </row>
    <row r="40">
      <c r="A40" s="13">
        <f t="shared" si="1"/>
        <v>39</v>
      </c>
      <c r="B40" s="6" t="s">
        <v>229</v>
      </c>
      <c r="C40" s="6" t="s">
        <v>230</v>
      </c>
      <c r="D40" s="6" t="s">
        <v>34</v>
      </c>
      <c r="E40" s="6" t="s">
        <v>231</v>
      </c>
      <c r="F40" s="7">
        <v>6933.0</v>
      </c>
      <c r="G40" s="6" t="s">
        <v>21</v>
      </c>
      <c r="H40" s="7" t="s">
        <v>36</v>
      </c>
      <c r="I40" s="8">
        <v>46085.0</v>
      </c>
      <c r="J40" s="9" t="s">
        <v>23</v>
      </c>
      <c r="L40" s="10">
        <v>0.4166666666666667</v>
      </c>
      <c r="M40" s="10">
        <v>0.9166666666666666</v>
      </c>
      <c r="N40" s="6" t="s">
        <v>232</v>
      </c>
      <c r="O40" s="11">
        <v>-7.2956457E7</v>
      </c>
      <c r="P40" s="11">
        <v>1.127333035E9</v>
      </c>
      <c r="Q40" s="12" t="s">
        <v>233</v>
      </c>
    </row>
    <row r="41">
      <c r="A41" s="13">
        <f t="shared" si="1"/>
        <v>40</v>
      </c>
      <c r="B41" s="6" t="s">
        <v>234</v>
      </c>
      <c r="C41" s="6" t="s">
        <v>235</v>
      </c>
      <c r="D41" s="6" t="s">
        <v>34</v>
      </c>
      <c r="E41" s="6" t="s">
        <v>236</v>
      </c>
      <c r="F41" s="7">
        <v>648.0</v>
      </c>
      <c r="G41" s="6" t="s">
        <v>21</v>
      </c>
      <c r="H41" s="7" t="s">
        <v>221</v>
      </c>
      <c r="I41" s="8">
        <v>46177.0</v>
      </c>
      <c r="J41" s="9" t="s">
        <v>23</v>
      </c>
      <c r="L41" s="10">
        <v>0.2916666666666667</v>
      </c>
      <c r="M41" s="10">
        <v>0.7083333333333334</v>
      </c>
      <c r="N41" s="6" t="s">
        <v>237</v>
      </c>
      <c r="O41" s="11">
        <v>-7.2497684E7</v>
      </c>
      <c r="P41" s="11">
        <v>1.12741108E8</v>
      </c>
      <c r="Q41" s="12" t="s">
        <v>238</v>
      </c>
    </row>
    <row r="42">
      <c r="A42" s="13">
        <f t="shared" si="1"/>
        <v>41</v>
      </c>
      <c r="B42" s="6" t="s">
        <v>239</v>
      </c>
      <c r="C42" s="6" t="s">
        <v>240</v>
      </c>
      <c r="D42" s="6" t="s">
        <v>19</v>
      </c>
      <c r="E42" s="6" t="s">
        <v>241</v>
      </c>
      <c r="F42" s="7">
        <v>967.0</v>
      </c>
      <c r="G42" s="6" t="s">
        <v>21</v>
      </c>
      <c r="H42" s="7" t="s">
        <v>22</v>
      </c>
      <c r="I42" s="8">
        <v>46177.0</v>
      </c>
      <c r="J42" s="9" t="s">
        <v>23</v>
      </c>
      <c r="L42" s="10">
        <v>0.3125</v>
      </c>
      <c r="M42" s="10">
        <v>0.9583333333333334</v>
      </c>
      <c r="N42" s="6" t="s">
        <v>242</v>
      </c>
      <c r="O42" s="11">
        <v>-726979.0</v>
      </c>
      <c r="P42" s="11">
        <v>1.12744348E8</v>
      </c>
      <c r="Q42" s="12" t="s">
        <v>243</v>
      </c>
    </row>
    <row r="43">
      <c r="A43" s="13">
        <f t="shared" si="1"/>
        <v>42</v>
      </c>
      <c r="B43" s="6" t="s">
        <v>244</v>
      </c>
      <c r="C43" s="6" t="s">
        <v>245</v>
      </c>
      <c r="D43" s="6" t="s">
        <v>19</v>
      </c>
      <c r="E43" s="6" t="s">
        <v>246</v>
      </c>
      <c r="F43" s="7">
        <v>1077.0</v>
      </c>
      <c r="G43" s="6" t="s">
        <v>21</v>
      </c>
      <c r="H43" s="7" t="s">
        <v>22</v>
      </c>
      <c r="I43" s="8">
        <v>46177.0</v>
      </c>
      <c r="J43" s="9" t="s">
        <v>23</v>
      </c>
      <c r="L43" s="10">
        <v>0.5</v>
      </c>
      <c r="M43" s="10">
        <v>0.875</v>
      </c>
      <c r="N43" s="6" t="s">
        <v>247</v>
      </c>
      <c r="O43" s="11">
        <v>-7.2671004E7</v>
      </c>
      <c r="P43" s="11">
        <v>1.127706514E9</v>
      </c>
      <c r="Q43" s="12" t="s">
        <v>248</v>
      </c>
    </row>
    <row r="44">
      <c r="A44" s="13">
        <f t="shared" si="1"/>
        <v>43</v>
      </c>
      <c r="B44" s="6" t="s">
        <v>249</v>
      </c>
      <c r="C44" s="6" t="s">
        <v>250</v>
      </c>
      <c r="D44" s="6" t="s">
        <v>34</v>
      </c>
      <c r="E44" s="6" t="s">
        <v>251</v>
      </c>
      <c r="F44" s="7">
        <v>2189.0</v>
      </c>
      <c r="G44" s="6" t="s">
        <v>21</v>
      </c>
      <c r="H44" s="7" t="s">
        <v>22</v>
      </c>
      <c r="I44" s="8">
        <v>46116.0</v>
      </c>
      <c r="J44" s="9" t="s">
        <v>23</v>
      </c>
      <c r="L44" s="10">
        <v>0.5</v>
      </c>
      <c r="M44" s="10">
        <v>0.9166666666666666</v>
      </c>
      <c r="N44" s="6" t="s">
        <v>252</v>
      </c>
      <c r="O44" s="11">
        <v>-7249548.0</v>
      </c>
      <c r="P44" s="11">
        <v>1.127827012E9</v>
      </c>
      <c r="Q44" s="12" t="s">
        <v>253</v>
      </c>
    </row>
    <row r="45">
      <c r="A45" s="13">
        <f t="shared" si="1"/>
        <v>44</v>
      </c>
      <c r="B45" s="6" t="s">
        <v>254</v>
      </c>
      <c r="C45" s="6" t="s">
        <v>255</v>
      </c>
      <c r="D45" s="6" t="s">
        <v>34</v>
      </c>
      <c r="E45" s="6" t="s">
        <v>256</v>
      </c>
      <c r="F45" s="7">
        <v>376.0</v>
      </c>
      <c r="G45" s="6" t="s">
        <v>21</v>
      </c>
      <c r="H45" s="7" t="s">
        <v>36</v>
      </c>
      <c r="I45" s="8">
        <v>46177.0</v>
      </c>
      <c r="J45" s="9" t="s">
        <v>23</v>
      </c>
      <c r="L45" s="10">
        <v>0.4583333333333333</v>
      </c>
      <c r="M45" s="10">
        <v>0.9166666666666666</v>
      </c>
      <c r="N45" s="6" t="s">
        <v>257</v>
      </c>
      <c r="O45" s="11">
        <v>-7265728.0</v>
      </c>
      <c r="P45" s="11">
        <v>1.127272991E9</v>
      </c>
      <c r="Q45" s="12" t="s">
        <v>258</v>
      </c>
    </row>
    <row r="46">
      <c r="A46" s="13">
        <f t="shared" si="1"/>
        <v>45</v>
      </c>
      <c r="B46" s="6" t="s">
        <v>259</v>
      </c>
      <c r="C46" s="6" t="s">
        <v>260</v>
      </c>
      <c r="D46" s="6" t="s">
        <v>46</v>
      </c>
      <c r="E46" s="6" t="s">
        <v>261</v>
      </c>
      <c r="F46" s="7">
        <v>4127.0</v>
      </c>
      <c r="G46" s="6" t="s">
        <v>21</v>
      </c>
      <c r="H46" s="7">
        <v>10000.0</v>
      </c>
      <c r="I46" s="8">
        <v>46057.0</v>
      </c>
      <c r="J46" s="9" t="s">
        <v>23</v>
      </c>
      <c r="L46" s="10">
        <v>0.3333333333333333</v>
      </c>
      <c r="M46" s="10">
        <v>0.6666666666666666</v>
      </c>
      <c r="N46" s="6" t="s">
        <v>262</v>
      </c>
      <c r="O46" s="11">
        <v>-7.2509164E7</v>
      </c>
      <c r="P46" s="11">
        <v>1.128009332E9</v>
      </c>
      <c r="Q46" s="12" t="s">
        <v>263</v>
      </c>
    </row>
    <row r="47">
      <c r="A47" s="13">
        <f t="shared" si="1"/>
        <v>46</v>
      </c>
      <c r="B47" s="6" t="s">
        <v>264</v>
      </c>
      <c r="C47" s="6" t="s">
        <v>265</v>
      </c>
      <c r="D47" s="6" t="s">
        <v>34</v>
      </c>
      <c r="E47" s="6" t="s">
        <v>266</v>
      </c>
      <c r="F47" s="7">
        <v>1012.0</v>
      </c>
      <c r="G47" s="6" t="s">
        <v>21</v>
      </c>
      <c r="H47" s="7" t="s">
        <v>22</v>
      </c>
      <c r="I47" s="8">
        <v>46146.0</v>
      </c>
      <c r="J47" s="27" t="s">
        <v>65</v>
      </c>
      <c r="K47" s="6" t="s">
        <v>66</v>
      </c>
      <c r="L47" s="10">
        <v>0.2916666666666667</v>
      </c>
      <c r="M47" s="10">
        <v>0.7083333333333334</v>
      </c>
      <c r="N47" s="6" t="s">
        <v>267</v>
      </c>
      <c r="O47" s="11">
        <v>-7.2777432E7</v>
      </c>
      <c r="P47" s="11">
        <v>1.127653907E9</v>
      </c>
      <c r="Q47" s="12" t="s">
        <v>268</v>
      </c>
    </row>
    <row r="48">
      <c r="A48" s="13">
        <f t="shared" si="1"/>
        <v>47</v>
      </c>
      <c r="B48" s="6" t="s">
        <v>269</v>
      </c>
      <c r="C48" s="6" t="s">
        <v>270</v>
      </c>
      <c r="D48" s="6" t="s">
        <v>34</v>
      </c>
      <c r="E48" s="6" t="s">
        <v>271</v>
      </c>
      <c r="F48" s="7">
        <v>170.0</v>
      </c>
      <c r="G48" s="6" t="s">
        <v>21</v>
      </c>
      <c r="H48" s="7" t="s">
        <v>36</v>
      </c>
      <c r="I48" s="8">
        <v>46207.0</v>
      </c>
      <c r="J48" s="9" t="s">
        <v>23</v>
      </c>
      <c r="L48" s="10">
        <v>0.5</v>
      </c>
      <c r="M48" s="10">
        <v>0.75</v>
      </c>
      <c r="N48" s="6" t="s">
        <v>272</v>
      </c>
      <c r="O48" s="11">
        <v>-7272653.0</v>
      </c>
      <c r="P48" s="11">
        <v>1.127660788E9</v>
      </c>
      <c r="Q48" s="12" t="s">
        <v>273</v>
      </c>
    </row>
    <row r="49">
      <c r="A49" s="13">
        <f t="shared" si="1"/>
        <v>48</v>
      </c>
      <c r="B49" s="6" t="s">
        <v>274</v>
      </c>
      <c r="C49" s="6" t="s">
        <v>275</v>
      </c>
      <c r="D49" s="6" t="s">
        <v>46</v>
      </c>
      <c r="E49" s="6" t="s">
        <v>276</v>
      </c>
      <c r="F49" s="7">
        <v>4.0</v>
      </c>
      <c r="G49" s="6" t="s">
        <v>21</v>
      </c>
      <c r="H49" s="7">
        <v>0.0</v>
      </c>
      <c r="I49" s="8">
        <v>46146.0</v>
      </c>
      <c r="J49" s="9" t="s">
        <v>23</v>
      </c>
      <c r="L49" s="10">
        <v>0.0</v>
      </c>
      <c r="M49" s="10">
        <v>0.9993055555555556</v>
      </c>
      <c r="N49" s="6" t="s">
        <v>277</v>
      </c>
      <c r="O49" s="11">
        <v>-728882.0</v>
      </c>
      <c r="P49" s="11">
        <v>1.127386058E9</v>
      </c>
      <c r="Q49" s="12" t="s">
        <v>278</v>
      </c>
    </row>
    <row r="50">
      <c r="A50" s="13">
        <f t="shared" si="1"/>
        <v>49</v>
      </c>
      <c r="B50" s="6" t="s">
        <v>279</v>
      </c>
      <c r="C50" s="6" t="s">
        <v>280</v>
      </c>
      <c r="D50" s="6" t="s">
        <v>34</v>
      </c>
      <c r="E50" s="6" t="s">
        <v>281</v>
      </c>
      <c r="F50" s="7">
        <v>1032.0</v>
      </c>
      <c r="G50" s="6" t="s">
        <v>21</v>
      </c>
      <c r="H50" s="7" t="s">
        <v>22</v>
      </c>
      <c r="I50" s="8">
        <v>46177.0</v>
      </c>
      <c r="J50" s="9" t="s">
        <v>23</v>
      </c>
      <c r="L50" s="10">
        <v>0.25</v>
      </c>
      <c r="M50" s="10">
        <v>0.6875</v>
      </c>
      <c r="N50" s="6" t="s">
        <v>282</v>
      </c>
      <c r="O50" s="11">
        <v>-7.2893881E7</v>
      </c>
      <c r="P50" s="11">
        <v>1.127785537E9</v>
      </c>
      <c r="Q50" s="12" t="s">
        <v>283</v>
      </c>
    </row>
    <row r="51">
      <c r="A51" s="13">
        <f t="shared" si="1"/>
        <v>50</v>
      </c>
      <c r="B51" s="6" t="s">
        <v>284</v>
      </c>
      <c r="C51" s="6" t="s">
        <v>285</v>
      </c>
      <c r="D51" s="6" t="s">
        <v>34</v>
      </c>
      <c r="E51" s="6" t="s">
        <v>286</v>
      </c>
      <c r="F51" s="7">
        <v>547.0</v>
      </c>
      <c r="G51" s="6" t="s">
        <v>21</v>
      </c>
      <c r="H51" s="7" t="s">
        <v>36</v>
      </c>
      <c r="I51" s="8">
        <v>46238.0</v>
      </c>
      <c r="J51" s="27" t="s">
        <v>287</v>
      </c>
      <c r="K51" s="6" t="s">
        <v>288</v>
      </c>
      <c r="L51" s="10">
        <v>0.4166666666666667</v>
      </c>
      <c r="M51" s="10">
        <v>0.6875</v>
      </c>
      <c r="N51" s="6" t="s">
        <v>289</v>
      </c>
      <c r="O51" s="11">
        <v>-7.2583138E7</v>
      </c>
      <c r="P51" s="11">
        <v>1.127486017E9</v>
      </c>
      <c r="Q51" s="12" t="s">
        <v>290</v>
      </c>
    </row>
    <row r="52">
      <c r="A52" s="13">
        <f t="shared" si="1"/>
        <v>51</v>
      </c>
      <c r="B52" s="6" t="s">
        <v>291</v>
      </c>
      <c r="C52" s="6" t="s">
        <v>292</v>
      </c>
      <c r="D52" s="6" t="s">
        <v>19</v>
      </c>
      <c r="E52" s="6" t="s">
        <v>293</v>
      </c>
      <c r="F52" s="7">
        <v>2100.0</v>
      </c>
      <c r="G52" s="6" t="s">
        <v>21</v>
      </c>
      <c r="H52" s="7" t="s">
        <v>72</v>
      </c>
      <c r="I52" s="8">
        <v>46207.0</v>
      </c>
      <c r="J52" s="9" t="s">
        <v>23</v>
      </c>
      <c r="L52" s="10">
        <v>0.3333333333333333</v>
      </c>
      <c r="M52" s="10">
        <v>0.9583333333333334</v>
      </c>
      <c r="N52" s="6" t="s">
        <v>294</v>
      </c>
      <c r="O52" s="11">
        <v>-7.3200278E7</v>
      </c>
      <c r="P52" s="11">
        <v>1.127552781E9</v>
      </c>
      <c r="Q52" s="12" t="s">
        <v>295</v>
      </c>
    </row>
    <row r="53">
      <c r="A53" s="13">
        <f t="shared" si="1"/>
        <v>52</v>
      </c>
      <c r="B53" s="6" t="s">
        <v>296</v>
      </c>
      <c r="C53" s="6" t="s">
        <v>297</v>
      </c>
      <c r="D53" s="6" t="s">
        <v>34</v>
      </c>
      <c r="E53" s="6" t="s">
        <v>298</v>
      </c>
      <c r="F53" s="7">
        <v>779.0</v>
      </c>
      <c r="G53" s="6" t="s">
        <v>21</v>
      </c>
      <c r="H53" s="7" t="s">
        <v>22</v>
      </c>
      <c r="I53" s="8">
        <v>46207.0</v>
      </c>
      <c r="J53" s="9" t="s">
        <v>23</v>
      </c>
      <c r="L53" s="10">
        <v>0.4166666666666667</v>
      </c>
      <c r="M53" s="10">
        <v>0.9166666666666666</v>
      </c>
      <c r="N53" s="6" t="s">
        <v>299</v>
      </c>
      <c r="O53" s="11">
        <v>-7.2721265E7</v>
      </c>
      <c r="P53" s="11">
        <v>1.127562419E9</v>
      </c>
      <c r="Q53" s="12" t="s">
        <v>300</v>
      </c>
    </row>
    <row r="54">
      <c r="A54" s="13">
        <f t="shared" si="1"/>
        <v>53</v>
      </c>
      <c r="B54" s="6" t="s">
        <v>301</v>
      </c>
      <c r="C54" s="6" t="s">
        <v>302</v>
      </c>
      <c r="D54" s="6" t="s">
        <v>34</v>
      </c>
      <c r="E54" s="6" t="s">
        <v>303</v>
      </c>
      <c r="F54" s="7">
        <v>154.0</v>
      </c>
      <c r="G54" s="6" t="s">
        <v>21</v>
      </c>
      <c r="H54" s="7" t="s">
        <v>36</v>
      </c>
      <c r="I54" s="8">
        <v>46146.0</v>
      </c>
      <c r="J54" s="9" t="s">
        <v>23</v>
      </c>
      <c r="L54" s="10">
        <v>0.5416666666666666</v>
      </c>
      <c r="M54" s="10">
        <v>0.875</v>
      </c>
      <c r="N54" s="6" t="s">
        <v>304</v>
      </c>
      <c r="O54" s="11">
        <v>-7.3359633E7</v>
      </c>
      <c r="P54" s="11">
        <v>1.126996374E9</v>
      </c>
      <c r="Q54" s="12" t="s">
        <v>305</v>
      </c>
    </row>
    <row r="55">
      <c r="A55" s="13">
        <f t="shared" si="1"/>
        <v>54</v>
      </c>
      <c r="B55" s="6" t="s">
        <v>306</v>
      </c>
      <c r="C55" s="6" t="s">
        <v>307</v>
      </c>
      <c r="D55" s="6" t="s">
        <v>34</v>
      </c>
      <c r="E55" s="6" t="s">
        <v>308</v>
      </c>
      <c r="F55" s="7">
        <v>7775.0</v>
      </c>
      <c r="G55" s="6" t="s">
        <v>21</v>
      </c>
      <c r="H55" s="7" t="s">
        <v>22</v>
      </c>
      <c r="I55" s="8">
        <v>46146.0</v>
      </c>
      <c r="J55" s="9" t="s">
        <v>23</v>
      </c>
      <c r="L55" s="10">
        <v>0.2708333333333333</v>
      </c>
      <c r="M55" s="10">
        <v>0.8333333333333334</v>
      </c>
      <c r="N55" s="6" t="s">
        <v>309</v>
      </c>
      <c r="O55" s="11">
        <v>-7.3246861E7</v>
      </c>
      <c r="P55" s="11">
        <v>1.127254193E9</v>
      </c>
      <c r="Q55" s="12" t="s">
        <v>310</v>
      </c>
    </row>
    <row r="56">
      <c r="A56" s="13">
        <f t="shared" si="1"/>
        <v>55</v>
      </c>
      <c r="B56" s="6" t="s">
        <v>311</v>
      </c>
      <c r="C56" s="6" t="s">
        <v>312</v>
      </c>
      <c r="D56" s="6" t="s">
        <v>34</v>
      </c>
      <c r="E56" s="6" t="s">
        <v>313</v>
      </c>
      <c r="F56" s="7">
        <v>23.0</v>
      </c>
      <c r="G56" s="6" t="s">
        <v>21</v>
      </c>
      <c r="H56" s="7">
        <v>20000.0</v>
      </c>
      <c r="I56" s="7" t="s">
        <v>314</v>
      </c>
      <c r="J56" s="9" t="s">
        <v>23</v>
      </c>
      <c r="L56" s="10">
        <v>0.4583333333333333</v>
      </c>
      <c r="M56" s="10">
        <v>0.875</v>
      </c>
      <c r="N56" s="6" t="s">
        <v>315</v>
      </c>
      <c r="O56" s="11">
        <v>-7.2987308E7</v>
      </c>
      <c r="P56" s="11">
        <v>1.127319486E9</v>
      </c>
      <c r="Q56" s="12" t="s">
        <v>316</v>
      </c>
    </row>
    <row r="57">
      <c r="A57" s="13">
        <f t="shared" si="1"/>
        <v>56</v>
      </c>
      <c r="B57" s="6" t="s">
        <v>317</v>
      </c>
      <c r="C57" s="6" t="s">
        <v>318</v>
      </c>
      <c r="D57" s="6" t="s">
        <v>34</v>
      </c>
      <c r="E57" s="6" t="s">
        <v>319</v>
      </c>
      <c r="F57" s="7">
        <v>722.0</v>
      </c>
      <c r="G57" s="6" t="s">
        <v>21</v>
      </c>
      <c r="H57" s="7" t="s">
        <v>22</v>
      </c>
      <c r="I57" s="8">
        <v>46146.0</v>
      </c>
      <c r="J57" s="27" t="s">
        <v>320</v>
      </c>
      <c r="K57" s="6" t="s">
        <v>321</v>
      </c>
      <c r="L57" s="10">
        <v>0.4166666666666667</v>
      </c>
      <c r="M57" s="10">
        <v>0.5</v>
      </c>
      <c r="N57" s="6" t="s">
        <v>322</v>
      </c>
      <c r="O57" s="11">
        <v>-7.2752225E7</v>
      </c>
      <c r="P57" s="11">
        <v>1.126867139E9</v>
      </c>
      <c r="Q57" s="12" t="s">
        <v>323</v>
      </c>
    </row>
    <row r="58">
      <c r="A58" s="13">
        <f t="shared" si="1"/>
        <v>57</v>
      </c>
      <c r="B58" s="6" t="s">
        <v>324</v>
      </c>
      <c r="C58" s="6" t="s">
        <v>325</v>
      </c>
      <c r="D58" s="6" t="s">
        <v>34</v>
      </c>
      <c r="E58" s="6" t="s">
        <v>326</v>
      </c>
      <c r="F58" s="7">
        <v>22.0</v>
      </c>
      <c r="G58" s="6" t="s">
        <v>21</v>
      </c>
      <c r="H58" s="7" t="s">
        <v>36</v>
      </c>
      <c r="I58" s="8">
        <v>46177.0</v>
      </c>
      <c r="J58" s="9" t="s">
        <v>23</v>
      </c>
      <c r="L58" s="10">
        <v>0.3958333333333333</v>
      </c>
      <c r="M58" s="10">
        <v>0.9166666666666666</v>
      </c>
      <c r="N58" s="6" t="s">
        <v>327</v>
      </c>
      <c r="O58" s="11">
        <v>-7.2625496E7</v>
      </c>
      <c r="P58" s="11">
        <v>1.127354527E9</v>
      </c>
      <c r="Q58" s="12" t="s">
        <v>328</v>
      </c>
    </row>
    <row r="59">
      <c r="A59" s="13">
        <f t="shared" si="1"/>
        <v>58</v>
      </c>
      <c r="B59" s="6" t="s">
        <v>329</v>
      </c>
      <c r="C59" s="6" t="s">
        <v>330</v>
      </c>
      <c r="D59" s="6" t="s">
        <v>34</v>
      </c>
      <c r="E59" s="6" t="s">
        <v>331</v>
      </c>
      <c r="F59" s="7">
        <v>12.0</v>
      </c>
      <c r="G59" s="6" t="s">
        <v>21</v>
      </c>
      <c r="H59" s="7" t="s">
        <v>22</v>
      </c>
      <c r="I59" s="8">
        <v>46238.0</v>
      </c>
      <c r="J59" s="9" t="s">
        <v>23</v>
      </c>
      <c r="L59" s="10">
        <v>0.375</v>
      </c>
      <c r="M59" s="10">
        <v>0.875</v>
      </c>
      <c r="N59" s="6" t="s">
        <v>332</v>
      </c>
      <c r="O59" s="11">
        <v>-7.2588538E7</v>
      </c>
      <c r="P59" s="11">
        <v>1.127416521E9</v>
      </c>
      <c r="Q59" s="12" t="s">
        <v>333</v>
      </c>
    </row>
    <row r="60">
      <c r="A60" s="13">
        <f t="shared" si="1"/>
        <v>59</v>
      </c>
      <c r="B60" s="6" t="s">
        <v>334</v>
      </c>
      <c r="C60" s="6" t="s">
        <v>335</v>
      </c>
      <c r="D60" s="6" t="s">
        <v>34</v>
      </c>
      <c r="E60" s="6" t="s">
        <v>336</v>
      </c>
      <c r="F60" s="7">
        <v>9122.0</v>
      </c>
      <c r="G60" s="6" t="s">
        <v>21</v>
      </c>
      <c r="H60" s="7" t="s">
        <v>337</v>
      </c>
      <c r="I60" s="8">
        <v>46207.0</v>
      </c>
      <c r="J60" s="9" t="s">
        <v>23</v>
      </c>
      <c r="L60" s="10">
        <v>0.4583333333333333</v>
      </c>
      <c r="M60" s="10">
        <v>0.8958333333333334</v>
      </c>
      <c r="N60" s="6" t="s">
        <v>338</v>
      </c>
      <c r="O60" s="11">
        <v>-7.2937027E7</v>
      </c>
      <c r="P60" s="11">
        <v>1.12707384E8</v>
      </c>
      <c r="Q60" s="35" t="s">
        <v>339</v>
      </c>
    </row>
    <row r="61">
      <c r="A61" s="13">
        <f t="shared" si="1"/>
        <v>60</v>
      </c>
      <c r="B61" s="6" t="s">
        <v>340</v>
      </c>
      <c r="C61" s="6" t="s">
        <v>341</v>
      </c>
      <c r="D61" s="6" t="s">
        <v>342</v>
      </c>
      <c r="E61" s="6" t="s">
        <v>343</v>
      </c>
      <c r="F61" s="7">
        <v>1839.0</v>
      </c>
      <c r="G61" s="6" t="s">
        <v>21</v>
      </c>
      <c r="H61" s="7" t="s">
        <v>22</v>
      </c>
      <c r="I61" s="8">
        <v>46269.0</v>
      </c>
      <c r="J61" s="9" t="s">
        <v>23</v>
      </c>
      <c r="L61" s="10">
        <v>0.4166666666666667</v>
      </c>
      <c r="M61" s="10">
        <v>0.9166666666666666</v>
      </c>
      <c r="N61" s="6" t="s">
        <v>344</v>
      </c>
      <c r="O61" s="11">
        <v>-7.3207557E7</v>
      </c>
      <c r="P61" s="11">
        <v>1.127706718E9</v>
      </c>
      <c r="Q61" s="12" t="s">
        <v>345</v>
      </c>
    </row>
    <row r="62">
      <c r="A62" s="13">
        <f t="shared" si="1"/>
        <v>61</v>
      </c>
      <c r="B62" s="6" t="s">
        <v>346</v>
      </c>
      <c r="C62" s="6" t="s">
        <v>347</v>
      </c>
      <c r="D62" s="6" t="s">
        <v>46</v>
      </c>
      <c r="E62" s="6" t="s">
        <v>347</v>
      </c>
      <c r="F62" s="7">
        <v>4698.0</v>
      </c>
      <c r="G62" s="6" t="s">
        <v>21</v>
      </c>
      <c r="H62" s="7">
        <v>0.0</v>
      </c>
      <c r="I62" s="8">
        <v>46116.0</v>
      </c>
      <c r="J62" s="9" t="s">
        <v>23</v>
      </c>
      <c r="L62" s="10">
        <v>0.2916666666666667</v>
      </c>
      <c r="M62" s="10">
        <v>0.75</v>
      </c>
      <c r="N62" s="6" t="s">
        <v>348</v>
      </c>
      <c r="O62" s="11">
        <v>-7.2381863E7</v>
      </c>
      <c r="P62" s="11">
        <v>1.127955159E9</v>
      </c>
      <c r="Q62" s="12" t="s">
        <v>349</v>
      </c>
    </row>
    <row r="63">
      <c r="A63" s="13">
        <f t="shared" si="1"/>
        <v>62</v>
      </c>
      <c r="B63" s="6" t="s">
        <v>350</v>
      </c>
      <c r="C63" s="6" t="s">
        <v>351</v>
      </c>
      <c r="D63" s="6" t="s">
        <v>34</v>
      </c>
      <c r="E63" s="6" t="s">
        <v>352</v>
      </c>
      <c r="F63" s="7">
        <v>762.0</v>
      </c>
      <c r="G63" s="6" t="s">
        <v>21</v>
      </c>
      <c r="H63" s="7" t="s">
        <v>36</v>
      </c>
      <c r="I63" s="8">
        <v>46207.0</v>
      </c>
      <c r="J63" s="9" t="s">
        <v>23</v>
      </c>
      <c r="L63" s="10">
        <v>0.375</v>
      </c>
      <c r="M63" s="10">
        <v>0.8333333333333334</v>
      </c>
      <c r="N63" s="6" t="s">
        <v>353</v>
      </c>
      <c r="O63" s="11">
        <v>-7.2735004E7</v>
      </c>
      <c r="P63" s="11">
        <v>1.127521441E9</v>
      </c>
      <c r="Q63" s="12" t="s">
        <v>354</v>
      </c>
    </row>
    <row r="64">
      <c r="A64" s="13">
        <f t="shared" si="1"/>
        <v>63</v>
      </c>
      <c r="B64" s="6" t="s">
        <v>355</v>
      </c>
      <c r="C64" s="6" t="s">
        <v>356</v>
      </c>
      <c r="D64" s="6" t="s">
        <v>46</v>
      </c>
      <c r="E64" s="6" t="s">
        <v>357</v>
      </c>
      <c r="F64" s="7">
        <v>27.0</v>
      </c>
      <c r="G64" s="6" t="s">
        <v>21</v>
      </c>
      <c r="H64" s="7">
        <v>0.0</v>
      </c>
      <c r="I64" s="8">
        <v>46085.0</v>
      </c>
      <c r="J64" s="9" t="s">
        <v>23</v>
      </c>
      <c r="L64" s="10">
        <v>0.0</v>
      </c>
      <c r="M64" s="10">
        <v>0.9993055555555556</v>
      </c>
      <c r="N64" s="6" t="s">
        <v>358</v>
      </c>
      <c r="O64" s="11">
        <v>-7.2921856E7</v>
      </c>
      <c r="P64" s="11">
        <v>1.126688692E9</v>
      </c>
      <c r="Q64" s="12" t="s">
        <v>359</v>
      </c>
    </row>
    <row r="65">
      <c r="A65" s="13">
        <f t="shared" si="1"/>
        <v>64</v>
      </c>
      <c r="B65" s="6" t="s">
        <v>360</v>
      </c>
      <c r="C65" s="6" t="s">
        <v>361</v>
      </c>
      <c r="D65" s="6" t="s">
        <v>46</v>
      </c>
      <c r="E65" s="6" t="s">
        <v>362</v>
      </c>
      <c r="F65" s="7">
        <v>66.0</v>
      </c>
      <c r="G65" s="6" t="s">
        <v>21</v>
      </c>
      <c r="H65" s="7">
        <v>0.0</v>
      </c>
      <c r="I65" s="8">
        <v>46177.0</v>
      </c>
      <c r="J65" s="9" t="s">
        <v>23</v>
      </c>
      <c r="L65" s="10">
        <v>0.0</v>
      </c>
      <c r="M65" s="10">
        <v>0.9993055555555556</v>
      </c>
      <c r="N65" s="6" t="s">
        <v>363</v>
      </c>
      <c r="O65" s="11">
        <v>-7.3007106E7</v>
      </c>
      <c r="P65" s="11">
        <v>1.128024759E9</v>
      </c>
      <c r="Q65" s="12" t="s">
        <v>364</v>
      </c>
    </row>
    <row r="66">
      <c r="A66" s="13">
        <f t="shared" si="1"/>
        <v>65</v>
      </c>
      <c r="B66" s="6" t="s">
        <v>365</v>
      </c>
      <c r="C66" s="6" t="s">
        <v>366</v>
      </c>
      <c r="D66" s="6" t="s">
        <v>19</v>
      </c>
      <c r="E66" s="6" t="s">
        <v>367</v>
      </c>
      <c r="F66" s="7">
        <v>16.0</v>
      </c>
      <c r="G66" s="6" t="s">
        <v>21</v>
      </c>
      <c r="H66" s="7">
        <v>250000.0</v>
      </c>
      <c r="I66" s="8">
        <v>46085.0</v>
      </c>
      <c r="J66" s="9" t="s">
        <v>23</v>
      </c>
      <c r="L66" s="10">
        <v>0.25</v>
      </c>
      <c r="M66" s="10">
        <v>0.9166666666666666</v>
      </c>
      <c r="N66" s="6" t="s">
        <v>368</v>
      </c>
      <c r="O66" s="11">
        <v>-7292156.0</v>
      </c>
      <c r="P66" s="11">
        <v>1.127189564E9</v>
      </c>
      <c r="Q66" s="12" t="s">
        <v>369</v>
      </c>
    </row>
    <row r="67">
      <c r="A67" s="13">
        <f t="shared" si="1"/>
        <v>66</v>
      </c>
      <c r="B67" s="6" t="s">
        <v>370</v>
      </c>
      <c r="C67" s="6" t="s">
        <v>371</v>
      </c>
      <c r="D67" s="6" t="s">
        <v>46</v>
      </c>
      <c r="E67" s="6" t="s">
        <v>372</v>
      </c>
      <c r="F67" s="7">
        <v>6002.0</v>
      </c>
      <c r="G67" s="6" t="s">
        <v>21</v>
      </c>
      <c r="H67" s="7">
        <v>0.0</v>
      </c>
      <c r="I67" s="8">
        <v>46085.0</v>
      </c>
      <c r="J67" s="9" t="s">
        <v>23</v>
      </c>
      <c r="L67" s="10">
        <v>0.0</v>
      </c>
      <c r="M67" s="10">
        <v>0.9993055555555556</v>
      </c>
      <c r="N67" s="6" t="s">
        <v>373</v>
      </c>
      <c r="O67" s="11">
        <v>-7.2941909E7</v>
      </c>
      <c r="P67" s="11">
        <v>1.128017238E9</v>
      </c>
      <c r="Q67" s="12" t="s">
        <v>374</v>
      </c>
    </row>
    <row r="68">
      <c r="A68" s="13">
        <f t="shared" si="1"/>
        <v>67</v>
      </c>
      <c r="B68" s="6" t="s">
        <v>375</v>
      </c>
      <c r="C68" s="6" t="s">
        <v>376</v>
      </c>
      <c r="D68" s="6" t="s">
        <v>34</v>
      </c>
      <c r="E68" s="6" t="s">
        <v>377</v>
      </c>
      <c r="F68" s="7">
        <v>6489.0</v>
      </c>
      <c r="G68" s="6" t="s">
        <v>21</v>
      </c>
      <c r="H68" s="7" t="s">
        <v>221</v>
      </c>
      <c r="I68" s="8">
        <v>46177.0</v>
      </c>
      <c r="J68" s="9" t="s">
        <v>23</v>
      </c>
      <c r="L68" s="10">
        <v>0.4166666666666667</v>
      </c>
      <c r="M68" s="10">
        <v>0.8958333333333334</v>
      </c>
      <c r="N68" s="6" t="s">
        <v>378</v>
      </c>
      <c r="O68" s="11">
        <v>-7.2775483E7</v>
      </c>
      <c r="P68" s="11">
        <v>1.127660712E9</v>
      </c>
      <c r="Q68" s="12" t="s">
        <v>379</v>
      </c>
    </row>
    <row r="69">
      <c r="A69" s="13">
        <f t="shared" si="1"/>
        <v>68</v>
      </c>
      <c r="B69" s="6" t="s">
        <v>380</v>
      </c>
      <c r="C69" s="6" t="s">
        <v>381</v>
      </c>
      <c r="D69" s="6" t="s">
        <v>34</v>
      </c>
      <c r="E69" s="6" t="s">
        <v>382</v>
      </c>
      <c r="F69" s="7">
        <v>6505.0</v>
      </c>
      <c r="G69" s="6" t="s">
        <v>21</v>
      </c>
      <c r="H69" s="7" t="s">
        <v>36</v>
      </c>
      <c r="I69" s="8">
        <v>46177.0</v>
      </c>
      <c r="J69" s="27" t="s">
        <v>65</v>
      </c>
      <c r="L69" s="10">
        <v>0.3333333333333333</v>
      </c>
      <c r="M69" s="10">
        <v>0.75</v>
      </c>
      <c r="N69" s="6" t="s">
        <v>383</v>
      </c>
      <c r="O69" s="11">
        <v>-7.2816342E7</v>
      </c>
      <c r="P69" s="11">
        <v>1.127335055E9</v>
      </c>
      <c r="Q69" s="12" t="s">
        <v>384</v>
      </c>
    </row>
    <row r="70">
      <c r="A70" s="13">
        <f t="shared" si="1"/>
        <v>69</v>
      </c>
      <c r="B70" s="6" t="s">
        <v>385</v>
      </c>
      <c r="C70" s="6" t="s">
        <v>386</v>
      </c>
      <c r="D70" s="6" t="s">
        <v>46</v>
      </c>
      <c r="E70" s="6" t="s">
        <v>387</v>
      </c>
      <c r="F70" s="7">
        <v>27237.0</v>
      </c>
      <c r="G70" s="6" t="s">
        <v>21</v>
      </c>
      <c r="H70" s="7">
        <v>0.0</v>
      </c>
      <c r="I70" s="8">
        <v>46207.0</v>
      </c>
      <c r="J70" s="27" t="s">
        <v>388</v>
      </c>
      <c r="K70" s="6" t="s">
        <v>59</v>
      </c>
      <c r="L70" s="10">
        <v>0.3333333333333333</v>
      </c>
      <c r="M70" s="10">
        <v>0.625</v>
      </c>
      <c r="N70" s="6" t="s">
        <v>389</v>
      </c>
      <c r="O70" s="11">
        <v>-7245555.0</v>
      </c>
      <c r="P70" s="11">
        <v>1.127378627E9</v>
      </c>
      <c r="Q70" s="12" t="s">
        <v>390</v>
      </c>
    </row>
    <row r="71">
      <c r="A71" s="13">
        <f t="shared" si="1"/>
        <v>70</v>
      </c>
      <c r="B71" s="6" t="s">
        <v>391</v>
      </c>
      <c r="C71" s="6" t="s">
        <v>392</v>
      </c>
      <c r="D71" s="6" t="s">
        <v>34</v>
      </c>
      <c r="E71" s="6" t="s">
        <v>393</v>
      </c>
      <c r="F71" s="7">
        <v>6087.0</v>
      </c>
      <c r="G71" s="6" t="s">
        <v>21</v>
      </c>
      <c r="H71" s="7" t="s">
        <v>22</v>
      </c>
      <c r="I71" s="8">
        <v>46116.0</v>
      </c>
      <c r="J71" s="9" t="s">
        <v>23</v>
      </c>
      <c r="L71" s="10">
        <v>0.3333333333333333</v>
      </c>
      <c r="M71" s="10">
        <v>0.0</v>
      </c>
      <c r="N71" s="6" t="s">
        <v>394</v>
      </c>
      <c r="O71" s="11">
        <v>-7.2798719E7</v>
      </c>
      <c r="P71" s="11">
        <v>1.127560594E9</v>
      </c>
      <c r="Q71" s="12" t="s">
        <v>395</v>
      </c>
    </row>
    <row r="72">
      <c r="A72" s="13">
        <f t="shared" si="1"/>
        <v>71</v>
      </c>
      <c r="B72" s="6" t="s">
        <v>396</v>
      </c>
      <c r="C72" s="6" t="s">
        <v>397</v>
      </c>
      <c r="D72" s="6" t="s">
        <v>46</v>
      </c>
      <c r="E72" s="6" t="s">
        <v>398</v>
      </c>
      <c r="F72" s="7">
        <v>2.0</v>
      </c>
      <c r="G72" s="6" t="s">
        <v>21</v>
      </c>
      <c r="H72" s="7">
        <v>0.0</v>
      </c>
      <c r="I72" s="8">
        <v>46146.0</v>
      </c>
      <c r="J72" s="9" t="s">
        <v>23</v>
      </c>
      <c r="L72" s="10">
        <v>0.0</v>
      </c>
      <c r="M72" s="10">
        <v>0.9993055555555556</v>
      </c>
      <c r="N72" s="6" t="s">
        <v>399</v>
      </c>
      <c r="O72" s="11">
        <v>-7.3117104E7</v>
      </c>
      <c r="P72" s="11">
        <v>1.128235237E9</v>
      </c>
      <c r="Q72" s="12" t="s">
        <v>400</v>
      </c>
    </row>
    <row r="73">
      <c r="A73" s="13">
        <f t="shared" si="1"/>
        <v>72</v>
      </c>
      <c r="B73" s="6" t="s">
        <v>401</v>
      </c>
      <c r="C73" s="6" t="s">
        <v>402</v>
      </c>
      <c r="D73" s="6" t="s">
        <v>19</v>
      </c>
      <c r="E73" s="6" t="s">
        <v>403</v>
      </c>
      <c r="F73" s="7">
        <v>652.0</v>
      </c>
      <c r="G73" s="6" t="s">
        <v>21</v>
      </c>
      <c r="H73" s="7" t="s">
        <v>164</v>
      </c>
      <c r="I73" s="8">
        <v>46146.0</v>
      </c>
      <c r="J73" s="27" t="s">
        <v>388</v>
      </c>
      <c r="L73" s="10">
        <v>0.4375</v>
      </c>
      <c r="M73" s="10">
        <v>0.9166666666666666</v>
      </c>
      <c r="N73" s="6" t="s">
        <v>404</v>
      </c>
      <c r="O73" s="11">
        <v>-7.2914406E7</v>
      </c>
      <c r="P73" s="11">
        <v>1.127154215E9</v>
      </c>
      <c r="Q73" s="12" t="s">
        <v>405</v>
      </c>
    </row>
    <row r="74">
      <c r="A74" s="13">
        <f t="shared" si="1"/>
        <v>73</v>
      </c>
      <c r="B74" s="6" t="s">
        <v>406</v>
      </c>
      <c r="C74" s="6" t="s">
        <v>407</v>
      </c>
      <c r="D74" s="6" t="s">
        <v>34</v>
      </c>
      <c r="E74" s="6" t="s">
        <v>408</v>
      </c>
      <c r="F74" s="7">
        <v>260.0</v>
      </c>
      <c r="G74" s="6" t="s">
        <v>21</v>
      </c>
      <c r="H74" s="7" t="s">
        <v>409</v>
      </c>
      <c r="I74" s="8">
        <v>46085.0</v>
      </c>
      <c r="J74" s="9" t="s">
        <v>23</v>
      </c>
      <c r="L74" s="10">
        <v>0.5</v>
      </c>
      <c r="M74" s="10">
        <v>0.9166666666666666</v>
      </c>
      <c r="N74" s="6" t="s">
        <v>410</v>
      </c>
      <c r="O74" s="11">
        <v>-7.2938386E7</v>
      </c>
      <c r="P74" s="11">
        <v>1.127547485E9</v>
      </c>
      <c r="Q74" s="35" t="s">
        <v>411</v>
      </c>
    </row>
    <row r="75">
      <c r="A75" s="13">
        <f t="shared" si="1"/>
        <v>74</v>
      </c>
      <c r="B75" s="6" t="s">
        <v>412</v>
      </c>
      <c r="C75" s="6" t="s">
        <v>413</v>
      </c>
      <c r="D75" s="6" t="s">
        <v>34</v>
      </c>
      <c r="E75" s="6" t="s">
        <v>414</v>
      </c>
      <c r="F75" s="7">
        <v>318.0</v>
      </c>
      <c r="G75" s="6" t="s">
        <v>21</v>
      </c>
      <c r="H75" s="7" t="s">
        <v>36</v>
      </c>
      <c r="I75" s="8">
        <v>46057.0</v>
      </c>
      <c r="J75" s="9" t="s">
        <v>23</v>
      </c>
      <c r="L75" s="10">
        <v>0.0</v>
      </c>
      <c r="M75" s="10">
        <v>0.9993055555555556</v>
      </c>
      <c r="N75" s="6" t="s">
        <v>415</v>
      </c>
      <c r="O75" s="11">
        <v>-7.2986379E7</v>
      </c>
      <c r="P75" s="11">
        <v>1.127279963E9</v>
      </c>
      <c r="Q75" s="12" t="s">
        <v>416</v>
      </c>
    </row>
    <row r="76">
      <c r="A76" s="13">
        <f t="shared" si="1"/>
        <v>75</v>
      </c>
      <c r="B76" s="6" t="s">
        <v>417</v>
      </c>
      <c r="C76" s="6" t="s">
        <v>418</v>
      </c>
      <c r="D76" s="6" t="s">
        <v>46</v>
      </c>
      <c r="E76" s="6" t="s">
        <v>419</v>
      </c>
      <c r="F76" s="7">
        <v>39.0</v>
      </c>
      <c r="G76" s="6" t="s">
        <v>21</v>
      </c>
      <c r="H76" s="7">
        <v>0.0</v>
      </c>
      <c r="I76" s="8">
        <v>46176.0</v>
      </c>
      <c r="J76" s="9" t="s">
        <v>23</v>
      </c>
      <c r="L76" s="10">
        <v>0.0</v>
      </c>
      <c r="M76" s="10">
        <v>0.9993055555555556</v>
      </c>
      <c r="N76" s="6" t="s">
        <v>420</v>
      </c>
      <c r="O76" s="11">
        <v>-7.3083125E7</v>
      </c>
      <c r="P76" s="11">
        <v>1.128445625E9</v>
      </c>
      <c r="Q76" s="12" t="s">
        <v>421</v>
      </c>
    </row>
    <row r="77">
      <c r="A77" s="13">
        <f t="shared" si="1"/>
        <v>76</v>
      </c>
      <c r="B77" s="6" t="s">
        <v>422</v>
      </c>
      <c r="C77" s="6" t="s">
        <v>423</v>
      </c>
      <c r="D77" s="6" t="s">
        <v>34</v>
      </c>
      <c r="E77" s="6" t="s">
        <v>424</v>
      </c>
      <c r="F77" s="7">
        <v>776.0</v>
      </c>
      <c r="G77" s="6" t="s">
        <v>21</v>
      </c>
      <c r="H77" s="7" t="s">
        <v>36</v>
      </c>
      <c r="I77" s="8">
        <v>46057.0</v>
      </c>
      <c r="J77" s="9" t="s">
        <v>23</v>
      </c>
      <c r="L77" s="10">
        <v>0.0</v>
      </c>
      <c r="M77" s="10">
        <v>0.9993055555555556</v>
      </c>
      <c r="N77" s="6" t="s">
        <v>425</v>
      </c>
      <c r="O77" s="11">
        <v>-7.3032367E7</v>
      </c>
      <c r="P77" s="11">
        <v>1.127490103E9</v>
      </c>
      <c r="Q77" s="12" t="s">
        <v>426</v>
      </c>
    </row>
    <row r="78">
      <c r="A78" s="13">
        <f t="shared" si="1"/>
        <v>77</v>
      </c>
      <c r="B78" s="6" t="s">
        <v>427</v>
      </c>
      <c r="C78" s="6" t="s">
        <v>428</v>
      </c>
      <c r="D78" s="6" t="s">
        <v>19</v>
      </c>
      <c r="E78" s="6" t="s">
        <v>429</v>
      </c>
      <c r="F78" s="7">
        <v>826.0</v>
      </c>
      <c r="G78" s="6" t="s">
        <v>21</v>
      </c>
      <c r="H78" s="7">
        <v>250000.0</v>
      </c>
      <c r="I78" s="8">
        <v>46207.0</v>
      </c>
      <c r="J78" s="9" t="s">
        <v>23</v>
      </c>
      <c r="L78" s="10">
        <v>0.4791666666666667</v>
      </c>
      <c r="M78" s="10">
        <v>0.875</v>
      </c>
      <c r="N78" s="6" t="s">
        <v>430</v>
      </c>
      <c r="O78" s="11">
        <v>-7.2715355E7</v>
      </c>
      <c r="P78" s="11">
        <v>1.127473151E9</v>
      </c>
      <c r="Q78" s="12" t="s">
        <v>431</v>
      </c>
    </row>
    <row r="79">
      <c r="A79" s="13">
        <f t="shared" si="1"/>
        <v>78</v>
      </c>
      <c r="B79" s="6" t="s">
        <v>432</v>
      </c>
      <c r="C79" s="6" t="s">
        <v>433</v>
      </c>
      <c r="D79" s="6" t="s">
        <v>34</v>
      </c>
      <c r="E79" s="6" t="s">
        <v>434</v>
      </c>
      <c r="F79" s="7">
        <v>282.0</v>
      </c>
      <c r="G79" s="6" t="s">
        <v>21</v>
      </c>
      <c r="H79" s="7" t="s">
        <v>22</v>
      </c>
      <c r="I79" s="8">
        <v>46269.0</v>
      </c>
      <c r="J79" s="9" t="s">
        <v>23</v>
      </c>
      <c r="L79" s="10">
        <v>0.4166666666666667</v>
      </c>
      <c r="M79" s="10">
        <v>0.9166666666666666</v>
      </c>
      <c r="N79" s="6" t="s">
        <v>435</v>
      </c>
      <c r="O79" s="11">
        <v>-7.2851947E7</v>
      </c>
      <c r="P79" s="11">
        <v>1.126566625E9</v>
      </c>
      <c r="Q79" s="12" t="s">
        <v>436</v>
      </c>
    </row>
    <row r="80">
      <c r="A80" s="13">
        <f t="shared" si="1"/>
        <v>79</v>
      </c>
      <c r="B80" s="6" t="s">
        <v>437</v>
      </c>
      <c r="C80" s="6" t="s">
        <v>438</v>
      </c>
      <c r="D80" s="6" t="s">
        <v>19</v>
      </c>
      <c r="E80" s="6" t="s">
        <v>439</v>
      </c>
      <c r="F80" s="7">
        <v>130.0</v>
      </c>
      <c r="G80" s="6" t="s">
        <v>21</v>
      </c>
      <c r="H80" s="7" t="s">
        <v>22</v>
      </c>
      <c r="I80" s="8">
        <v>46177.0</v>
      </c>
      <c r="J80" s="9" t="s">
        <v>23</v>
      </c>
      <c r="L80" s="10">
        <v>0.2916666666666667</v>
      </c>
      <c r="M80" s="10">
        <v>0.0</v>
      </c>
      <c r="N80" s="6" t="s">
        <v>440</v>
      </c>
      <c r="O80" s="11">
        <v>-7.2585699E7</v>
      </c>
      <c r="P80" s="11">
        <v>1.12727524E8</v>
      </c>
      <c r="Q80" s="12" t="s">
        <v>441</v>
      </c>
    </row>
    <row r="81">
      <c r="A81" s="13">
        <f t="shared" si="1"/>
        <v>80</v>
      </c>
      <c r="B81" s="6" t="s">
        <v>442</v>
      </c>
      <c r="C81" s="6" t="s">
        <v>443</v>
      </c>
      <c r="D81" s="6" t="s">
        <v>34</v>
      </c>
      <c r="E81" s="6" t="s">
        <v>444</v>
      </c>
      <c r="F81" s="7">
        <v>192.0</v>
      </c>
      <c r="G81" s="6" t="s">
        <v>21</v>
      </c>
      <c r="H81" s="7" t="s">
        <v>36</v>
      </c>
      <c r="I81" s="8">
        <v>46116.0</v>
      </c>
      <c r="J81" s="9" t="s">
        <v>23</v>
      </c>
      <c r="L81" s="10">
        <v>0.4166666666666667</v>
      </c>
      <c r="M81" s="10">
        <v>0.875</v>
      </c>
      <c r="N81" s="6" t="s">
        <v>445</v>
      </c>
      <c r="O81" s="11">
        <v>-7.2902827E7</v>
      </c>
      <c r="P81" s="11">
        <v>1.127196796E9</v>
      </c>
      <c r="Q81" s="12" t="s">
        <v>446</v>
      </c>
    </row>
    <row r="82">
      <c r="A82" s="13">
        <f t="shared" si="1"/>
        <v>81</v>
      </c>
      <c r="B82" s="6" t="s">
        <v>447</v>
      </c>
      <c r="C82" s="6" t="s">
        <v>448</v>
      </c>
      <c r="D82" s="6" t="s">
        <v>34</v>
      </c>
      <c r="E82" s="6" t="s">
        <v>449</v>
      </c>
      <c r="F82" s="7">
        <v>156.0</v>
      </c>
      <c r="G82" s="6" t="s">
        <v>21</v>
      </c>
      <c r="H82" s="7" t="s">
        <v>450</v>
      </c>
      <c r="I82" s="8">
        <v>46116.0</v>
      </c>
      <c r="J82" s="9" t="s">
        <v>23</v>
      </c>
      <c r="L82" s="10">
        <v>0.25</v>
      </c>
      <c r="M82" s="10">
        <v>0.9583333333333334</v>
      </c>
      <c r="N82" s="6" t="s">
        <v>451</v>
      </c>
      <c r="O82" s="11">
        <v>-7.2601208E7</v>
      </c>
      <c r="P82" s="11">
        <v>1.127396083E9</v>
      </c>
      <c r="Q82" s="12" t="s">
        <v>452</v>
      </c>
    </row>
    <row r="83">
      <c r="A83" s="13">
        <f t="shared" si="1"/>
        <v>82</v>
      </c>
      <c r="B83" s="6" t="s">
        <v>453</v>
      </c>
      <c r="C83" s="6" t="s">
        <v>454</v>
      </c>
      <c r="D83" s="6" t="s">
        <v>46</v>
      </c>
      <c r="E83" s="6" t="s">
        <v>455</v>
      </c>
      <c r="F83" s="7">
        <v>71.0</v>
      </c>
      <c r="G83" s="6" t="s">
        <v>21</v>
      </c>
      <c r="H83" s="7">
        <v>0.0</v>
      </c>
      <c r="I83" s="8">
        <v>46085.0</v>
      </c>
      <c r="J83" s="9" t="s">
        <v>23</v>
      </c>
      <c r="L83" s="10">
        <v>0.2916666666666667</v>
      </c>
      <c r="M83" s="10">
        <v>0.9583333333333334</v>
      </c>
      <c r="N83" s="6" t="s">
        <v>456</v>
      </c>
      <c r="O83" s="11">
        <v>-7.2289058E7</v>
      </c>
      <c r="P83" s="11">
        <v>1.12685404E8</v>
      </c>
      <c r="Q83" s="12" t="s">
        <v>457</v>
      </c>
    </row>
    <row r="84">
      <c r="A84" s="13">
        <f t="shared" si="1"/>
        <v>83</v>
      </c>
      <c r="B84" s="6" t="s">
        <v>458</v>
      </c>
      <c r="C84" s="6" t="s">
        <v>459</v>
      </c>
      <c r="D84" s="6" t="s">
        <v>46</v>
      </c>
      <c r="E84" s="6" t="s">
        <v>460</v>
      </c>
      <c r="F84" s="7">
        <v>267.0</v>
      </c>
      <c r="G84" s="6" t="s">
        <v>21</v>
      </c>
      <c r="H84" s="7">
        <v>0.0</v>
      </c>
      <c r="I84" s="8">
        <v>46146.0</v>
      </c>
      <c r="J84" s="9" t="s">
        <v>23</v>
      </c>
      <c r="L84" s="10">
        <v>0.0</v>
      </c>
      <c r="M84" s="10">
        <v>0.9993055555555556</v>
      </c>
      <c r="N84" s="6" t="s">
        <v>461</v>
      </c>
      <c r="O84" s="11">
        <v>-7.3298177E7</v>
      </c>
      <c r="P84" s="11">
        <v>1.128207124E9</v>
      </c>
      <c r="Q84" s="12" t="s">
        <v>462</v>
      </c>
    </row>
    <row r="85">
      <c r="A85" s="13">
        <f t="shared" si="1"/>
        <v>84</v>
      </c>
      <c r="B85" s="6" t="s">
        <v>463</v>
      </c>
      <c r="C85" s="6" t="s">
        <v>464</v>
      </c>
      <c r="D85" s="6" t="s">
        <v>46</v>
      </c>
      <c r="E85" s="6" t="s">
        <v>357</v>
      </c>
      <c r="F85" s="7">
        <v>537.0</v>
      </c>
      <c r="G85" s="6" t="s">
        <v>21</v>
      </c>
      <c r="H85" s="7">
        <v>0.0</v>
      </c>
      <c r="I85" s="8">
        <v>46207.0</v>
      </c>
      <c r="J85" s="9" t="s">
        <v>23</v>
      </c>
      <c r="L85" s="10">
        <v>0.0</v>
      </c>
      <c r="M85" s="10">
        <v>0.9993055555555556</v>
      </c>
      <c r="N85" s="6" t="s">
        <v>465</v>
      </c>
      <c r="O85" s="11">
        <v>-7.2673876E7</v>
      </c>
      <c r="P85" s="11">
        <v>1.12744186E8</v>
      </c>
      <c r="Q85" s="12" t="s">
        <v>466</v>
      </c>
    </row>
    <row r="86">
      <c r="A86" s="13">
        <f t="shared" si="1"/>
        <v>85</v>
      </c>
      <c r="B86" s="6" t="s">
        <v>467</v>
      </c>
      <c r="C86" s="6" t="s">
        <v>468</v>
      </c>
      <c r="D86" s="6" t="s">
        <v>34</v>
      </c>
      <c r="E86" s="6" t="s">
        <v>469</v>
      </c>
      <c r="F86" s="7">
        <v>1552.0</v>
      </c>
      <c r="G86" s="6" t="s">
        <v>21</v>
      </c>
      <c r="H86" s="7" t="s">
        <v>221</v>
      </c>
      <c r="I86" s="8">
        <v>46085.0</v>
      </c>
      <c r="J86" s="9" t="s">
        <v>23</v>
      </c>
      <c r="L86" s="10">
        <v>0.4166666666666667</v>
      </c>
      <c r="M86" s="10">
        <v>0.041666666666666664</v>
      </c>
      <c r="N86" s="6" t="s">
        <v>470</v>
      </c>
      <c r="O86" s="11">
        <v>-7257989.0</v>
      </c>
      <c r="P86" s="11">
        <v>1.127321891E9</v>
      </c>
      <c r="Q86" s="12" t="s">
        <v>471</v>
      </c>
    </row>
    <row r="87">
      <c r="A87" s="13">
        <f t="shared" si="1"/>
        <v>86</v>
      </c>
      <c r="B87" s="6" t="s">
        <v>472</v>
      </c>
      <c r="C87" s="6" t="s">
        <v>473</v>
      </c>
      <c r="D87" s="6" t="s">
        <v>19</v>
      </c>
      <c r="E87" s="6" t="s">
        <v>474</v>
      </c>
      <c r="F87" s="7">
        <v>435.0</v>
      </c>
      <c r="G87" s="6" t="s">
        <v>21</v>
      </c>
      <c r="H87" s="7" t="s">
        <v>72</v>
      </c>
      <c r="I87" s="8">
        <v>46207.0</v>
      </c>
      <c r="J87" s="9" t="s">
        <v>23</v>
      </c>
      <c r="L87" s="10">
        <v>0.4166666666666667</v>
      </c>
      <c r="M87" s="10">
        <v>0.9583333333333334</v>
      </c>
      <c r="N87" s="6" t="s">
        <v>475</v>
      </c>
      <c r="O87" s="11">
        <v>-7.2891827E7</v>
      </c>
      <c r="P87" s="11">
        <v>1.127370669E9</v>
      </c>
      <c r="Q87" s="12" t="s">
        <v>476</v>
      </c>
    </row>
    <row r="88">
      <c r="A88" s="13">
        <f t="shared" si="1"/>
        <v>87</v>
      </c>
      <c r="B88" s="6" t="s">
        <v>477</v>
      </c>
      <c r="C88" s="6" t="s">
        <v>478</v>
      </c>
      <c r="D88" s="6" t="s">
        <v>34</v>
      </c>
      <c r="E88" s="6" t="s">
        <v>479</v>
      </c>
      <c r="F88" s="7">
        <v>1074.0</v>
      </c>
      <c r="G88" s="6" t="s">
        <v>21</v>
      </c>
      <c r="H88" s="7" t="s">
        <v>22</v>
      </c>
      <c r="I88" s="8">
        <v>46238.0</v>
      </c>
      <c r="J88" s="9" t="s">
        <v>23</v>
      </c>
      <c r="L88" s="10">
        <v>0.07083333333333333</v>
      </c>
      <c r="M88" s="10">
        <v>0.07083333333333333</v>
      </c>
      <c r="N88" s="6" t="s">
        <v>480</v>
      </c>
      <c r="O88" s="11">
        <v>-7.2982948E7</v>
      </c>
      <c r="P88" s="11">
        <v>1.126706293E9</v>
      </c>
      <c r="Q88" s="12" t="s">
        <v>481</v>
      </c>
    </row>
    <row r="89">
      <c r="A89" s="13">
        <f t="shared" si="1"/>
        <v>88</v>
      </c>
      <c r="B89" s="6" t="s">
        <v>482</v>
      </c>
      <c r="C89" s="6" t="s">
        <v>483</v>
      </c>
      <c r="D89" s="6" t="s">
        <v>34</v>
      </c>
      <c r="E89" s="6" t="s">
        <v>484</v>
      </c>
      <c r="F89" s="7">
        <v>265.0</v>
      </c>
      <c r="G89" s="6" t="s">
        <v>21</v>
      </c>
      <c r="H89" s="7" t="s">
        <v>22</v>
      </c>
      <c r="I89" s="7" t="s">
        <v>485</v>
      </c>
      <c r="J89" s="9" t="s">
        <v>23</v>
      </c>
      <c r="L89" s="10">
        <v>0.3333333333333333</v>
      </c>
      <c r="M89" s="10">
        <v>0.875</v>
      </c>
      <c r="N89" s="6" t="s">
        <v>486</v>
      </c>
      <c r="O89" s="11">
        <v>-7.2670157E7</v>
      </c>
      <c r="P89" s="11">
        <v>1.127693953E9</v>
      </c>
      <c r="Q89" s="12" t="s">
        <v>487</v>
      </c>
    </row>
    <row r="90">
      <c r="A90" s="13">
        <f t="shared" si="1"/>
        <v>89</v>
      </c>
      <c r="B90" s="6" t="s">
        <v>488</v>
      </c>
      <c r="C90" s="6" t="s">
        <v>489</v>
      </c>
      <c r="D90" s="6" t="s">
        <v>34</v>
      </c>
      <c r="E90" s="6" t="s">
        <v>490</v>
      </c>
      <c r="F90" s="7">
        <v>703.0</v>
      </c>
      <c r="G90" s="6" t="s">
        <v>21</v>
      </c>
      <c r="H90" s="7" t="s">
        <v>36</v>
      </c>
      <c r="I90" s="8">
        <v>46146.0</v>
      </c>
      <c r="J90" s="27" t="s">
        <v>65</v>
      </c>
      <c r="L90" s="10">
        <v>0.4166666666666667</v>
      </c>
      <c r="M90" s="10">
        <v>0.875</v>
      </c>
      <c r="N90" s="6" t="s">
        <v>491</v>
      </c>
      <c r="O90" s="11">
        <v>-7.2823374E7</v>
      </c>
      <c r="P90" s="11">
        <v>1.127858515E9</v>
      </c>
      <c r="Q90" s="12" t="s">
        <v>492</v>
      </c>
    </row>
    <row r="91">
      <c r="A91" s="13">
        <f t="shared" si="1"/>
        <v>90</v>
      </c>
      <c r="B91" s="6" t="s">
        <v>493</v>
      </c>
      <c r="C91" s="6" t="s">
        <v>494</v>
      </c>
      <c r="D91" s="6" t="s">
        <v>19</v>
      </c>
      <c r="E91" s="6" t="s">
        <v>495</v>
      </c>
      <c r="F91" s="7">
        <v>716.0</v>
      </c>
      <c r="G91" s="6" t="s">
        <v>21</v>
      </c>
      <c r="H91" s="7" t="s">
        <v>72</v>
      </c>
      <c r="I91" s="8">
        <v>46238.0</v>
      </c>
      <c r="J91" s="9" t="s">
        <v>23</v>
      </c>
      <c r="L91" s="10">
        <v>0.3333333333333333</v>
      </c>
      <c r="M91" s="10">
        <v>0.9166666666666666</v>
      </c>
      <c r="N91" s="6" t="s">
        <v>496</v>
      </c>
      <c r="O91" s="11">
        <v>-7.2648523E7</v>
      </c>
      <c r="P91" s="11">
        <v>1.126874236E9</v>
      </c>
      <c r="Q91" s="12" t="s">
        <v>497</v>
      </c>
    </row>
    <row r="92">
      <c r="A92" s="13">
        <f t="shared" si="1"/>
        <v>91</v>
      </c>
      <c r="B92" s="6" t="s">
        <v>498</v>
      </c>
      <c r="C92" s="6" t="s">
        <v>499</v>
      </c>
      <c r="D92" s="6" t="s">
        <v>19</v>
      </c>
      <c r="E92" s="6" t="s">
        <v>500</v>
      </c>
      <c r="F92" s="7">
        <v>1406.0</v>
      </c>
      <c r="G92" s="6" t="s">
        <v>21</v>
      </c>
      <c r="H92" s="7" t="s">
        <v>131</v>
      </c>
      <c r="I92" s="8">
        <v>46177.0</v>
      </c>
      <c r="J92" s="9" t="s">
        <v>23</v>
      </c>
      <c r="L92" s="10">
        <v>0.2916666666666667</v>
      </c>
      <c r="M92" s="10">
        <v>0.9166666666666666</v>
      </c>
      <c r="N92" s="6" t="s">
        <v>501</v>
      </c>
      <c r="O92" s="11">
        <v>-7.2819229E7</v>
      </c>
      <c r="P92" s="11">
        <v>1.127415054E9</v>
      </c>
      <c r="Q92" s="12" t="s">
        <v>502</v>
      </c>
    </row>
    <row r="93">
      <c r="A93" s="13">
        <f t="shared" si="1"/>
        <v>92</v>
      </c>
      <c r="B93" s="6" t="s">
        <v>503</v>
      </c>
      <c r="C93" s="6" t="s">
        <v>504</v>
      </c>
      <c r="D93" s="6" t="s">
        <v>34</v>
      </c>
      <c r="E93" s="6" t="s">
        <v>505</v>
      </c>
      <c r="F93" s="7">
        <v>118.0</v>
      </c>
      <c r="G93" s="6" t="s">
        <v>21</v>
      </c>
      <c r="H93" s="7" t="s">
        <v>22</v>
      </c>
      <c r="I93" s="8">
        <v>46146.0</v>
      </c>
      <c r="J93" s="9" t="s">
        <v>23</v>
      </c>
      <c r="L93" s="10">
        <v>0.2708333333333333</v>
      </c>
      <c r="M93" s="10">
        <v>0.7083333333333334</v>
      </c>
      <c r="N93" s="6" t="s">
        <v>506</v>
      </c>
      <c r="O93" s="11">
        <v>-7301804.0</v>
      </c>
      <c r="P93" s="11">
        <v>1.1273748E7</v>
      </c>
      <c r="Q93" s="12" t="s">
        <v>507</v>
      </c>
    </row>
    <row r="94">
      <c r="A94" s="13">
        <f t="shared" si="1"/>
        <v>93</v>
      </c>
      <c r="B94" s="6" t="s">
        <v>508</v>
      </c>
      <c r="C94" s="6" t="s">
        <v>509</v>
      </c>
      <c r="D94" s="6" t="s">
        <v>34</v>
      </c>
      <c r="E94" s="6" t="s">
        <v>510</v>
      </c>
      <c r="F94" s="7">
        <v>1478.0</v>
      </c>
      <c r="G94" s="6" t="s">
        <v>21</v>
      </c>
      <c r="H94" s="7" t="s">
        <v>22</v>
      </c>
      <c r="I94" s="8">
        <v>46085.0</v>
      </c>
      <c r="J94" s="9" t="s">
        <v>23</v>
      </c>
      <c r="L94" s="10">
        <v>0.4583333333333333</v>
      </c>
      <c r="M94" s="10">
        <v>0.875</v>
      </c>
      <c r="N94" s="6" t="s">
        <v>511</v>
      </c>
      <c r="O94" s="11">
        <v>-7.3126739E7</v>
      </c>
      <c r="P94" s="11">
        <v>1.127048741E9</v>
      </c>
      <c r="Q94" s="12" t="s">
        <v>512</v>
      </c>
    </row>
    <row r="95">
      <c r="A95" s="13">
        <f t="shared" si="1"/>
        <v>94</v>
      </c>
      <c r="B95" s="6" t="s">
        <v>513</v>
      </c>
      <c r="C95" s="6" t="s">
        <v>514</v>
      </c>
      <c r="D95" s="6" t="s">
        <v>34</v>
      </c>
      <c r="E95" s="6" t="s">
        <v>515</v>
      </c>
      <c r="F95" s="7">
        <v>242.0</v>
      </c>
      <c r="G95" s="6" t="s">
        <v>21</v>
      </c>
      <c r="H95" s="7" t="s">
        <v>36</v>
      </c>
      <c r="I95" s="8">
        <v>46116.0</v>
      </c>
      <c r="J95" s="9" t="s">
        <v>23</v>
      </c>
      <c r="L95" s="10">
        <v>0.375</v>
      </c>
      <c r="M95" s="10">
        <v>0.875</v>
      </c>
      <c r="N95" s="6" t="s">
        <v>516</v>
      </c>
      <c r="O95" s="11">
        <v>-7.2680745E7</v>
      </c>
      <c r="P95" s="11">
        <v>1.126619873E9</v>
      </c>
      <c r="Q95" s="12" t="s">
        <v>517</v>
      </c>
    </row>
    <row r="96">
      <c r="A96" s="13">
        <f t="shared" si="1"/>
        <v>95</v>
      </c>
      <c r="B96" s="6" t="s">
        <v>518</v>
      </c>
      <c r="C96" s="6" t="s">
        <v>519</v>
      </c>
      <c r="D96" s="6" t="s">
        <v>34</v>
      </c>
      <c r="E96" s="6" t="s">
        <v>520</v>
      </c>
      <c r="F96" s="7">
        <v>717.0</v>
      </c>
      <c r="G96" s="6" t="s">
        <v>21</v>
      </c>
      <c r="H96" s="7" t="s">
        <v>22</v>
      </c>
      <c r="I96" s="8">
        <v>46146.0</v>
      </c>
      <c r="J96" s="9" t="s">
        <v>23</v>
      </c>
      <c r="L96" s="10">
        <v>0.625</v>
      </c>
      <c r="M96" s="10">
        <v>0.0</v>
      </c>
      <c r="N96" s="6" t="s">
        <v>521</v>
      </c>
      <c r="O96" s="11">
        <v>-7.2671405E7</v>
      </c>
      <c r="P96" s="11">
        <v>1.127079655E9</v>
      </c>
      <c r="Q96" s="12" t="s">
        <v>522</v>
      </c>
    </row>
    <row r="97">
      <c r="A97" s="13">
        <f t="shared" si="1"/>
        <v>96</v>
      </c>
      <c r="B97" s="6" t="s">
        <v>523</v>
      </c>
      <c r="C97" s="6" t="s">
        <v>524</v>
      </c>
      <c r="D97" s="6" t="s">
        <v>46</v>
      </c>
      <c r="E97" s="6" t="s">
        <v>525</v>
      </c>
      <c r="F97" s="7">
        <v>23327.0</v>
      </c>
      <c r="G97" s="6" t="s">
        <v>21</v>
      </c>
      <c r="H97" s="7">
        <v>10000.0</v>
      </c>
      <c r="I97" s="8">
        <v>46116.0</v>
      </c>
      <c r="J97" s="27" t="s">
        <v>388</v>
      </c>
      <c r="K97" s="6" t="s">
        <v>59</v>
      </c>
      <c r="L97" s="10">
        <v>0.5</v>
      </c>
      <c r="M97" s="10">
        <v>0.7916666666666666</v>
      </c>
      <c r="N97" s="6" t="s">
        <v>526</v>
      </c>
      <c r="O97" s="11">
        <v>-7.1969273E7</v>
      </c>
      <c r="P97" s="11">
        <v>1.127322829E9</v>
      </c>
      <c r="Q97" s="12" t="s">
        <v>527</v>
      </c>
    </row>
    <row r="98">
      <c r="A98" s="13">
        <f t="shared" si="1"/>
        <v>97</v>
      </c>
      <c r="B98" s="6" t="s">
        <v>528</v>
      </c>
      <c r="C98" s="6" t="s">
        <v>529</v>
      </c>
      <c r="D98" s="6" t="s">
        <v>34</v>
      </c>
      <c r="E98" s="6" t="s">
        <v>530</v>
      </c>
      <c r="F98" s="7">
        <v>5807.0</v>
      </c>
      <c r="G98" s="6" t="s">
        <v>21</v>
      </c>
      <c r="H98" s="7" t="s">
        <v>22</v>
      </c>
      <c r="I98" s="8">
        <v>46207.0</v>
      </c>
      <c r="J98" s="27" t="s">
        <v>65</v>
      </c>
      <c r="K98" s="6" t="s">
        <v>66</v>
      </c>
      <c r="L98" s="10">
        <v>0.22916666666666666</v>
      </c>
      <c r="M98" s="10">
        <v>0.6666666666666666</v>
      </c>
      <c r="N98" s="6" t="s">
        <v>531</v>
      </c>
      <c r="O98" s="11">
        <v>-7.2549963E7</v>
      </c>
      <c r="P98" s="11">
        <v>1.127444317E9</v>
      </c>
      <c r="Q98" s="12" t="s">
        <v>532</v>
      </c>
    </row>
    <row r="99">
      <c r="A99" s="13">
        <f t="shared" si="1"/>
        <v>98</v>
      </c>
      <c r="B99" s="6" t="s">
        <v>533</v>
      </c>
      <c r="C99" s="6" t="s">
        <v>534</v>
      </c>
      <c r="D99" s="6" t="s">
        <v>34</v>
      </c>
      <c r="E99" s="6" t="s">
        <v>535</v>
      </c>
      <c r="F99" s="7">
        <v>34830.0</v>
      </c>
      <c r="G99" s="6" t="s">
        <v>21</v>
      </c>
      <c r="H99" s="7" t="s">
        <v>22</v>
      </c>
      <c r="I99" s="8">
        <v>46116.0</v>
      </c>
      <c r="J99" s="9" t="s">
        <v>23</v>
      </c>
      <c r="L99" s="10">
        <v>0.2916666666666667</v>
      </c>
      <c r="M99" s="10">
        <v>0.7291666666666666</v>
      </c>
      <c r="N99" s="6" t="s">
        <v>536</v>
      </c>
      <c r="O99" s="11">
        <v>-7.0382696E7</v>
      </c>
      <c r="P99" s="11">
        <v>1.127684461E9</v>
      </c>
      <c r="Q99" s="12" t="s">
        <v>537</v>
      </c>
    </row>
    <row r="100">
      <c r="A100" s="13">
        <f t="shared" si="1"/>
        <v>99</v>
      </c>
      <c r="B100" s="36" t="s">
        <v>538</v>
      </c>
      <c r="C100" s="37" t="s">
        <v>539</v>
      </c>
      <c r="D100" s="36" t="s">
        <v>19</v>
      </c>
      <c r="E100" s="36" t="s">
        <v>540</v>
      </c>
      <c r="F100" s="16">
        <v>677.0</v>
      </c>
      <c r="G100" s="36" t="s">
        <v>21</v>
      </c>
      <c r="H100" s="38">
        <v>45000.0</v>
      </c>
      <c r="I100" s="39">
        <v>46207.0</v>
      </c>
      <c r="J100" s="36" t="s">
        <v>23</v>
      </c>
      <c r="K100" s="40"/>
      <c r="L100" s="41">
        <v>0.2916666666666667</v>
      </c>
      <c r="M100" s="41">
        <v>0.9166666666666666</v>
      </c>
      <c r="N100" s="19" t="s">
        <v>541</v>
      </c>
      <c r="O100" s="19" t="s">
        <v>542</v>
      </c>
      <c r="P100" s="21" t="s">
        <v>543</v>
      </c>
      <c r="Q100" s="42" t="s">
        <v>544</v>
      </c>
      <c r="R100" s="43"/>
      <c r="S100" s="43"/>
      <c r="T100" s="43"/>
      <c r="U100" s="43"/>
      <c r="V100" s="43"/>
      <c r="W100" s="43"/>
      <c r="X100" s="43"/>
      <c r="Y100" s="43"/>
      <c r="Z100" s="43"/>
      <c r="AA100" s="43"/>
      <c r="AB100" s="43"/>
      <c r="AC100" s="43"/>
      <c r="AD100" s="43"/>
      <c r="AE100" s="43"/>
    </row>
    <row r="101">
      <c r="A101" s="13">
        <f t="shared" si="1"/>
        <v>100</v>
      </c>
      <c r="B101" s="6" t="s">
        <v>545</v>
      </c>
      <c r="C101" s="6" t="s">
        <v>546</v>
      </c>
      <c r="D101" s="6" t="s">
        <v>34</v>
      </c>
      <c r="E101" s="6" t="s">
        <v>547</v>
      </c>
      <c r="F101" s="7">
        <v>809.0</v>
      </c>
      <c r="G101" s="6" t="s">
        <v>21</v>
      </c>
      <c r="H101" s="7" t="s">
        <v>22</v>
      </c>
      <c r="I101" s="8">
        <v>46116.0</v>
      </c>
      <c r="J101" s="36" t="s">
        <v>23</v>
      </c>
      <c r="L101" s="10">
        <v>0.4166666666666667</v>
      </c>
      <c r="M101" s="10">
        <v>0.9166666666666666</v>
      </c>
      <c r="N101" s="6" t="s">
        <v>548</v>
      </c>
      <c r="O101" s="11">
        <v>-7.2792099E7</v>
      </c>
      <c r="P101" s="11">
        <v>1.127560165E9</v>
      </c>
      <c r="Q101" s="12" t="s">
        <v>549</v>
      </c>
    </row>
    <row r="102">
      <c r="A102" s="13">
        <f t="shared" si="1"/>
        <v>101</v>
      </c>
      <c r="B102" s="6" t="s">
        <v>550</v>
      </c>
      <c r="C102" s="6" t="s">
        <v>551</v>
      </c>
      <c r="D102" s="6" t="s">
        <v>34</v>
      </c>
      <c r="E102" s="6" t="s">
        <v>552</v>
      </c>
      <c r="F102" s="7">
        <v>708.0</v>
      </c>
      <c r="G102" s="6" t="s">
        <v>21</v>
      </c>
      <c r="H102" s="7" t="s">
        <v>36</v>
      </c>
      <c r="I102" s="8">
        <v>46207.0</v>
      </c>
      <c r="J102" s="36" t="s">
        <v>23</v>
      </c>
      <c r="L102" s="10">
        <v>0.375</v>
      </c>
      <c r="M102" s="10">
        <v>0.7083333333333334</v>
      </c>
      <c r="N102" s="6" t="s">
        <v>553</v>
      </c>
      <c r="O102" s="11">
        <v>-7.2397297E7</v>
      </c>
      <c r="P102" s="11">
        <v>1.127177921E9</v>
      </c>
      <c r="Q102" s="12" t="s">
        <v>554</v>
      </c>
    </row>
    <row r="103">
      <c r="A103" s="13">
        <f t="shared" si="1"/>
        <v>102</v>
      </c>
      <c r="B103" s="6" t="s">
        <v>555</v>
      </c>
      <c r="C103" s="6" t="s">
        <v>556</v>
      </c>
      <c r="D103" s="6" t="s">
        <v>46</v>
      </c>
      <c r="E103" s="6" t="s">
        <v>557</v>
      </c>
      <c r="F103" s="7">
        <v>39.0</v>
      </c>
      <c r="G103" s="6" t="s">
        <v>21</v>
      </c>
      <c r="H103" s="7">
        <v>0.0</v>
      </c>
      <c r="I103" s="8">
        <v>46238.0</v>
      </c>
      <c r="J103" s="36" t="s">
        <v>23</v>
      </c>
      <c r="L103" s="10">
        <v>0.4166666666666667</v>
      </c>
      <c r="M103" s="10">
        <v>0.6666666666666666</v>
      </c>
      <c r="N103" s="6" t="s">
        <v>558</v>
      </c>
      <c r="O103" s="11">
        <v>-7.2842452E7</v>
      </c>
      <c r="P103" s="11">
        <v>1.12805911E8</v>
      </c>
      <c r="Q103" s="12" t="s">
        <v>559</v>
      </c>
    </row>
    <row r="104">
      <c r="A104" s="13">
        <f t="shared" si="1"/>
        <v>103</v>
      </c>
      <c r="B104" s="6" t="s">
        <v>560</v>
      </c>
      <c r="C104" s="6" t="s">
        <v>561</v>
      </c>
      <c r="D104" s="6" t="s">
        <v>34</v>
      </c>
      <c r="E104" s="6" t="s">
        <v>562</v>
      </c>
      <c r="F104" s="7">
        <v>1055.0</v>
      </c>
      <c r="G104" s="6" t="s">
        <v>21</v>
      </c>
      <c r="H104" s="7" t="s">
        <v>22</v>
      </c>
      <c r="I104" s="8">
        <v>46269.0</v>
      </c>
      <c r="J104" s="36" t="s">
        <v>23</v>
      </c>
      <c r="L104" s="10">
        <v>0.4166666666666667</v>
      </c>
      <c r="M104" s="10">
        <v>0.8958333333333334</v>
      </c>
      <c r="N104" s="6" t="s">
        <v>563</v>
      </c>
      <c r="O104" s="11">
        <v>-7.2907677E7</v>
      </c>
      <c r="P104" s="11">
        <v>1.126736724E9</v>
      </c>
      <c r="Q104" s="12" t="s">
        <v>564</v>
      </c>
    </row>
    <row r="105">
      <c r="A105" s="13">
        <f t="shared" si="1"/>
        <v>104</v>
      </c>
      <c r="B105" s="6" t="s">
        <v>565</v>
      </c>
      <c r="C105" s="6" t="s">
        <v>566</v>
      </c>
      <c r="D105" s="6" t="s">
        <v>46</v>
      </c>
      <c r="E105" s="6" t="s">
        <v>567</v>
      </c>
      <c r="F105" s="7">
        <v>116.0</v>
      </c>
      <c r="G105" s="6" t="s">
        <v>21</v>
      </c>
      <c r="H105" s="7">
        <v>0.0</v>
      </c>
      <c r="I105" s="8">
        <v>46116.0</v>
      </c>
      <c r="J105" s="44" t="s">
        <v>288</v>
      </c>
      <c r="K105" s="6" t="s">
        <v>287</v>
      </c>
      <c r="L105" s="10">
        <v>0.3333333333333333</v>
      </c>
      <c r="M105" s="10">
        <v>0.5833333333333334</v>
      </c>
      <c r="N105" s="6" t="s">
        <v>568</v>
      </c>
      <c r="O105" s="11">
        <v>-7.2650126E7</v>
      </c>
      <c r="P105" s="11">
        <v>1.126731242E9</v>
      </c>
      <c r="Q105" s="12" t="s">
        <v>569</v>
      </c>
    </row>
    <row r="106">
      <c r="A106" s="13">
        <f t="shared" si="1"/>
        <v>105</v>
      </c>
      <c r="B106" s="6" t="s">
        <v>570</v>
      </c>
      <c r="C106" s="6" t="s">
        <v>571</v>
      </c>
      <c r="D106" s="6" t="s">
        <v>19</v>
      </c>
      <c r="E106" s="6" t="s">
        <v>572</v>
      </c>
      <c r="F106" s="7">
        <v>1107.0</v>
      </c>
      <c r="G106" s="6" t="s">
        <v>21</v>
      </c>
      <c r="H106" s="7" t="s">
        <v>221</v>
      </c>
      <c r="I106" s="8">
        <v>46177.0</v>
      </c>
      <c r="J106" s="36" t="s">
        <v>23</v>
      </c>
      <c r="L106" s="10">
        <v>0.3333333333333333</v>
      </c>
      <c r="M106" s="10">
        <v>0.9166666666666666</v>
      </c>
      <c r="N106" s="6" t="s">
        <v>573</v>
      </c>
      <c r="O106" s="11">
        <v>-7265988.0</v>
      </c>
      <c r="P106" s="11">
        <v>1.12738307E8</v>
      </c>
      <c r="Q106" s="12" t="s">
        <v>574</v>
      </c>
    </row>
    <row r="107">
      <c r="A107" s="13">
        <f t="shared" si="1"/>
        <v>106</v>
      </c>
      <c r="B107" s="6" t="s">
        <v>575</v>
      </c>
      <c r="C107" s="6" t="s">
        <v>576</v>
      </c>
      <c r="D107" s="6" t="s">
        <v>34</v>
      </c>
      <c r="E107" s="6" t="s">
        <v>577</v>
      </c>
      <c r="F107" s="7">
        <v>105.0</v>
      </c>
      <c r="G107" s="6" t="s">
        <v>21</v>
      </c>
      <c r="H107" s="7" t="s">
        <v>36</v>
      </c>
      <c r="I107" s="8">
        <v>46207.0</v>
      </c>
      <c r="J107" s="36" t="s">
        <v>23</v>
      </c>
      <c r="L107" s="10">
        <v>0.0</v>
      </c>
      <c r="M107" s="10">
        <v>0.9993055555555556</v>
      </c>
      <c r="N107" s="6" t="s">
        <v>578</v>
      </c>
      <c r="O107" s="11">
        <v>-7.2818924E7</v>
      </c>
      <c r="P107" s="11">
        <v>1.127860041E9</v>
      </c>
      <c r="Q107" s="12" t="s">
        <v>579</v>
      </c>
    </row>
    <row r="108">
      <c r="A108" s="13">
        <f t="shared" si="1"/>
        <v>107</v>
      </c>
      <c r="B108" s="45" t="s">
        <v>580</v>
      </c>
      <c r="C108" s="45" t="s">
        <v>581</v>
      </c>
      <c r="D108" s="45" t="s">
        <v>19</v>
      </c>
      <c r="E108" s="45" t="s">
        <v>582</v>
      </c>
      <c r="F108" s="28">
        <v>2280.0</v>
      </c>
      <c r="G108" s="45" t="s">
        <v>21</v>
      </c>
      <c r="H108" s="45">
        <v>50000.0</v>
      </c>
      <c r="I108" s="29">
        <v>46177.0</v>
      </c>
      <c r="J108" s="45" t="s">
        <v>23</v>
      </c>
      <c r="K108" s="46"/>
      <c r="L108" s="47">
        <v>0.375</v>
      </c>
      <c r="M108" s="47">
        <v>0.875</v>
      </c>
      <c r="N108" s="48" t="s">
        <v>583</v>
      </c>
      <c r="O108" s="33" t="s">
        <v>584</v>
      </c>
      <c r="P108" s="34" t="s">
        <v>585</v>
      </c>
      <c r="Q108" s="42" t="s">
        <v>586</v>
      </c>
      <c r="R108" s="43"/>
      <c r="S108" s="43"/>
      <c r="T108" s="43"/>
      <c r="U108" s="43"/>
      <c r="V108" s="43"/>
      <c r="W108" s="43"/>
      <c r="X108" s="43"/>
      <c r="Y108" s="43"/>
      <c r="Z108" s="43"/>
      <c r="AA108" s="43"/>
      <c r="AB108" s="43"/>
      <c r="AC108" s="43"/>
      <c r="AD108" s="43"/>
      <c r="AE108" s="43"/>
    </row>
    <row r="109">
      <c r="A109" s="13">
        <f t="shared" si="1"/>
        <v>108</v>
      </c>
      <c r="B109" s="6" t="s">
        <v>587</v>
      </c>
      <c r="C109" s="6" t="s">
        <v>588</v>
      </c>
      <c r="D109" s="6" t="s">
        <v>34</v>
      </c>
      <c r="E109" s="6" t="s">
        <v>589</v>
      </c>
      <c r="F109" s="7">
        <v>808.0</v>
      </c>
      <c r="G109" s="6" t="s">
        <v>21</v>
      </c>
      <c r="H109" s="7" t="s">
        <v>590</v>
      </c>
      <c r="I109" s="8">
        <v>46269.0</v>
      </c>
      <c r="J109" s="45" t="s">
        <v>23</v>
      </c>
      <c r="L109" s="10">
        <v>0.4583333333333333</v>
      </c>
      <c r="M109" s="10">
        <v>0.9166666666666666</v>
      </c>
      <c r="N109" s="6" t="s">
        <v>591</v>
      </c>
      <c r="O109" s="11">
        <v>-7.2882098E7</v>
      </c>
      <c r="P109" s="11">
        <v>1.127007817E9</v>
      </c>
      <c r="Q109" s="12" t="s">
        <v>592</v>
      </c>
    </row>
    <row r="110">
      <c r="A110" s="13">
        <f t="shared" si="1"/>
        <v>109</v>
      </c>
      <c r="B110" s="6" t="s">
        <v>593</v>
      </c>
      <c r="C110" s="6" t="s">
        <v>594</v>
      </c>
      <c r="D110" s="6" t="s">
        <v>34</v>
      </c>
      <c r="E110" s="6" t="s">
        <v>595</v>
      </c>
      <c r="F110" s="7">
        <v>915.0</v>
      </c>
      <c r="G110" s="6" t="s">
        <v>21</v>
      </c>
      <c r="H110" s="7" t="s">
        <v>22</v>
      </c>
      <c r="I110" s="8">
        <v>46146.0</v>
      </c>
      <c r="J110" s="45" t="s">
        <v>23</v>
      </c>
      <c r="L110" s="10">
        <v>0.375</v>
      </c>
      <c r="M110" s="10">
        <v>0.875</v>
      </c>
      <c r="N110" s="6" t="s">
        <v>596</v>
      </c>
      <c r="O110" s="11">
        <v>-7262635.0</v>
      </c>
      <c r="P110" s="11">
        <v>1.127248143E9</v>
      </c>
      <c r="Q110" s="12" t="s">
        <v>597</v>
      </c>
    </row>
    <row r="111">
      <c r="A111" s="13">
        <f t="shared" si="1"/>
        <v>110</v>
      </c>
      <c r="B111" s="6" t="s">
        <v>598</v>
      </c>
      <c r="C111" s="6" t="s">
        <v>599</v>
      </c>
      <c r="D111" s="6" t="s">
        <v>34</v>
      </c>
      <c r="E111" s="6" t="s">
        <v>600</v>
      </c>
      <c r="F111" s="7">
        <v>291.0</v>
      </c>
      <c r="G111" s="6" t="s">
        <v>21</v>
      </c>
      <c r="H111" s="7" t="s">
        <v>36</v>
      </c>
      <c r="I111" s="8">
        <v>46238.0</v>
      </c>
      <c r="J111" s="45" t="s">
        <v>601</v>
      </c>
      <c r="K111" s="6" t="s">
        <v>602</v>
      </c>
      <c r="L111" s="10">
        <v>0.4166666666666667</v>
      </c>
      <c r="M111" s="10">
        <v>0.7083333333333334</v>
      </c>
      <c r="N111" s="6" t="s">
        <v>603</v>
      </c>
      <c r="O111" s="11">
        <v>-7.2801337E7</v>
      </c>
      <c r="P111" s="11">
        <v>1.126361065E9</v>
      </c>
      <c r="Q111" s="12" t="s">
        <v>604</v>
      </c>
    </row>
    <row r="112">
      <c r="A112" s="13">
        <f t="shared" si="1"/>
        <v>111</v>
      </c>
      <c r="B112" s="6" t="s">
        <v>605</v>
      </c>
      <c r="C112" s="6" t="s">
        <v>606</v>
      </c>
      <c r="D112" s="6" t="s">
        <v>34</v>
      </c>
      <c r="E112" s="6" t="s">
        <v>607</v>
      </c>
      <c r="F112" s="7">
        <v>523.0</v>
      </c>
      <c r="G112" s="6" t="s">
        <v>21</v>
      </c>
      <c r="H112" s="7" t="s">
        <v>608</v>
      </c>
      <c r="I112" s="8">
        <v>46207.0</v>
      </c>
      <c r="J112" s="45" t="s">
        <v>23</v>
      </c>
      <c r="L112" s="10">
        <v>0.5416666666666666</v>
      </c>
      <c r="M112" s="10">
        <v>0.9375</v>
      </c>
      <c r="N112" s="6" t="s">
        <v>609</v>
      </c>
      <c r="O112" s="11">
        <v>-7.2536537E7</v>
      </c>
      <c r="P112" s="11">
        <v>1.127824638E9</v>
      </c>
      <c r="Q112" s="12" t="s">
        <v>610</v>
      </c>
    </row>
    <row r="113">
      <c r="A113" s="13">
        <f t="shared" si="1"/>
        <v>112</v>
      </c>
      <c r="B113" s="6" t="s">
        <v>611</v>
      </c>
      <c r="C113" s="6" t="s">
        <v>612</v>
      </c>
      <c r="D113" s="6" t="s">
        <v>19</v>
      </c>
      <c r="E113" s="6" t="s">
        <v>613</v>
      </c>
      <c r="F113" s="7">
        <v>250.0</v>
      </c>
      <c r="G113" s="6" t="s">
        <v>21</v>
      </c>
      <c r="H113" s="7" t="s">
        <v>72</v>
      </c>
      <c r="I113" s="8">
        <v>46207.0</v>
      </c>
      <c r="J113" s="45" t="s">
        <v>23</v>
      </c>
      <c r="L113" s="10">
        <v>0.2916666666666667</v>
      </c>
      <c r="M113" s="10">
        <v>0.9583333333333334</v>
      </c>
      <c r="N113" s="6" t="s">
        <v>614</v>
      </c>
      <c r="O113" s="11">
        <v>-7.2673827E7</v>
      </c>
      <c r="P113" s="11">
        <v>1.127712047E9</v>
      </c>
      <c r="Q113" s="12" t="s">
        <v>615</v>
      </c>
    </row>
    <row r="114">
      <c r="A114" s="13">
        <f t="shared" si="1"/>
        <v>113</v>
      </c>
      <c r="B114" s="6" t="s">
        <v>616</v>
      </c>
      <c r="C114" s="6" t="s">
        <v>617</v>
      </c>
      <c r="D114" s="6" t="s">
        <v>46</v>
      </c>
      <c r="E114" s="6" t="s">
        <v>357</v>
      </c>
      <c r="F114" s="7">
        <v>566.0</v>
      </c>
      <c r="G114" s="6" t="s">
        <v>21</v>
      </c>
      <c r="H114" s="7">
        <v>0.0</v>
      </c>
      <c r="I114" s="8">
        <v>46085.0</v>
      </c>
      <c r="J114" s="45" t="s">
        <v>23</v>
      </c>
      <c r="L114" s="10">
        <v>0.125</v>
      </c>
      <c r="M114" s="10">
        <v>0.9583333333333334</v>
      </c>
      <c r="N114" s="6" t="s">
        <v>618</v>
      </c>
      <c r="O114" s="11">
        <v>-7.2220559E7</v>
      </c>
      <c r="P114" s="11">
        <v>1.127319967E9</v>
      </c>
      <c r="Q114" s="12" t="s">
        <v>619</v>
      </c>
    </row>
    <row r="115">
      <c r="A115" s="13">
        <f t="shared" si="1"/>
        <v>114</v>
      </c>
      <c r="B115" s="9" t="s">
        <v>620</v>
      </c>
      <c r="C115" s="49" t="s">
        <v>621</v>
      </c>
      <c r="D115" s="9" t="s">
        <v>46</v>
      </c>
      <c r="E115" s="25" t="s">
        <v>622</v>
      </c>
      <c r="F115" s="16">
        <v>99.0</v>
      </c>
      <c r="G115" s="9" t="s">
        <v>21</v>
      </c>
      <c r="H115" s="26">
        <v>0.0</v>
      </c>
      <c r="I115" s="17">
        <v>46116.0</v>
      </c>
      <c r="J115" s="9" t="s">
        <v>23</v>
      </c>
      <c r="K115" s="9"/>
      <c r="L115" s="18">
        <v>0.0</v>
      </c>
      <c r="M115" s="18">
        <v>0.9993055555555556</v>
      </c>
      <c r="N115" s="19" t="s">
        <v>623</v>
      </c>
      <c r="O115" s="20" t="str">
        <f>IFERROR(__xludf.DUMMYFUNCTION("REGEXEXTRACT(N115,""^-?[0-9.]+"")"),"-7.256603120558656")</f>
        <v>-7.256603120558656</v>
      </c>
      <c r="P115" s="21" t="str">
        <f>IFERROR(__xludf.DUMMYFUNCTION("REGEXEXTRACT(N115,"",\s*(-?[0-9.]+)"")"),"112.73758167301209")</f>
        <v>112.73758167301209</v>
      </c>
      <c r="Q115" s="22" t="s">
        <v>624</v>
      </c>
      <c r="R115" s="23"/>
      <c r="S115" s="23"/>
      <c r="T115" s="23"/>
      <c r="U115" s="23"/>
      <c r="V115" s="23"/>
      <c r="W115" s="23"/>
      <c r="X115" s="23"/>
      <c r="Y115" s="23"/>
      <c r="Z115" s="23"/>
      <c r="AA115" s="23"/>
      <c r="AB115" s="23"/>
      <c r="AC115" s="23"/>
      <c r="AD115" s="23"/>
      <c r="AE115" s="23"/>
    </row>
    <row r="116">
      <c r="A116" s="13">
        <f t="shared" si="1"/>
        <v>115</v>
      </c>
      <c r="B116" s="6" t="s">
        <v>625</v>
      </c>
      <c r="C116" s="6" t="s">
        <v>626</v>
      </c>
      <c r="D116" s="6" t="s">
        <v>19</v>
      </c>
      <c r="E116" s="6" t="s">
        <v>627</v>
      </c>
      <c r="F116" s="7">
        <v>372.0</v>
      </c>
      <c r="G116" s="6" t="s">
        <v>21</v>
      </c>
      <c r="H116" s="7" t="s">
        <v>22</v>
      </c>
      <c r="I116" s="8">
        <v>46238.0</v>
      </c>
      <c r="J116" s="9" t="s">
        <v>23</v>
      </c>
      <c r="L116" s="10">
        <v>0.375</v>
      </c>
      <c r="M116" s="10">
        <v>0.9166666666666666</v>
      </c>
      <c r="N116" s="6" t="s">
        <v>628</v>
      </c>
      <c r="O116" s="11">
        <v>-7.2748483E7</v>
      </c>
      <c r="P116" s="11">
        <v>1.126598294E9</v>
      </c>
      <c r="Q116" s="12" t="s">
        <v>629</v>
      </c>
    </row>
    <row r="117">
      <c r="A117" s="13">
        <f t="shared" si="1"/>
        <v>116</v>
      </c>
      <c r="B117" s="6" t="s">
        <v>630</v>
      </c>
      <c r="C117" s="6" t="s">
        <v>631</v>
      </c>
      <c r="D117" s="6" t="s">
        <v>34</v>
      </c>
      <c r="E117" s="6" t="s">
        <v>632</v>
      </c>
      <c r="F117" s="7">
        <v>553.0</v>
      </c>
      <c r="G117" s="6" t="s">
        <v>21</v>
      </c>
      <c r="H117" s="7" t="s">
        <v>22</v>
      </c>
      <c r="I117" s="8">
        <v>46207.0</v>
      </c>
      <c r="J117" s="9" t="s">
        <v>23</v>
      </c>
      <c r="L117" s="10">
        <v>0.4583333333333333</v>
      </c>
      <c r="M117" s="10">
        <v>0.16666666666666666</v>
      </c>
      <c r="N117" s="6" t="s">
        <v>633</v>
      </c>
      <c r="O117" s="11">
        <v>-7.2680661E7</v>
      </c>
      <c r="P117" s="11">
        <v>1.1273461E7</v>
      </c>
      <c r="Q117" s="12" t="s">
        <v>634</v>
      </c>
    </row>
    <row r="118">
      <c r="A118" s="13">
        <f t="shared" si="1"/>
        <v>117</v>
      </c>
      <c r="B118" s="6" t="s">
        <v>635</v>
      </c>
      <c r="C118" s="6" t="s">
        <v>636</v>
      </c>
      <c r="D118" s="6" t="s">
        <v>34</v>
      </c>
      <c r="E118" s="6" t="s">
        <v>637</v>
      </c>
      <c r="F118" s="7">
        <v>197.0</v>
      </c>
      <c r="G118" s="6" t="s">
        <v>21</v>
      </c>
      <c r="H118" s="7" t="s">
        <v>36</v>
      </c>
      <c r="I118" s="8">
        <v>46116.0</v>
      </c>
      <c r="J118" s="9" t="s">
        <v>23</v>
      </c>
      <c r="L118" s="10">
        <v>0.4166666666666667</v>
      </c>
      <c r="M118" s="10">
        <v>0.9166666666666666</v>
      </c>
      <c r="N118" s="6" t="s">
        <v>638</v>
      </c>
      <c r="O118" s="11">
        <v>-7.2287568E7</v>
      </c>
      <c r="P118" s="11">
        <v>1.127456364E9</v>
      </c>
      <c r="Q118" s="12" t="s">
        <v>639</v>
      </c>
    </row>
    <row r="119">
      <c r="A119" s="13">
        <f t="shared" si="1"/>
        <v>118</v>
      </c>
      <c r="B119" s="6" t="s">
        <v>640</v>
      </c>
      <c r="C119" s="6" t="s">
        <v>641</v>
      </c>
      <c r="D119" s="6" t="s">
        <v>46</v>
      </c>
      <c r="E119" s="6" t="s">
        <v>642</v>
      </c>
      <c r="F119" s="7">
        <v>2855.0</v>
      </c>
      <c r="G119" s="6" t="s">
        <v>21</v>
      </c>
      <c r="H119" s="7" t="s">
        <v>643</v>
      </c>
      <c r="I119" s="8">
        <v>46085.0</v>
      </c>
      <c r="J119" s="27" t="s">
        <v>601</v>
      </c>
      <c r="K119" s="6" t="s">
        <v>602</v>
      </c>
      <c r="L119" s="10">
        <v>0.4166666666666667</v>
      </c>
      <c r="M119" s="10">
        <v>0.75</v>
      </c>
      <c r="N119" s="6" t="s">
        <v>644</v>
      </c>
      <c r="O119" s="11">
        <v>-7.2525951E7</v>
      </c>
      <c r="P119" s="11">
        <v>1.128023063E9</v>
      </c>
      <c r="Q119" s="12" t="s">
        <v>645</v>
      </c>
    </row>
    <row r="120">
      <c r="A120" s="13">
        <f t="shared" si="1"/>
        <v>119</v>
      </c>
      <c r="B120" s="6" t="s">
        <v>646</v>
      </c>
      <c r="C120" s="6" t="s">
        <v>647</v>
      </c>
      <c r="D120" s="6" t="s">
        <v>34</v>
      </c>
      <c r="E120" s="6" t="s">
        <v>648</v>
      </c>
      <c r="F120" s="7">
        <v>391.0</v>
      </c>
      <c r="G120" s="6" t="s">
        <v>21</v>
      </c>
      <c r="H120" s="7" t="s">
        <v>649</v>
      </c>
      <c r="I120" s="8">
        <v>46238.0</v>
      </c>
      <c r="J120" s="9" t="s">
        <v>23</v>
      </c>
      <c r="L120" s="10">
        <v>0.4583333333333333</v>
      </c>
      <c r="M120" s="10">
        <v>0.9166666666666666</v>
      </c>
      <c r="N120" s="6" t="s">
        <v>650</v>
      </c>
      <c r="O120" s="11">
        <v>-7.2787062E7</v>
      </c>
      <c r="P120" s="11">
        <v>1.126959712E9</v>
      </c>
      <c r="Q120" s="12" t="s">
        <v>651</v>
      </c>
    </row>
    <row r="121">
      <c r="A121" s="13">
        <f t="shared" si="1"/>
        <v>120</v>
      </c>
      <c r="B121" s="6" t="s">
        <v>652</v>
      </c>
      <c r="C121" s="6" t="s">
        <v>653</v>
      </c>
      <c r="D121" s="6" t="s">
        <v>34</v>
      </c>
      <c r="E121" s="6" t="s">
        <v>600</v>
      </c>
      <c r="F121" s="7">
        <v>792.0</v>
      </c>
      <c r="G121" s="6" t="s">
        <v>21</v>
      </c>
      <c r="H121" s="7" t="s">
        <v>22</v>
      </c>
      <c r="I121" s="8">
        <v>46116.0</v>
      </c>
      <c r="J121" s="9" t="s">
        <v>23</v>
      </c>
      <c r="L121" s="10">
        <v>0.2916666666666667</v>
      </c>
      <c r="M121" s="10">
        <v>0.8333333333333334</v>
      </c>
      <c r="N121" s="6" t="s">
        <v>654</v>
      </c>
      <c r="O121" s="11">
        <v>-7.2809473E7</v>
      </c>
      <c r="P121" s="11">
        <v>1.126967711E9</v>
      </c>
      <c r="Q121" s="12" t="s">
        <v>655</v>
      </c>
    </row>
    <row r="122">
      <c r="A122" s="13">
        <f t="shared" si="1"/>
        <v>121</v>
      </c>
      <c r="B122" s="6" t="s">
        <v>656</v>
      </c>
      <c r="C122" s="6" t="s">
        <v>657</v>
      </c>
      <c r="D122" s="6" t="s">
        <v>34</v>
      </c>
      <c r="E122" s="6" t="s">
        <v>658</v>
      </c>
      <c r="F122" s="7">
        <v>1491.0</v>
      </c>
      <c r="G122" s="6" t="s">
        <v>21</v>
      </c>
      <c r="H122" s="7" t="s">
        <v>36</v>
      </c>
      <c r="I122" s="8">
        <v>46146.0</v>
      </c>
      <c r="J122" s="9" t="s">
        <v>23</v>
      </c>
      <c r="L122" s="10">
        <v>0.4375</v>
      </c>
      <c r="M122" s="10">
        <v>0.875</v>
      </c>
      <c r="N122" s="6" t="s">
        <v>659</v>
      </c>
      <c r="O122" s="11">
        <v>-7.3086339E7</v>
      </c>
      <c r="P122" s="11">
        <v>1.127553513E9</v>
      </c>
      <c r="Q122" s="12" t="s">
        <v>660</v>
      </c>
    </row>
    <row r="123">
      <c r="A123" s="13">
        <f t="shared" si="1"/>
        <v>122</v>
      </c>
      <c r="B123" s="6" t="s">
        <v>661</v>
      </c>
      <c r="C123" s="6" t="s">
        <v>662</v>
      </c>
      <c r="D123" s="6" t="s">
        <v>46</v>
      </c>
      <c r="E123" s="6" t="s">
        <v>663</v>
      </c>
      <c r="F123" s="7">
        <v>94.0</v>
      </c>
      <c r="G123" s="6" t="s">
        <v>21</v>
      </c>
      <c r="H123" s="7">
        <v>0.0</v>
      </c>
      <c r="I123" s="8">
        <v>46146.0</v>
      </c>
      <c r="J123" s="9" t="s">
        <v>23</v>
      </c>
      <c r="L123" s="10">
        <v>0.0</v>
      </c>
      <c r="M123" s="10">
        <v>0.9993055555555556</v>
      </c>
      <c r="N123" s="6" t="s">
        <v>664</v>
      </c>
      <c r="O123" s="11">
        <v>-7277788.0</v>
      </c>
      <c r="P123" s="11">
        <v>1.128082338E9</v>
      </c>
      <c r="Q123" s="12" t="s">
        <v>665</v>
      </c>
    </row>
    <row r="124">
      <c r="A124" s="13">
        <f t="shared" si="1"/>
        <v>123</v>
      </c>
      <c r="B124" s="6" t="s">
        <v>666</v>
      </c>
      <c r="C124" s="6" t="s">
        <v>667</v>
      </c>
      <c r="D124" s="6" t="s">
        <v>34</v>
      </c>
      <c r="E124" s="6" t="s">
        <v>668</v>
      </c>
      <c r="F124" s="7">
        <v>895.0</v>
      </c>
      <c r="G124" s="6" t="s">
        <v>21</v>
      </c>
      <c r="H124" s="7" t="s">
        <v>22</v>
      </c>
      <c r="I124" s="8">
        <v>46057.0</v>
      </c>
      <c r="J124" s="9" t="s">
        <v>23</v>
      </c>
      <c r="L124" s="10">
        <v>0.5625</v>
      </c>
      <c r="M124" s="10">
        <v>0.041666666666666664</v>
      </c>
      <c r="N124" s="6" t="s">
        <v>669</v>
      </c>
      <c r="O124" s="11">
        <v>-7.3276807E7</v>
      </c>
      <c r="P124" s="11">
        <v>1.127320592E9</v>
      </c>
      <c r="Q124" s="12" t="s">
        <v>670</v>
      </c>
    </row>
    <row r="125">
      <c r="A125" s="13">
        <f t="shared" si="1"/>
        <v>124</v>
      </c>
      <c r="B125" s="6" t="s">
        <v>671</v>
      </c>
      <c r="C125" s="6" t="s">
        <v>672</v>
      </c>
      <c r="D125" s="6" t="s">
        <v>34</v>
      </c>
      <c r="E125" s="6" t="s">
        <v>673</v>
      </c>
      <c r="F125" s="7">
        <v>194.0</v>
      </c>
      <c r="G125" s="6" t="s">
        <v>21</v>
      </c>
      <c r="H125" s="7" t="s">
        <v>36</v>
      </c>
      <c r="I125" s="8">
        <v>46269.0</v>
      </c>
      <c r="J125" s="9" t="s">
        <v>23</v>
      </c>
      <c r="L125" s="10">
        <v>0.25</v>
      </c>
      <c r="M125" s="10">
        <v>0.5833333333333334</v>
      </c>
      <c r="N125" s="6" t="s">
        <v>674</v>
      </c>
      <c r="O125" s="11">
        <v>-7.2918293E7</v>
      </c>
      <c r="P125" s="11">
        <v>1.127382472E9</v>
      </c>
      <c r="Q125" s="12" t="s">
        <v>675</v>
      </c>
    </row>
    <row r="126">
      <c r="A126" s="13">
        <f t="shared" si="1"/>
        <v>125</v>
      </c>
      <c r="B126" s="6" t="s">
        <v>676</v>
      </c>
      <c r="C126" s="6" t="s">
        <v>677</v>
      </c>
      <c r="D126" s="6" t="s">
        <v>34</v>
      </c>
      <c r="E126" s="6" t="s">
        <v>678</v>
      </c>
      <c r="F126" s="7">
        <v>1577.0</v>
      </c>
      <c r="G126" s="6" t="s">
        <v>21</v>
      </c>
      <c r="H126" s="7" t="s">
        <v>679</v>
      </c>
      <c r="I126" s="8">
        <v>46207.0</v>
      </c>
      <c r="J126" s="9" t="s">
        <v>23</v>
      </c>
      <c r="L126" s="10">
        <v>0.4166666666666667</v>
      </c>
      <c r="M126" s="10">
        <v>0.875</v>
      </c>
      <c r="N126" s="6" t="s">
        <v>680</v>
      </c>
      <c r="O126" s="11">
        <v>-7.2848692E7</v>
      </c>
      <c r="P126" s="11">
        <v>1.127349052E9</v>
      </c>
      <c r="Q126" s="12" t="s">
        <v>681</v>
      </c>
    </row>
    <row r="127">
      <c r="A127" s="13">
        <f t="shared" si="1"/>
        <v>126</v>
      </c>
      <c r="B127" s="6" t="s">
        <v>682</v>
      </c>
      <c r="C127" s="6" t="s">
        <v>683</v>
      </c>
      <c r="D127" s="6" t="s">
        <v>34</v>
      </c>
      <c r="E127" s="6" t="s">
        <v>684</v>
      </c>
      <c r="F127" s="7">
        <v>705.0</v>
      </c>
      <c r="G127" s="6" t="s">
        <v>21</v>
      </c>
      <c r="H127" s="7" t="s">
        <v>22</v>
      </c>
      <c r="I127" s="8">
        <v>46085.0</v>
      </c>
      <c r="J127" s="9" t="s">
        <v>23</v>
      </c>
      <c r="L127" s="10">
        <v>0.6875</v>
      </c>
      <c r="M127" s="10">
        <v>0.0</v>
      </c>
      <c r="N127" s="6" t="s">
        <v>685</v>
      </c>
      <c r="O127" s="11">
        <v>-7.2690352E7</v>
      </c>
      <c r="P127" s="11">
        <v>1.127609644E9</v>
      </c>
      <c r="Q127" s="12" t="s">
        <v>686</v>
      </c>
    </row>
    <row r="128">
      <c r="A128" s="13">
        <f t="shared" si="1"/>
        <v>127</v>
      </c>
      <c r="B128" s="6" t="s">
        <v>687</v>
      </c>
      <c r="C128" s="6" t="s">
        <v>688</v>
      </c>
      <c r="D128" s="6" t="s">
        <v>46</v>
      </c>
      <c r="E128" s="6" t="s">
        <v>357</v>
      </c>
      <c r="F128" s="7">
        <v>195.0</v>
      </c>
      <c r="G128" s="6" t="s">
        <v>21</v>
      </c>
      <c r="H128" s="7">
        <v>0.0</v>
      </c>
      <c r="I128" s="8">
        <v>46116.0</v>
      </c>
      <c r="J128" s="27" t="s">
        <v>287</v>
      </c>
      <c r="K128" s="6" t="s">
        <v>288</v>
      </c>
      <c r="L128" s="10">
        <v>0.375</v>
      </c>
      <c r="M128" s="10">
        <v>0.7916666666666666</v>
      </c>
      <c r="N128" s="6" t="s">
        <v>689</v>
      </c>
      <c r="O128" s="11">
        <v>-7.2412318E7</v>
      </c>
      <c r="P128" s="11">
        <v>1.127327648E9</v>
      </c>
      <c r="Q128" s="12" t="s">
        <v>690</v>
      </c>
    </row>
    <row r="129">
      <c r="A129" s="13">
        <f t="shared" si="1"/>
        <v>128</v>
      </c>
      <c r="B129" s="6" t="s">
        <v>691</v>
      </c>
      <c r="C129" s="6" t="s">
        <v>692</v>
      </c>
      <c r="D129" s="6" t="s">
        <v>19</v>
      </c>
      <c r="E129" s="6" t="s">
        <v>693</v>
      </c>
      <c r="F129" s="7">
        <v>195.0</v>
      </c>
      <c r="G129" s="6" t="s">
        <v>21</v>
      </c>
      <c r="H129" s="7" t="s">
        <v>221</v>
      </c>
      <c r="I129" s="7" t="s">
        <v>314</v>
      </c>
      <c r="J129" s="9" t="s">
        <v>23</v>
      </c>
      <c r="L129" s="10">
        <v>0.3333333333333333</v>
      </c>
      <c r="M129" s="10">
        <v>0.9375</v>
      </c>
      <c r="N129" s="6" t="s">
        <v>694</v>
      </c>
      <c r="O129" s="11">
        <v>-7.2667879E7</v>
      </c>
      <c r="P129" s="11">
        <v>1.127492584E9</v>
      </c>
      <c r="Q129" s="12" t="s">
        <v>695</v>
      </c>
    </row>
    <row r="130">
      <c r="A130" s="13">
        <f t="shared" si="1"/>
        <v>129</v>
      </c>
      <c r="B130" s="6" t="s">
        <v>696</v>
      </c>
      <c r="C130" s="6" t="s">
        <v>697</v>
      </c>
      <c r="D130" s="6" t="s">
        <v>34</v>
      </c>
      <c r="E130" s="6" t="s">
        <v>698</v>
      </c>
      <c r="F130" s="7">
        <v>677.0</v>
      </c>
      <c r="G130" s="6" t="s">
        <v>21</v>
      </c>
      <c r="H130" s="7" t="s">
        <v>36</v>
      </c>
      <c r="I130" s="8">
        <v>46146.0</v>
      </c>
      <c r="J130" s="9" t="s">
        <v>23</v>
      </c>
      <c r="L130" s="10">
        <v>0.4583333333333333</v>
      </c>
      <c r="M130" s="10">
        <v>0.9791666666666666</v>
      </c>
      <c r="N130" s="6" t="s">
        <v>699</v>
      </c>
      <c r="O130" s="11">
        <v>-7263238.0</v>
      </c>
      <c r="P130" s="11">
        <v>1.127314625E9</v>
      </c>
      <c r="Q130" s="12" t="s">
        <v>700</v>
      </c>
    </row>
    <row r="131">
      <c r="A131" s="13">
        <f t="shared" si="1"/>
        <v>130</v>
      </c>
      <c r="B131" s="6" t="s">
        <v>701</v>
      </c>
      <c r="C131" s="6" t="s">
        <v>702</v>
      </c>
      <c r="D131" s="6" t="s">
        <v>34</v>
      </c>
      <c r="E131" s="6" t="s">
        <v>703</v>
      </c>
      <c r="F131" s="7">
        <v>36.0</v>
      </c>
      <c r="G131" s="6" t="s">
        <v>21</v>
      </c>
      <c r="H131" s="7" t="s">
        <v>36</v>
      </c>
      <c r="I131" s="8">
        <v>46177.0</v>
      </c>
      <c r="J131" s="9" t="s">
        <v>23</v>
      </c>
      <c r="L131" s="10">
        <v>0.0</v>
      </c>
      <c r="M131" s="10">
        <v>0.9993055555555556</v>
      </c>
      <c r="N131" s="6" t="s">
        <v>704</v>
      </c>
      <c r="O131" s="11">
        <v>-7.2292449E7</v>
      </c>
      <c r="P131" s="11">
        <v>1.127295312E9</v>
      </c>
      <c r="Q131" s="12" t="s">
        <v>705</v>
      </c>
    </row>
    <row r="132">
      <c r="A132" s="13">
        <f t="shared" si="1"/>
        <v>131</v>
      </c>
      <c r="B132" s="6" t="s">
        <v>706</v>
      </c>
      <c r="C132" s="6" t="s">
        <v>707</v>
      </c>
      <c r="D132" s="6" t="s">
        <v>19</v>
      </c>
      <c r="E132" s="6" t="s">
        <v>708</v>
      </c>
      <c r="F132" s="7">
        <v>319.0</v>
      </c>
      <c r="G132" s="6" t="s">
        <v>21</v>
      </c>
      <c r="H132" s="7" t="s">
        <v>131</v>
      </c>
      <c r="I132" s="8">
        <v>46269.0</v>
      </c>
      <c r="J132" s="9" t="s">
        <v>23</v>
      </c>
      <c r="L132" s="10">
        <v>0.4166666666666667</v>
      </c>
      <c r="M132" s="10">
        <v>0.875</v>
      </c>
      <c r="N132" s="6" t="s">
        <v>709</v>
      </c>
      <c r="O132" s="11">
        <v>-7294534.0</v>
      </c>
      <c r="P132" s="11">
        <v>1.126520661E9</v>
      </c>
      <c r="Q132" s="12" t="s">
        <v>710</v>
      </c>
    </row>
    <row r="133">
      <c r="A133" s="13">
        <f t="shared" si="1"/>
        <v>132</v>
      </c>
      <c r="B133" s="28" t="s">
        <v>711</v>
      </c>
      <c r="C133" s="28" t="s">
        <v>712</v>
      </c>
      <c r="D133" s="28" t="s">
        <v>19</v>
      </c>
      <c r="E133" s="28" t="s">
        <v>713</v>
      </c>
      <c r="F133" s="28">
        <v>620.0</v>
      </c>
      <c r="G133" s="28" t="s">
        <v>21</v>
      </c>
      <c r="H133" s="28" t="s">
        <v>22</v>
      </c>
      <c r="I133" s="29">
        <v>46177.0</v>
      </c>
      <c r="J133" s="28" t="s">
        <v>23</v>
      </c>
      <c r="K133" s="30"/>
      <c r="L133" s="31">
        <v>0.2916666666666667</v>
      </c>
      <c r="M133" s="31">
        <v>0.9166666666666666</v>
      </c>
      <c r="N133" s="32" t="s">
        <v>714</v>
      </c>
      <c r="O133" s="33" t="s">
        <v>715</v>
      </c>
      <c r="P133" s="34" t="s">
        <v>716</v>
      </c>
      <c r="Q133" s="42" t="s">
        <v>717</v>
      </c>
      <c r="R133" s="43"/>
      <c r="S133" s="43"/>
      <c r="T133" s="43"/>
      <c r="U133" s="43"/>
      <c r="V133" s="43"/>
      <c r="W133" s="43"/>
      <c r="X133" s="43"/>
      <c r="Y133" s="43"/>
      <c r="Z133" s="43"/>
      <c r="AA133" s="43"/>
      <c r="AB133" s="43"/>
      <c r="AC133" s="43"/>
      <c r="AD133" s="43"/>
      <c r="AE133" s="43"/>
    </row>
    <row r="134">
      <c r="A134" s="13">
        <f t="shared" si="1"/>
        <v>133</v>
      </c>
      <c r="B134" s="6" t="s">
        <v>718</v>
      </c>
      <c r="C134" s="6" t="s">
        <v>719</v>
      </c>
      <c r="D134" s="6" t="s">
        <v>34</v>
      </c>
      <c r="E134" s="6" t="s">
        <v>720</v>
      </c>
      <c r="F134" s="7">
        <v>3209.0</v>
      </c>
      <c r="G134" s="6" t="s">
        <v>21</v>
      </c>
      <c r="H134" s="7" t="s">
        <v>36</v>
      </c>
      <c r="I134" s="8">
        <v>46116.0</v>
      </c>
      <c r="J134" s="28" t="s">
        <v>23</v>
      </c>
      <c r="L134" s="10">
        <v>0.3333333333333333</v>
      </c>
      <c r="M134" s="10">
        <v>0.0</v>
      </c>
      <c r="N134" s="6" t="s">
        <v>721</v>
      </c>
      <c r="O134" s="11">
        <v>-7.3075871E7</v>
      </c>
      <c r="P134" s="11">
        <v>1.127610768E9</v>
      </c>
      <c r="Q134" s="12" t="s">
        <v>722</v>
      </c>
    </row>
    <row r="135">
      <c r="A135" s="13">
        <f t="shared" si="1"/>
        <v>134</v>
      </c>
      <c r="B135" s="6" t="s">
        <v>723</v>
      </c>
      <c r="C135" s="6" t="s">
        <v>724</v>
      </c>
      <c r="D135" s="6" t="s">
        <v>34</v>
      </c>
      <c r="E135" s="6" t="s">
        <v>725</v>
      </c>
      <c r="F135" s="7">
        <v>568.0</v>
      </c>
      <c r="G135" s="6" t="s">
        <v>21</v>
      </c>
      <c r="H135" s="7" t="s">
        <v>36</v>
      </c>
      <c r="I135" s="8">
        <v>46177.0</v>
      </c>
      <c r="J135" s="28" t="s">
        <v>601</v>
      </c>
      <c r="K135" s="6" t="s">
        <v>602</v>
      </c>
      <c r="L135" s="10">
        <v>0.3125</v>
      </c>
      <c r="M135" s="10">
        <v>0.5416666666666666</v>
      </c>
      <c r="N135" s="6" t="s">
        <v>726</v>
      </c>
      <c r="O135" s="11">
        <v>-7.2954525E7</v>
      </c>
      <c r="P135" s="11">
        <v>1.127181153E9</v>
      </c>
      <c r="Q135" s="12" t="s">
        <v>727</v>
      </c>
    </row>
    <row r="136">
      <c r="A136" s="13">
        <f t="shared" si="1"/>
        <v>135</v>
      </c>
      <c r="B136" s="6" t="s">
        <v>728</v>
      </c>
      <c r="C136" s="6" t="s">
        <v>729</v>
      </c>
      <c r="D136" s="6" t="s">
        <v>34</v>
      </c>
      <c r="E136" s="6" t="s">
        <v>730</v>
      </c>
      <c r="F136" s="7">
        <v>452.0</v>
      </c>
      <c r="G136" s="6" t="s">
        <v>21</v>
      </c>
      <c r="H136" s="7" t="s">
        <v>210</v>
      </c>
      <c r="I136" s="8">
        <v>46116.0</v>
      </c>
      <c r="J136" s="28" t="s">
        <v>23</v>
      </c>
      <c r="L136" s="10">
        <v>0.0</v>
      </c>
      <c r="M136" s="10">
        <v>0.9993055555555556</v>
      </c>
      <c r="N136" s="6" t="s">
        <v>731</v>
      </c>
      <c r="O136" s="11">
        <v>-7.2984896E7</v>
      </c>
      <c r="P136" s="11">
        <v>1.12754791E8</v>
      </c>
      <c r="Q136" s="12" t="s">
        <v>732</v>
      </c>
    </row>
    <row r="137">
      <c r="A137" s="13">
        <f t="shared" si="1"/>
        <v>136</v>
      </c>
      <c r="B137" s="6" t="s">
        <v>733</v>
      </c>
      <c r="C137" s="6" t="s">
        <v>734</v>
      </c>
      <c r="D137" s="6" t="s">
        <v>34</v>
      </c>
      <c r="E137" s="6" t="s">
        <v>730</v>
      </c>
      <c r="F137" s="7">
        <v>10.0</v>
      </c>
      <c r="G137" s="6" t="s">
        <v>21</v>
      </c>
      <c r="H137" s="7" t="s">
        <v>36</v>
      </c>
      <c r="I137" s="8">
        <v>46238.0</v>
      </c>
      <c r="J137" s="28" t="s">
        <v>23</v>
      </c>
      <c r="L137" s="10">
        <v>0.3333333333333333</v>
      </c>
      <c r="M137" s="10">
        <v>0.9166666666666666</v>
      </c>
      <c r="N137" s="6" t="s">
        <v>735</v>
      </c>
      <c r="O137" s="11">
        <v>-7.2685234E7</v>
      </c>
      <c r="P137" s="11">
        <v>1.127757983E9</v>
      </c>
      <c r="Q137" s="12" t="s">
        <v>736</v>
      </c>
    </row>
    <row r="138">
      <c r="A138" s="13">
        <f t="shared" si="1"/>
        <v>137</v>
      </c>
      <c r="B138" s="6" t="s">
        <v>737</v>
      </c>
      <c r="C138" s="6" t="s">
        <v>738</v>
      </c>
      <c r="D138" s="6" t="s">
        <v>19</v>
      </c>
      <c r="E138" s="6" t="s">
        <v>739</v>
      </c>
      <c r="F138" s="7">
        <v>4360.0</v>
      </c>
      <c r="G138" s="6" t="s">
        <v>21</v>
      </c>
      <c r="H138" s="7" t="s">
        <v>221</v>
      </c>
      <c r="I138" s="8">
        <v>46146.0</v>
      </c>
      <c r="J138" s="28" t="s">
        <v>23</v>
      </c>
      <c r="L138" s="10">
        <v>0.3333333333333333</v>
      </c>
      <c r="M138" s="10">
        <v>0.9166666666666666</v>
      </c>
      <c r="N138" s="6" t="s">
        <v>740</v>
      </c>
      <c r="O138" s="11">
        <v>-7.3225321E7</v>
      </c>
      <c r="P138" s="11">
        <v>1.127423232E9</v>
      </c>
      <c r="Q138" s="12" t="s">
        <v>741</v>
      </c>
    </row>
    <row r="139">
      <c r="A139" s="13">
        <f t="shared" si="1"/>
        <v>138</v>
      </c>
      <c r="B139" s="6" t="s">
        <v>742</v>
      </c>
      <c r="C139" s="6" t="s">
        <v>743</v>
      </c>
      <c r="D139" s="6" t="s">
        <v>34</v>
      </c>
      <c r="E139" s="6" t="s">
        <v>744</v>
      </c>
      <c r="F139" s="7">
        <v>53.0</v>
      </c>
      <c r="G139" s="6" t="s">
        <v>21</v>
      </c>
      <c r="H139" s="7" t="s">
        <v>22</v>
      </c>
      <c r="I139" s="8">
        <v>46177.0</v>
      </c>
      <c r="J139" s="28" t="s">
        <v>23</v>
      </c>
      <c r="L139" s="10">
        <v>0.75</v>
      </c>
      <c r="M139" s="10">
        <v>0.9166666666666666</v>
      </c>
      <c r="N139" s="6" t="s">
        <v>745</v>
      </c>
      <c r="O139" s="11">
        <v>-7.3377436E7</v>
      </c>
      <c r="P139" s="11">
        <v>1.127203893E9</v>
      </c>
      <c r="Q139" s="12" t="s">
        <v>746</v>
      </c>
    </row>
    <row r="140">
      <c r="A140" s="13">
        <f t="shared" si="1"/>
        <v>139</v>
      </c>
      <c r="B140" s="6" t="s">
        <v>747</v>
      </c>
      <c r="C140" s="6" t="s">
        <v>748</v>
      </c>
      <c r="D140" s="6" t="s">
        <v>34</v>
      </c>
      <c r="E140" s="6" t="s">
        <v>749</v>
      </c>
      <c r="F140" s="7">
        <v>7148.0</v>
      </c>
      <c r="G140" s="6" t="s">
        <v>21</v>
      </c>
      <c r="H140" s="7" t="s">
        <v>22</v>
      </c>
      <c r="I140" s="8">
        <v>46116.0</v>
      </c>
      <c r="J140" s="28" t="s">
        <v>23</v>
      </c>
      <c r="L140" s="10">
        <v>0.4166666666666667</v>
      </c>
      <c r="M140" s="10">
        <v>0.9166666666666666</v>
      </c>
      <c r="N140" s="6" t="s">
        <v>750</v>
      </c>
      <c r="O140" s="11">
        <v>-7.2705024E7</v>
      </c>
      <c r="P140" s="11">
        <v>1.127602896E9</v>
      </c>
      <c r="Q140" s="12" t="s">
        <v>751</v>
      </c>
    </row>
    <row r="141">
      <c r="A141" s="13">
        <f t="shared" si="1"/>
        <v>140</v>
      </c>
      <c r="B141" s="6" t="s">
        <v>752</v>
      </c>
      <c r="C141" s="6" t="s">
        <v>753</v>
      </c>
      <c r="D141" s="6" t="s">
        <v>19</v>
      </c>
      <c r="E141" s="6" t="s">
        <v>754</v>
      </c>
      <c r="F141" s="7">
        <v>500.0</v>
      </c>
      <c r="G141" s="6" t="s">
        <v>21</v>
      </c>
      <c r="H141" s="7" t="s">
        <v>22</v>
      </c>
      <c r="I141" s="8">
        <v>46238.0</v>
      </c>
      <c r="J141" s="28" t="s">
        <v>23</v>
      </c>
      <c r="L141" s="10">
        <v>0.4583333333333333</v>
      </c>
      <c r="M141" s="10">
        <v>0.875</v>
      </c>
      <c r="N141" s="6" t="s">
        <v>755</v>
      </c>
      <c r="O141" s="11">
        <v>-7.3235333E7</v>
      </c>
      <c r="P141" s="11">
        <v>1.127430632E9</v>
      </c>
      <c r="Q141" s="12" t="s">
        <v>756</v>
      </c>
    </row>
    <row r="142">
      <c r="A142" s="13">
        <f t="shared" si="1"/>
        <v>141</v>
      </c>
      <c r="B142" s="6" t="s">
        <v>757</v>
      </c>
      <c r="C142" s="6" t="s">
        <v>758</v>
      </c>
      <c r="D142" s="6" t="s">
        <v>34</v>
      </c>
      <c r="E142" s="6" t="s">
        <v>759</v>
      </c>
      <c r="F142" s="7">
        <v>454.0</v>
      </c>
      <c r="G142" s="6" t="s">
        <v>21</v>
      </c>
      <c r="H142" s="7" t="s">
        <v>22</v>
      </c>
      <c r="I142" s="8">
        <v>46116.0</v>
      </c>
      <c r="J142" s="28" t="s">
        <v>23</v>
      </c>
      <c r="L142" s="10">
        <v>0.25</v>
      </c>
      <c r="M142" s="10">
        <v>0.875</v>
      </c>
      <c r="N142" s="6" t="s">
        <v>760</v>
      </c>
      <c r="O142" s="11">
        <v>-7.2649481E7</v>
      </c>
      <c r="P142" s="11">
        <v>1.126876369E9</v>
      </c>
      <c r="Q142" s="12" t="s">
        <v>761</v>
      </c>
    </row>
    <row r="143">
      <c r="A143" s="13">
        <f t="shared" si="1"/>
        <v>142</v>
      </c>
      <c r="B143" s="6" t="s">
        <v>762</v>
      </c>
      <c r="C143" s="6" t="s">
        <v>763</v>
      </c>
      <c r="D143" s="6" t="s">
        <v>34</v>
      </c>
      <c r="E143" s="6" t="s">
        <v>764</v>
      </c>
      <c r="F143" s="7">
        <v>1359.0</v>
      </c>
      <c r="G143" s="6" t="s">
        <v>21</v>
      </c>
      <c r="H143" s="7" t="s">
        <v>22</v>
      </c>
      <c r="I143" s="8">
        <v>46146.0</v>
      </c>
      <c r="J143" s="28" t="s">
        <v>23</v>
      </c>
      <c r="L143" s="10">
        <v>0.4583333333333333</v>
      </c>
      <c r="M143" s="10">
        <v>0.875</v>
      </c>
      <c r="N143" s="6" t="s">
        <v>765</v>
      </c>
      <c r="O143" s="11">
        <v>-7.2648603E7</v>
      </c>
      <c r="P143" s="11">
        <v>1.127429983E9</v>
      </c>
      <c r="Q143" s="12" t="s">
        <v>766</v>
      </c>
    </row>
    <row r="144">
      <c r="A144" s="13">
        <f t="shared" si="1"/>
        <v>143</v>
      </c>
      <c r="B144" s="6" t="s">
        <v>767</v>
      </c>
      <c r="C144" s="6" t="s">
        <v>768</v>
      </c>
      <c r="D144" s="6" t="s">
        <v>34</v>
      </c>
      <c r="E144" s="6" t="s">
        <v>769</v>
      </c>
      <c r="F144" s="7">
        <v>143.0</v>
      </c>
      <c r="G144" s="6" t="s">
        <v>21</v>
      </c>
      <c r="H144" s="7" t="s">
        <v>36</v>
      </c>
      <c r="I144" s="8">
        <v>46177.0</v>
      </c>
      <c r="J144" s="28" t="s">
        <v>23</v>
      </c>
      <c r="L144" s="10">
        <v>0.4166666666666667</v>
      </c>
      <c r="M144" s="10">
        <v>0.9166666666666666</v>
      </c>
      <c r="N144" s="6" t="s">
        <v>770</v>
      </c>
      <c r="O144" s="11">
        <v>-7.2818207E7</v>
      </c>
      <c r="P144" s="11">
        <v>1.12719737E8</v>
      </c>
      <c r="Q144" s="12" t="s">
        <v>771</v>
      </c>
    </row>
    <row r="145">
      <c r="A145" s="13">
        <f t="shared" si="1"/>
        <v>144</v>
      </c>
      <c r="B145" s="6" t="s">
        <v>772</v>
      </c>
      <c r="C145" s="6" t="s">
        <v>773</v>
      </c>
      <c r="D145" s="6" t="s">
        <v>46</v>
      </c>
      <c r="E145" s="6" t="s">
        <v>774</v>
      </c>
      <c r="F145" s="7">
        <v>40.0</v>
      </c>
      <c r="G145" s="6" t="s">
        <v>21</v>
      </c>
      <c r="H145" s="7">
        <v>0.0</v>
      </c>
      <c r="I145" s="8">
        <v>46146.0</v>
      </c>
      <c r="J145" s="28" t="s">
        <v>23</v>
      </c>
      <c r="L145" s="10">
        <v>0.0</v>
      </c>
      <c r="M145" s="10">
        <v>0.9993055555555556</v>
      </c>
      <c r="N145" s="6" t="s">
        <v>775</v>
      </c>
      <c r="O145" s="11">
        <v>-7239859.0</v>
      </c>
      <c r="P145" s="11">
        <v>1.127157059E9</v>
      </c>
      <c r="Q145" s="12" t="s">
        <v>776</v>
      </c>
    </row>
    <row r="146">
      <c r="A146" s="13">
        <f t="shared" si="1"/>
        <v>145</v>
      </c>
      <c r="B146" s="6" t="s">
        <v>777</v>
      </c>
      <c r="C146" s="6" t="s">
        <v>778</v>
      </c>
      <c r="D146" s="6" t="s">
        <v>34</v>
      </c>
      <c r="E146" s="6" t="s">
        <v>779</v>
      </c>
      <c r="F146" s="7">
        <v>492.0</v>
      </c>
      <c r="G146" s="6" t="s">
        <v>21</v>
      </c>
      <c r="H146" s="7" t="s">
        <v>36</v>
      </c>
      <c r="I146" s="8">
        <v>46207.0</v>
      </c>
      <c r="J146" s="28" t="s">
        <v>65</v>
      </c>
      <c r="K146" s="6" t="s">
        <v>66</v>
      </c>
      <c r="L146" s="10">
        <v>0.4583333333333333</v>
      </c>
      <c r="M146" s="10">
        <v>0.8333333333333334</v>
      </c>
      <c r="N146" s="6" t="s">
        <v>780</v>
      </c>
      <c r="O146" s="11">
        <v>-7.3154042E7</v>
      </c>
      <c r="P146" s="11">
        <v>1.127307312E9</v>
      </c>
      <c r="Q146" s="12" t="s">
        <v>781</v>
      </c>
    </row>
    <row r="147">
      <c r="A147" s="13">
        <f t="shared" si="1"/>
        <v>146</v>
      </c>
      <c r="B147" s="6" t="s">
        <v>782</v>
      </c>
      <c r="C147" s="6" t="s">
        <v>783</v>
      </c>
      <c r="D147" s="6" t="s">
        <v>34</v>
      </c>
      <c r="E147" s="6" t="s">
        <v>784</v>
      </c>
      <c r="F147" s="7">
        <v>637.0</v>
      </c>
      <c r="G147" s="6" t="s">
        <v>21</v>
      </c>
      <c r="H147" s="7" t="s">
        <v>785</v>
      </c>
      <c r="I147" s="8">
        <v>46177.0</v>
      </c>
      <c r="J147" s="28" t="s">
        <v>23</v>
      </c>
      <c r="L147" s="10">
        <v>0.5416666666666666</v>
      </c>
      <c r="M147" s="10">
        <v>0.041666666666666664</v>
      </c>
      <c r="N147" s="6" t="s">
        <v>786</v>
      </c>
      <c r="O147" s="11">
        <v>-7.3123595E7</v>
      </c>
      <c r="P147" s="11">
        <v>1.126899705E9</v>
      </c>
      <c r="Q147" s="12" t="s">
        <v>787</v>
      </c>
    </row>
    <row r="148">
      <c r="A148" s="13">
        <f t="shared" si="1"/>
        <v>147</v>
      </c>
      <c r="B148" s="6" t="s">
        <v>788</v>
      </c>
      <c r="C148" s="6" t="s">
        <v>789</v>
      </c>
      <c r="D148" s="6" t="s">
        <v>46</v>
      </c>
      <c r="E148" s="6" t="s">
        <v>790</v>
      </c>
      <c r="F148" s="7">
        <v>13796.0</v>
      </c>
      <c r="G148" s="6" t="s">
        <v>21</v>
      </c>
      <c r="H148" s="7">
        <v>0.0</v>
      </c>
      <c r="I148" s="8">
        <v>46177.0</v>
      </c>
      <c r="J148" s="28" t="s">
        <v>23</v>
      </c>
      <c r="L148" s="10">
        <v>0.0</v>
      </c>
      <c r="M148" s="10">
        <v>0.9993055555555556</v>
      </c>
      <c r="N148" s="6" t="s">
        <v>791</v>
      </c>
      <c r="O148" s="11">
        <v>-7.2253727E7</v>
      </c>
      <c r="P148" s="11">
        <v>1.127880641E9</v>
      </c>
      <c r="Q148" s="12" t="s">
        <v>792</v>
      </c>
    </row>
    <row r="149">
      <c r="A149" s="13">
        <f t="shared" si="1"/>
        <v>148</v>
      </c>
      <c r="B149" s="6" t="s">
        <v>793</v>
      </c>
      <c r="C149" s="6" t="s">
        <v>794</v>
      </c>
      <c r="D149" s="6" t="s">
        <v>34</v>
      </c>
      <c r="E149" s="6" t="s">
        <v>730</v>
      </c>
      <c r="F149" s="7">
        <v>119.0</v>
      </c>
      <c r="G149" s="6" t="s">
        <v>21</v>
      </c>
      <c r="H149" s="7" t="s">
        <v>36</v>
      </c>
      <c r="I149" s="8">
        <v>46146.0</v>
      </c>
      <c r="J149" s="28" t="s">
        <v>23</v>
      </c>
      <c r="L149" s="10">
        <v>0.2916666666666667</v>
      </c>
      <c r="M149" s="10">
        <v>0.875</v>
      </c>
      <c r="N149" s="6" t="s">
        <v>795</v>
      </c>
      <c r="O149" s="11">
        <v>-7.2759829E7</v>
      </c>
      <c r="P149" s="11">
        <v>1.127360568E9</v>
      </c>
      <c r="Q149" s="12" t="s">
        <v>796</v>
      </c>
    </row>
    <row r="150">
      <c r="A150" s="13">
        <f t="shared" si="1"/>
        <v>149</v>
      </c>
      <c r="B150" s="6" t="s">
        <v>797</v>
      </c>
      <c r="C150" s="6" t="s">
        <v>798</v>
      </c>
      <c r="D150" s="6" t="s">
        <v>34</v>
      </c>
      <c r="E150" s="6" t="s">
        <v>799</v>
      </c>
      <c r="F150" s="7">
        <v>1703.0</v>
      </c>
      <c r="G150" s="6" t="s">
        <v>21</v>
      </c>
      <c r="H150" s="7" t="s">
        <v>36</v>
      </c>
      <c r="I150" s="8">
        <v>46177.0</v>
      </c>
      <c r="J150" s="28" t="s">
        <v>23</v>
      </c>
      <c r="L150" s="10">
        <v>0.4583333333333333</v>
      </c>
      <c r="M150" s="10">
        <v>0.9166666666666666</v>
      </c>
      <c r="N150" s="50" t="s">
        <v>800</v>
      </c>
      <c r="O150" s="51">
        <v>-727131.0</v>
      </c>
      <c r="P150" s="51">
        <v>1.12760384E8</v>
      </c>
      <c r="Q150" s="12" t="s">
        <v>801</v>
      </c>
    </row>
    <row r="151">
      <c r="A151" s="13">
        <f t="shared" si="1"/>
        <v>150</v>
      </c>
      <c r="B151" s="6" t="s">
        <v>802</v>
      </c>
      <c r="C151" s="6" t="s">
        <v>803</v>
      </c>
      <c r="D151" s="6" t="s">
        <v>34</v>
      </c>
      <c r="E151" s="6" t="s">
        <v>804</v>
      </c>
      <c r="F151" s="7">
        <v>335.0</v>
      </c>
      <c r="G151" s="6" t="s">
        <v>21</v>
      </c>
      <c r="H151" s="7" t="s">
        <v>22</v>
      </c>
      <c r="I151" s="8">
        <v>46177.0</v>
      </c>
      <c r="J151" s="28" t="s">
        <v>23</v>
      </c>
      <c r="L151" s="10">
        <v>0.2708333333333333</v>
      </c>
      <c r="M151" s="10">
        <v>0.6458333333333334</v>
      </c>
      <c r="N151" s="6" t="s">
        <v>805</v>
      </c>
      <c r="O151" s="11">
        <v>-7.2602441E7</v>
      </c>
      <c r="P151" s="11">
        <v>1.127445893E9</v>
      </c>
      <c r="Q151" s="12" t="s">
        <v>806</v>
      </c>
    </row>
    <row r="152">
      <c r="A152" s="13">
        <f t="shared" si="1"/>
        <v>151</v>
      </c>
      <c r="B152" s="6" t="s">
        <v>807</v>
      </c>
      <c r="C152" s="6" t="s">
        <v>808</v>
      </c>
      <c r="D152" s="6" t="s">
        <v>19</v>
      </c>
      <c r="E152" s="6" t="s">
        <v>809</v>
      </c>
      <c r="F152" s="7">
        <v>1285.0</v>
      </c>
      <c r="G152" s="6" t="s">
        <v>21</v>
      </c>
      <c r="H152" s="7" t="s">
        <v>22</v>
      </c>
      <c r="I152" s="8">
        <v>46238.0</v>
      </c>
      <c r="J152" s="28" t="s">
        <v>23</v>
      </c>
      <c r="L152" s="10">
        <v>0.4166666666666667</v>
      </c>
      <c r="M152" s="10">
        <v>0.0</v>
      </c>
      <c r="N152" s="6" t="s">
        <v>810</v>
      </c>
      <c r="O152" s="11">
        <v>-7.2613916E7</v>
      </c>
      <c r="P152" s="11">
        <v>1.127479164E9</v>
      </c>
      <c r="Q152" s="12" t="s">
        <v>811</v>
      </c>
    </row>
    <row r="153">
      <c r="A153" s="13">
        <f t="shared" si="1"/>
        <v>152</v>
      </c>
      <c r="B153" s="6" t="s">
        <v>812</v>
      </c>
      <c r="C153" s="6" t="s">
        <v>813</v>
      </c>
      <c r="D153" s="6" t="s">
        <v>34</v>
      </c>
      <c r="E153" s="6" t="s">
        <v>813</v>
      </c>
      <c r="F153" s="7">
        <v>1448.0</v>
      </c>
      <c r="G153" s="6" t="s">
        <v>21</v>
      </c>
      <c r="H153" s="7" t="s">
        <v>22</v>
      </c>
      <c r="I153" s="8">
        <v>46146.0</v>
      </c>
      <c r="J153" s="28" t="s">
        <v>23</v>
      </c>
      <c r="L153" s="10">
        <v>0.4583333333333333</v>
      </c>
      <c r="M153" s="10">
        <v>0.9166666666666666</v>
      </c>
      <c r="N153" s="6" t="s">
        <v>814</v>
      </c>
      <c r="O153" s="11">
        <v>-7.3277262E7</v>
      </c>
      <c r="P153" s="11">
        <v>1.127810987E9</v>
      </c>
      <c r="Q153" s="12" t="s">
        <v>815</v>
      </c>
    </row>
    <row r="154">
      <c r="A154" s="13">
        <f t="shared" si="1"/>
        <v>153</v>
      </c>
      <c r="B154" s="6" t="s">
        <v>816</v>
      </c>
      <c r="C154" s="6" t="s">
        <v>817</v>
      </c>
      <c r="D154" s="6" t="s">
        <v>34</v>
      </c>
      <c r="E154" s="6" t="s">
        <v>818</v>
      </c>
      <c r="F154" s="7">
        <v>131.0</v>
      </c>
      <c r="G154" s="6" t="s">
        <v>21</v>
      </c>
      <c r="H154" s="7" t="s">
        <v>36</v>
      </c>
      <c r="I154" s="8">
        <v>46146.0</v>
      </c>
      <c r="J154" s="28" t="s">
        <v>23</v>
      </c>
      <c r="L154" s="10">
        <v>0.25</v>
      </c>
      <c r="M154" s="10">
        <v>0.4166666666666667</v>
      </c>
      <c r="N154" s="6" t="s">
        <v>819</v>
      </c>
      <c r="O154" s="11">
        <v>-7.3223417E7</v>
      </c>
      <c r="P154" s="11">
        <v>1.127857089E9</v>
      </c>
      <c r="Q154" s="12" t="s">
        <v>820</v>
      </c>
    </row>
    <row r="155">
      <c r="A155" s="13">
        <f t="shared" si="1"/>
        <v>154</v>
      </c>
      <c r="B155" s="6" t="s">
        <v>821</v>
      </c>
      <c r="C155" s="6" t="s">
        <v>822</v>
      </c>
      <c r="D155" s="6" t="s">
        <v>34</v>
      </c>
      <c r="E155" s="6" t="s">
        <v>823</v>
      </c>
      <c r="F155" s="7">
        <v>200.0</v>
      </c>
      <c r="G155" s="6" t="s">
        <v>21</v>
      </c>
      <c r="H155" s="7" t="s">
        <v>36</v>
      </c>
      <c r="I155" s="8">
        <v>46116.0</v>
      </c>
      <c r="J155" s="28" t="s">
        <v>23</v>
      </c>
      <c r="L155" s="10">
        <v>0.75</v>
      </c>
      <c r="M155" s="10">
        <v>0.125</v>
      </c>
      <c r="N155" s="6" t="s">
        <v>824</v>
      </c>
      <c r="O155" s="11">
        <v>-7.2844039E7</v>
      </c>
      <c r="P155" s="11">
        <v>1.127547596E9</v>
      </c>
      <c r="Q155" s="12" t="s">
        <v>825</v>
      </c>
    </row>
    <row r="156">
      <c r="A156" s="13">
        <f t="shared" si="1"/>
        <v>155</v>
      </c>
      <c r="B156" s="6" t="s">
        <v>826</v>
      </c>
      <c r="C156" s="6" t="s">
        <v>827</v>
      </c>
      <c r="D156" s="6" t="s">
        <v>34</v>
      </c>
      <c r="E156" s="6" t="s">
        <v>828</v>
      </c>
      <c r="F156" s="7">
        <v>31.0</v>
      </c>
      <c r="G156" s="6" t="s">
        <v>21</v>
      </c>
      <c r="H156" s="7" t="s">
        <v>22</v>
      </c>
      <c r="I156" s="8">
        <v>46238.0</v>
      </c>
      <c r="J156" s="28" t="s">
        <v>829</v>
      </c>
      <c r="K156" s="6" t="s">
        <v>830</v>
      </c>
      <c r="L156" s="10">
        <v>0.25</v>
      </c>
      <c r="M156" s="10">
        <v>0.8541666666666666</v>
      </c>
      <c r="N156" s="6" t="s">
        <v>831</v>
      </c>
      <c r="O156" s="11">
        <v>-7.2855334E7</v>
      </c>
      <c r="P156" s="11">
        <v>1.126525378E9</v>
      </c>
      <c r="Q156" s="12" t="s">
        <v>832</v>
      </c>
    </row>
    <row r="157">
      <c r="A157" s="13">
        <f t="shared" si="1"/>
        <v>156</v>
      </c>
      <c r="B157" s="6" t="s">
        <v>833</v>
      </c>
      <c r="C157" s="6" t="s">
        <v>834</v>
      </c>
      <c r="D157" s="6" t="s">
        <v>34</v>
      </c>
      <c r="E157" s="6" t="s">
        <v>835</v>
      </c>
      <c r="F157" s="7">
        <v>6810.0</v>
      </c>
      <c r="G157" s="6" t="s">
        <v>21</v>
      </c>
      <c r="H157" s="7" t="s">
        <v>22</v>
      </c>
      <c r="I157" s="8">
        <v>46085.0</v>
      </c>
      <c r="J157" s="28" t="s">
        <v>23</v>
      </c>
      <c r="L157" s="10">
        <v>0.375</v>
      </c>
      <c r="M157" s="10">
        <v>0.9166666666666666</v>
      </c>
      <c r="N157" s="6" t="s">
        <v>836</v>
      </c>
      <c r="O157" s="11">
        <v>-7.3273005E7</v>
      </c>
      <c r="P157" s="11">
        <v>1.127332611E9</v>
      </c>
      <c r="Q157" s="12" t="s">
        <v>837</v>
      </c>
    </row>
    <row r="158">
      <c r="A158" s="13">
        <f t="shared" si="1"/>
        <v>157</v>
      </c>
      <c r="B158" s="9" t="s">
        <v>838</v>
      </c>
      <c r="C158" s="43" t="s">
        <v>839</v>
      </c>
      <c r="D158" s="9" t="s">
        <v>19</v>
      </c>
      <c r="E158" s="9" t="s">
        <v>840</v>
      </c>
      <c r="F158" s="16">
        <v>736.0</v>
      </c>
      <c r="G158" s="9" t="s">
        <v>21</v>
      </c>
      <c r="H158" s="26" t="s">
        <v>649</v>
      </c>
      <c r="I158" s="17">
        <v>46207.0</v>
      </c>
      <c r="J158" s="9" t="s">
        <v>23</v>
      </c>
      <c r="K158" s="9"/>
      <c r="L158" s="18">
        <v>0.2916666666666667</v>
      </c>
      <c r="M158" s="18">
        <v>0.9166666666666666</v>
      </c>
      <c r="N158" s="19" t="s">
        <v>841</v>
      </c>
      <c r="O158" s="20" t="str">
        <f>IFERROR(__xludf.DUMMYFUNCTION("REGEXEXTRACT(N158,""^-?[0-9.]+"")"),"-7.285781355560393")</f>
        <v>-7.285781355560393</v>
      </c>
      <c r="P158" s="21" t="str">
        <f>IFERROR(__xludf.DUMMYFUNCTION("REGEXEXTRACT(N158,"",\s*(-?[0-9.]+)"")"),"112.73309167475753")</f>
        <v>112.73309167475753</v>
      </c>
      <c r="Q158" s="22" t="s">
        <v>842</v>
      </c>
      <c r="R158" s="43"/>
      <c r="S158" s="43"/>
      <c r="T158" s="43"/>
      <c r="U158" s="43"/>
      <c r="V158" s="43"/>
      <c r="W158" s="43"/>
      <c r="X158" s="43"/>
      <c r="Y158" s="43"/>
      <c r="Z158" s="43"/>
      <c r="AA158" s="43"/>
      <c r="AB158" s="43"/>
      <c r="AC158" s="43"/>
      <c r="AD158" s="43"/>
      <c r="AE158" s="43"/>
    </row>
    <row r="159">
      <c r="A159" s="13">
        <f t="shared" si="1"/>
        <v>158</v>
      </c>
      <c r="B159" s="6" t="s">
        <v>843</v>
      </c>
      <c r="C159" s="6" t="s">
        <v>844</v>
      </c>
      <c r="D159" s="6" t="s">
        <v>34</v>
      </c>
      <c r="E159" s="6" t="s">
        <v>845</v>
      </c>
      <c r="F159" s="7">
        <v>353.0</v>
      </c>
      <c r="G159" s="6" t="s">
        <v>21</v>
      </c>
      <c r="H159" s="7" t="s">
        <v>22</v>
      </c>
      <c r="I159" s="8">
        <v>46269.0</v>
      </c>
      <c r="J159" s="9" t="s">
        <v>23</v>
      </c>
      <c r="L159" s="10">
        <v>0.3333333333333333</v>
      </c>
      <c r="M159" s="10">
        <v>0.9583333333333334</v>
      </c>
      <c r="N159" s="6" t="s">
        <v>846</v>
      </c>
      <c r="O159" s="11">
        <v>-7.2891872E7</v>
      </c>
      <c r="P159" s="11">
        <v>1.127332307E9</v>
      </c>
      <c r="Q159" s="12" t="s">
        <v>847</v>
      </c>
    </row>
    <row r="160">
      <c r="A160" s="13">
        <f t="shared" si="1"/>
        <v>159</v>
      </c>
      <c r="B160" s="28" t="s">
        <v>848</v>
      </c>
      <c r="C160" s="28" t="s">
        <v>849</v>
      </c>
      <c r="D160" s="28" t="s">
        <v>46</v>
      </c>
      <c r="E160" s="28" t="s">
        <v>850</v>
      </c>
      <c r="F160" s="28">
        <v>4185.0</v>
      </c>
      <c r="G160" s="28" t="s">
        <v>21</v>
      </c>
      <c r="H160" s="28">
        <v>0.0</v>
      </c>
      <c r="I160" s="29">
        <v>46238.0</v>
      </c>
      <c r="J160" s="52" t="s">
        <v>23</v>
      </c>
      <c r="K160" s="30"/>
      <c r="L160" s="31">
        <v>0.0</v>
      </c>
      <c r="M160" s="31">
        <v>0.9993055555555556</v>
      </c>
      <c r="N160" s="48" t="s">
        <v>851</v>
      </c>
      <c r="O160" s="33" t="s">
        <v>852</v>
      </c>
      <c r="P160" s="34" t="s">
        <v>853</v>
      </c>
      <c r="Q160" s="42" t="s">
        <v>854</v>
      </c>
      <c r="R160" s="43"/>
      <c r="S160" s="43"/>
      <c r="T160" s="43"/>
      <c r="U160" s="43"/>
      <c r="V160" s="43"/>
      <c r="W160" s="43"/>
      <c r="X160" s="43"/>
      <c r="Y160" s="43"/>
      <c r="Z160" s="43"/>
      <c r="AA160" s="43"/>
      <c r="AB160" s="43"/>
      <c r="AC160" s="43"/>
      <c r="AD160" s="43"/>
      <c r="AE160" s="43"/>
    </row>
    <row r="161">
      <c r="A161" s="13">
        <f t="shared" si="1"/>
        <v>160</v>
      </c>
      <c r="B161" s="6" t="s">
        <v>855</v>
      </c>
      <c r="C161" s="6" t="s">
        <v>856</v>
      </c>
      <c r="D161" s="6" t="s">
        <v>19</v>
      </c>
      <c r="E161" s="6" t="s">
        <v>857</v>
      </c>
      <c r="F161" s="7">
        <v>158.0</v>
      </c>
      <c r="G161" s="6" t="s">
        <v>21</v>
      </c>
      <c r="H161" s="7" t="s">
        <v>22</v>
      </c>
      <c r="I161" s="8">
        <v>46207.0</v>
      </c>
      <c r="J161" s="9" t="s">
        <v>23</v>
      </c>
      <c r="L161" s="10">
        <v>0.4166666666666667</v>
      </c>
      <c r="M161" s="10">
        <v>0.9583333333333334</v>
      </c>
      <c r="N161" s="6" t="s">
        <v>858</v>
      </c>
      <c r="O161" s="11">
        <v>-7.2757603E7</v>
      </c>
      <c r="P161" s="11">
        <v>1.127111635E9</v>
      </c>
      <c r="Q161" s="12" t="s">
        <v>859</v>
      </c>
    </row>
    <row r="162">
      <c r="A162" s="13">
        <f t="shared" si="1"/>
        <v>161</v>
      </c>
      <c r="B162" s="6" t="s">
        <v>860</v>
      </c>
      <c r="C162" s="6" t="s">
        <v>861</v>
      </c>
      <c r="D162" s="6" t="s">
        <v>34</v>
      </c>
      <c r="E162" s="6" t="s">
        <v>862</v>
      </c>
      <c r="F162" s="7">
        <v>987.0</v>
      </c>
      <c r="G162" s="6" t="s">
        <v>21</v>
      </c>
      <c r="H162" s="7" t="s">
        <v>22</v>
      </c>
      <c r="I162" s="8">
        <v>46177.0</v>
      </c>
      <c r="J162" s="9" t="s">
        <v>23</v>
      </c>
      <c r="L162" s="10">
        <v>0.4166666666666667</v>
      </c>
      <c r="M162" s="10">
        <v>0.875</v>
      </c>
      <c r="N162" s="6" t="s">
        <v>863</v>
      </c>
      <c r="O162" s="11">
        <v>-7.3359679E7</v>
      </c>
      <c r="P162" s="11">
        <v>1.127285799E9</v>
      </c>
      <c r="Q162" s="12" t="s">
        <v>864</v>
      </c>
    </row>
    <row r="163">
      <c r="A163" s="13">
        <f t="shared" si="1"/>
        <v>162</v>
      </c>
      <c r="B163" s="6" t="s">
        <v>865</v>
      </c>
      <c r="C163" s="6" t="s">
        <v>866</v>
      </c>
      <c r="D163" s="6" t="s">
        <v>34</v>
      </c>
      <c r="E163" s="6" t="s">
        <v>595</v>
      </c>
      <c r="F163" s="7">
        <v>382.0</v>
      </c>
      <c r="G163" s="6" t="s">
        <v>21</v>
      </c>
      <c r="H163" s="7" t="s">
        <v>36</v>
      </c>
      <c r="I163" s="8">
        <v>46238.0</v>
      </c>
      <c r="J163" s="9" t="s">
        <v>23</v>
      </c>
      <c r="L163" s="10">
        <v>0.5208333333333334</v>
      </c>
      <c r="M163" s="10">
        <v>0.875</v>
      </c>
      <c r="N163" s="6" t="s">
        <v>867</v>
      </c>
      <c r="O163" s="11">
        <v>-7.2336977E7</v>
      </c>
      <c r="P163" s="11">
        <v>1.127621203E9</v>
      </c>
      <c r="Q163" s="12" t="s">
        <v>868</v>
      </c>
    </row>
    <row r="164">
      <c r="A164" s="13">
        <f t="shared" si="1"/>
        <v>163</v>
      </c>
      <c r="B164" s="6" t="s">
        <v>869</v>
      </c>
      <c r="C164" s="6" t="s">
        <v>870</v>
      </c>
      <c r="D164" s="6" t="s">
        <v>34</v>
      </c>
      <c r="E164" s="6" t="s">
        <v>871</v>
      </c>
      <c r="F164" s="7">
        <v>624.0</v>
      </c>
      <c r="G164" s="6" t="s">
        <v>21</v>
      </c>
      <c r="H164" s="7" t="s">
        <v>22</v>
      </c>
      <c r="I164" s="8">
        <v>46116.0</v>
      </c>
      <c r="J164" s="9" t="s">
        <v>23</v>
      </c>
      <c r="L164" s="10">
        <v>0.22916666666666666</v>
      </c>
      <c r="M164" s="10">
        <v>0.8333333333333334</v>
      </c>
      <c r="N164" s="6" t="s">
        <v>872</v>
      </c>
      <c r="O164" s="11">
        <v>-7.2807312E7</v>
      </c>
      <c r="P164" s="11">
        <v>1.127089185E9</v>
      </c>
      <c r="Q164" s="12" t="s">
        <v>873</v>
      </c>
    </row>
    <row r="165">
      <c r="A165" s="13">
        <f t="shared" si="1"/>
        <v>164</v>
      </c>
      <c r="B165" s="9" t="s">
        <v>874</v>
      </c>
      <c r="C165" s="49" t="s">
        <v>875</v>
      </c>
      <c r="D165" s="9" t="s">
        <v>46</v>
      </c>
      <c r="E165" s="25" t="s">
        <v>876</v>
      </c>
      <c r="F165" s="16">
        <v>207.0</v>
      </c>
      <c r="G165" s="9" t="s">
        <v>21</v>
      </c>
      <c r="H165" s="26">
        <v>14000.0</v>
      </c>
      <c r="I165" s="17">
        <v>46238.0</v>
      </c>
      <c r="J165" s="9" t="s">
        <v>23</v>
      </c>
      <c r="K165" s="9"/>
      <c r="L165" s="18">
        <v>0.2916666666666667</v>
      </c>
      <c r="M165" s="18">
        <v>0.7083333333333334</v>
      </c>
      <c r="N165" s="19" t="s">
        <v>877</v>
      </c>
      <c r="O165" s="20" t="str">
        <f>IFERROR(__xludf.DUMMYFUNCTION("REGEXEXTRACT(N165,""^-?[0-9.]+"")"),"-7.227572745020992")</f>
        <v>-7.227572745020992</v>
      </c>
      <c r="P165" s="21" t="str">
        <f>IFERROR(__xludf.DUMMYFUNCTION("REGEXEXTRACT(N165,"",\s*(-?[0-9.]+)"")"),"112.68431555767067")</f>
        <v>112.68431555767067</v>
      </c>
      <c r="Q165" s="22" t="s">
        <v>878</v>
      </c>
      <c r="R165" s="23"/>
      <c r="S165" s="23"/>
      <c r="T165" s="23"/>
      <c r="U165" s="23"/>
      <c r="V165" s="23"/>
      <c r="W165" s="23"/>
      <c r="X165" s="23"/>
      <c r="Y165" s="23"/>
      <c r="Z165" s="23"/>
      <c r="AA165" s="23"/>
      <c r="AB165" s="23"/>
      <c r="AC165" s="23"/>
      <c r="AD165" s="23"/>
      <c r="AE165" s="23"/>
    </row>
    <row r="166">
      <c r="A166" s="13">
        <f t="shared" si="1"/>
        <v>165</v>
      </c>
      <c r="B166" s="9" t="s">
        <v>879</v>
      </c>
      <c r="C166" s="43" t="s">
        <v>880</v>
      </c>
      <c r="D166" s="9" t="s">
        <v>34</v>
      </c>
      <c r="E166" s="9" t="s">
        <v>881</v>
      </c>
      <c r="F166" s="16">
        <v>6546.0</v>
      </c>
      <c r="G166" s="9" t="s">
        <v>21</v>
      </c>
      <c r="H166" s="26" t="s">
        <v>882</v>
      </c>
      <c r="I166" s="17">
        <v>46177.0</v>
      </c>
      <c r="J166" s="9" t="s">
        <v>23</v>
      </c>
      <c r="K166" s="9"/>
      <c r="L166" s="18">
        <v>0.2916666666666667</v>
      </c>
      <c r="M166" s="18">
        <v>0.9166666666666666</v>
      </c>
      <c r="N166" s="19" t="s">
        <v>883</v>
      </c>
      <c r="O166" s="20" t="str">
        <f>IFERROR(__xludf.DUMMYFUNCTION("REGEXEXTRACT(N166,""^-?[0-9.]+"")"),"-7.282971803146515")</f>
        <v>-7.282971803146515</v>
      </c>
      <c r="P166" s="21" t="str">
        <f>IFERROR(__xludf.DUMMYFUNCTION("REGEXEXTRACT(N166,"",\s*(-?[0-9.]+)"")"),"112.73519452663122")</f>
        <v>112.73519452663122</v>
      </c>
      <c r="Q166" s="22" t="s">
        <v>884</v>
      </c>
      <c r="R166" s="43"/>
      <c r="S166" s="43"/>
      <c r="T166" s="43"/>
      <c r="U166" s="43"/>
      <c r="V166" s="43"/>
      <c r="W166" s="43"/>
      <c r="X166" s="43"/>
      <c r="Y166" s="43"/>
      <c r="Z166" s="43"/>
      <c r="AA166" s="43"/>
      <c r="AB166" s="43"/>
      <c r="AC166" s="43"/>
      <c r="AD166" s="43"/>
      <c r="AE166" s="43"/>
    </row>
    <row r="167">
      <c r="A167" s="13">
        <f t="shared" si="1"/>
        <v>166</v>
      </c>
      <c r="B167" s="6" t="s">
        <v>885</v>
      </c>
      <c r="C167" s="6" t="s">
        <v>886</v>
      </c>
      <c r="D167" s="6" t="s">
        <v>19</v>
      </c>
      <c r="E167" s="6" t="s">
        <v>887</v>
      </c>
      <c r="F167" s="7">
        <v>490.0</v>
      </c>
      <c r="G167" s="6" t="s">
        <v>21</v>
      </c>
      <c r="H167" s="7" t="s">
        <v>22</v>
      </c>
      <c r="I167" s="8">
        <v>46207.0</v>
      </c>
      <c r="J167" s="9" t="s">
        <v>23</v>
      </c>
      <c r="L167" s="10">
        <v>0.375</v>
      </c>
      <c r="M167" s="10">
        <v>0.875</v>
      </c>
      <c r="N167" s="6" t="s">
        <v>888</v>
      </c>
      <c r="O167" s="11">
        <v>-7.2934256E7</v>
      </c>
      <c r="P167" s="11">
        <v>1.127582858E9</v>
      </c>
      <c r="Q167" s="12" t="s">
        <v>889</v>
      </c>
    </row>
    <row r="168">
      <c r="A168" s="13">
        <f t="shared" si="1"/>
        <v>167</v>
      </c>
      <c r="B168" s="6" t="s">
        <v>890</v>
      </c>
      <c r="C168" s="6" t="s">
        <v>891</v>
      </c>
      <c r="D168" s="6" t="s">
        <v>34</v>
      </c>
      <c r="E168" s="6" t="s">
        <v>892</v>
      </c>
      <c r="F168" s="7">
        <v>3650.0</v>
      </c>
      <c r="G168" s="6" t="s">
        <v>21</v>
      </c>
      <c r="H168" s="7">
        <v>250000.0</v>
      </c>
      <c r="I168" s="8">
        <v>46269.0</v>
      </c>
      <c r="J168" s="9" t="s">
        <v>23</v>
      </c>
      <c r="L168" s="10">
        <v>0.5833333333333334</v>
      </c>
      <c r="M168" s="10">
        <v>0.9166666666666666</v>
      </c>
      <c r="N168" s="6" t="s">
        <v>893</v>
      </c>
      <c r="O168" s="11">
        <v>-7280376.0</v>
      </c>
      <c r="P168" s="11">
        <v>1.12767531E8</v>
      </c>
      <c r="Q168" s="12" t="s">
        <v>894</v>
      </c>
    </row>
    <row r="169">
      <c r="A169" s="13">
        <f t="shared" si="1"/>
        <v>168</v>
      </c>
      <c r="B169" s="6" t="s">
        <v>895</v>
      </c>
      <c r="C169" s="6" t="s">
        <v>896</v>
      </c>
      <c r="D169" s="6" t="s">
        <v>46</v>
      </c>
      <c r="E169" s="6" t="s">
        <v>897</v>
      </c>
      <c r="F169" s="7">
        <v>11.0</v>
      </c>
      <c r="G169" s="6" t="s">
        <v>21</v>
      </c>
      <c r="H169" s="7">
        <v>0.0</v>
      </c>
      <c r="I169" s="8">
        <v>46116.0</v>
      </c>
      <c r="J169" s="9" t="s">
        <v>23</v>
      </c>
      <c r="L169" s="10">
        <v>0.0</v>
      </c>
      <c r="M169" s="10">
        <v>0.9993055555555556</v>
      </c>
      <c r="N169" s="6" t="s">
        <v>898</v>
      </c>
      <c r="O169" s="11">
        <v>-7.2624065E7</v>
      </c>
      <c r="P169" s="11">
        <v>1.127442389E9</v>
      </c>
      <c r="Q169" s="12" t="s">
        <v>899</v>
      </c>
    </row>
    <row r="170">
      <c r="A170" s="13">
        <f t="shared" si="1"/>
        <v>169</v>
      </c>
      <c r="B170" s="6" t="s">
        <v>900</v>
      </c>
      <c r="C170" s="6" t="s">
        <v>901</v>
      </c>
      <c r="D170" s="6" t="s">
        <v>34</v>
      </c>
      <c r="E170" s="6" t="s">
        <v>902</v>
      </c>
      <c r="F170" s="7">
        <v>1506.0</v>
      </c>
      <c r="G170" s="6" t="s">
        <v>21</v>
      </c>
      <c r="H170" s="7" t="s">
        <v>649</v>
      </c>
      <c r="I170" s="8">
        <v>46238.0</v>
      </c>
      <c r="J170" s="9" t="s">
        <v>23</v>
      </c>
      <c r="L170" s="10">
        <v>0.3333333333333333</v>
      </c>
      <c r="M170" s="10">
        <v>0.9166666666666666</v>
      </c>
      <c r="N170" s="6" t="s">
        <v>903</v>
      </c>
      <c r="O170" s="11">
        <v>-7.2995063E7</v>
      </c>
      <c r="P170" s="11">
        <v>1.126636811E9</v>
      </c>
      <c r="Q170" s="12" t="s">
        <v>904</v>
      </c>
    </row>
    <row r="171">
      <c r="A171" s="13">
        <f t="shared" si="1"/>
        <v>170</v>
      </c>
      <c r="B171" s="6" t="s">
        <v>905</v>
      </c>
      <c r="C171" s="6" t="s">
        <v>906</v>
      </c>
      <c r="D171" s="6" t="s">
        <v>34</v>
      </c>
      <c r="E171" s="6" t="s">
        <v>907</v>
      </c>
      <c r="F171" s="7">
        <v>1426.0</v>
      </c>
      <c r="G171" s="6" t="s">
        <v>21</v>
      </c>
      <c r="H171" s="7">
        <v>250000.0</v>
      </c>
      <c r="I171" s="8">
        <v>46207.0</v>
      </c>
      <c r="J171" s="9" t="s">
        <v>23</v>
      </c>
      <c r="L171" s="10">
        <v>0.4166666666666667</v>
      </c>
      <c r="M171" s="10">
        <v>0.9166666666666666</v>
      </c>
      <c r="N171" s="6" t="s">
        <v>908</v>
      </c>
      <c r="O171" s="11">
        <v>-7.2813385E7</v>
      </c>
      <c r="P171" s="11">
        <v>1.127354883E9</v>
      </c>
      <c r="Q171" s="12" t="s">
        <v>909</v>
      </c>
    </row>
    <row r="172">
      <c r="A172" s="13">
        <f t="shared" si="1"/>
        <v>171</v>
      </c>
      <c r="B172" s="6" t="s">
        <v>910</v>
      </c>
      <c r="C172" s="6" t="s">
        <v>911</v>
      </c>
      <c r="D172" s="6" t="s">
        <v>34</v>
      </c>
      <c r="E172" s="6" t="s">
        <v>912</v>
      </c>
      <c r="F172" s="7">
        <v>20.0</v>
      </c>
      <c r="G172" s="6" t="s">
        <v>21</v>
      </c>
      <c r="H172" s="7" t="s">
        <v>36</v>
      </c>
      <c r="I172" s="8">
        <v>46177.0</v>
      </c>
      <c r="J172" s="9" t="s">
        <v>23</v>
      </c>
      <c r="L172" s="10">
        <v>0.6666666666666666</v>
      </c>
      <c r="M172" s="10">
        <v>0.9583333333333334</v>
      </c>
      <c r="N172" s="6" t="s">
        <v>913</v>
      </c>
      <c r="O172" s="11">
        <v>-7.2706579E7</v>
      </c>
      <c r="P172" s="11">
        <v>1.127608529E9</v>
      </c>
      <c r="Q172" s="12" t="s">
        <v>914</v>
      </c>
    </row>
    <row r="173">
      <c r="A173" s="13">
        <f t="shared" si="1"/>
        <v>172</v>
      </c>
      <c r="B173" s="9" t="s">
        <v>915</v>
      </c>
      <c r="C173" s="25" t="s">
        <v>916</v>
      </c>
      <c r="D173" s="9" t="s">
        <v>19</v>
      </c>
      <c r="E173" s="53" t="s">
        <v>917</v>
      </c>
      <c r="F173" s="16">
        <v>2004.0</v>
      </c>
      <c r="G173" s="9" t="s">
        <v>21</v>
      </c>
      <c r="H173" s="26" t="s">
        <v>785</v>
      </c>
      <c r="I173" s="17">
        <v>46146.0</v>
      </c>
      <c r="J173" s="9" t="s">
        <v>23</v>
      </c>
      <c r="K173" s="9"/>
      <c r="L173" s="18">
        <v>0.3333333333333333</v>
      </c>
      <c r="M173" s="18">
        <v>0.9166666666666666</v>
      </c>
      <c r="N173" s="19" t="s">
        <v>918</v>
      </c>
      <c r="O173" s="20" t="str">
        <f>IFERROR(__xludf.DUMMYFUNCTION("REGEXEXTRACT(N173,""^-?[0-9.]+"")"),"-7.282566398648191")</f>
        <v>-7.282566398648191</v>
      </c>
      <c r="P173" s="21" t="str">
        <f>IFERROR(__xludf.DUMMYFUNCTION("REGEXEXTRACT(N173,"",\s*(-?[0-9.]+)"")"),"112.69493758679066")</f>
        <v>112.69493758679066</v>
      </c>
      <c r="Q173" s="22" t="s">
        <v>919</v>
      </c>
      <c r="R173" s="23"/>
      <c r="S173" s="23"/>
      <c r="T173" s="23"/>
      <c r="U173" s="23"/>
      <c r="V173" s="23"/>
      <c r="W173" s="23"/>
      <c r="X173" s="23"/>
      <c r="Y173" s="23"/>
      <c r="Z173" s="23"/>
      <c r="AA173" s="23"/>
      <c r="AB173" s="23"/>
      <c r="AC173" s="23"/>
      <c r="AD173" s="23"/>
      <c r="AE173" s="23"/>
    </row>
    <row r="174">
      <c r="A174" s="13">
        <f t="shared" si="1"/>
        <v>173</v>
      </c>
      <c r="B174" s="6" t="s">
        <v>920</v>
      </c>
      <c r="C174" s="6" t="s">
        <v>921</v>
      </c>
      <c r="D174" s="6" t="s">
        <v>34</v>
      </c>
      <c r="E174" s="6" t="s">
        <v>921</v>
      </c>
      <c r="F174" s="7">
        <v>3347.0</v>
      </c>
      <c r="G174" s="6" t="s">
        <v>21</v>
      </c>
      <c r="H174" s="7" t="s">
        <v>22</v>
      </c>
      <c r="I174" s="8">
        <v>46116.0</v>
      </c>
      <c r="J174" s="9" t="s">
        <v>23</v>
      </c>
      <c r="L174" s="10">
        <v>0.0</v>
      </c>
      <c r="M174" s="10">
        <v>0.9993055555555556</v>
      </c>
      <c r="N174" s="6" t="s">
        <v>922</v>
      </c>
      <c r="O174" s="11">
        <v>-7292037.0</v>
      </c>
      <c r="P174" s="11">
        <v>1.127247467E9</v>
      </c>
      <c r="Q174" s="12" t="s">
        <v>923</v>
      </c>
    </row>
    <row r="175">
      <c r="A175" s="13">
        <f t="shared" si="1"/>
        <v>174</v>
      </c>
      <c r="B175" s="6" t="s">
        <v>924</v>
      </c>
      <c r="C175" s="6" t="s">
        <v>925</v>
      </c>
      <c r="D175" s="6" t="s">
        <v>19</v>
      </c>
      <c r="E175" s="6" t="s">
        <v>926</v>
      </c>
      <c r="F175" s="7">
        <v>633.0</v>
      </c>
      <c r="G175" s="6" t="s">
        <v>21</v>
      </c>
      <c r="H175" s="7" t="s">
        <v>649</v>
      </c>
      <c r="I175" s="8">
        <v>46146.0</v>
      </c>
      <c r="J175" s="9" t="s">
        <v>23</v>
      </c>
      <c r="L175" s="10">
        <v>0.25</v>
      </c>
      <c r="M175" s="10">
        <v>0.875</v>
      </c>
      <c r="N175" s="6" t="s">
        <v>927</v>
      </c>
      <c r="O175" s="11">
        <v>-7.2995694E7</v>
      </c>
      <c r="P175" s="11">
        <v>1.126974452E9</v>
      </c>
      <c r="Q175" s="12" t="s">
        <v>928</v>
      </c>
    </row>
    <row r="176">
      <c r="A176" s="13">
        <f t="shared" si="1"/>
        <v>175</v>
      </c>
      <c r="B176" s="6" t="s">
        <v>929</v>
      </c>
      <c r="C176" s="6" t="s">
        <v>930</v>
      </c>
      <c r="D176" s="6" t="s">
        <v>34</v>
      </c>
      <c r="E176" s="6" t="s">
        <v>931</v>
      </c>
      <c r="F176" s="7">
        <v>2964.0</v>
      </c>
      <c r="G176" s="6" t="s">
        <v>21</v>
      </c>
      <c r="H176" s="7" t="s">
        <v>22</v>
      </c>
      <c r="I176" s="8">
        <v>46116.0</v>
      </c>
      <c r="J176" s="9" t="s">
        <v>23</v>
      </c>
      <c r="L176" s="10">
        <v>0.625</v>
      </c>
      <c r="M176" s="10">
        <v>0.041666666666666664</v>
      </c>
      <c r="N176" s="6" t="s">
        <v>932</v>
      </c>
      <c r="O176" s="11">
        <v>-7.2853492E7</v>
      </c>
      <c r="P176" s="11">
        <v>1.126951792E9</v>
      </c>
      <c r="Q176" s="12" t="s">
        <v>933</v>
      </c>
    </row>
    <row r="177">
      <c r="A177" s="13">
        <f t="shared" si="1"/>
        <v>176</v>
      </c>
      <c r="B177" s="6" t="s">
        <v>934</v>
      </c>
      <c r="C177" s="6" t="s">
        <v>935</v>
      </c>
      <c r="D177" s="6" t="s">
        <v>34</v>
      </c>
      <c r="E177" s="6" t="s">
        <v>936</v>
      </c>
      <c r="F177" s="7">
        <v>835.0</v>
      </c>
      <c r="G177" s="6" t="s">
        <v>21</v>
      </c>
      <c r="H177" s="7" t="s">
        <v>36</v>
      </c>
      <c r="I177" s="8">
        <v>46026.0</v>
      </c>
      <c r="J177" s="9" t="s">
        <v>23</v>
      </c>
      <c r="L177" s="10">
        <v>0.3333333333333333</v>
      </c>
      <c r="M177" s="10">
        <v>0.041666666666666664</v>
      </c>
      <c r="N177" s="6" t="s">
        <v>937</v>
      </c>
      <c r="O177" s="11">
        <v>-7305256.0</v>
      </c>
      <c r="P177" s="11">
        <v>1.127563467E9</v>
      </c>
      <c r="Q177" s="12" t="s">
        <v>938</v>
      </c>
    </row>
    <row r="178">
      <c r="A178" s="13">
        <f t="shared" si="1"/>
        <v>177</v>
      </c>
      <c r="B178" s="6" t="s">
        <v>939</v>
      </c>
      <c r="C178" s="6" t="s">
        <v>940</v>
      </c>
      <c r="D178" s="6" t="s">
        <v>46</v>
      </c>
      <c r="E178" s="6" t="s">
        <v>941</v>
      </c>
      <c r="F178" s="7">
        <v>9412.0</v>
      </c>
      <c r="G178" s="6" t="s">
        <v>21</v>
      </c>
      <c r="H178" s="7">
        <v>0.0</v>
      </c>
      <c r="I178" s="8">
        <v>46177.0</v>
      </c>
      <c r="J178" s="9" t="s">
        <v>23</v>
      </c>
      <c r="L178" s="10">
        <v>0.2916666666666667</v>
      </c>
      <c r="M178" s="10">
        <v>0.875</v>
      </c>
      <c r="N178" s="6" t="s">
        <v>942</v>
      </c>
      <c r="O178" s="11">
        <v>-7.2614722E7</v>
      </c>
      <c r="P178" s="11">
        <v>1.127428284E9</v>
      </c>
      <c r="Q178" s="12" t="s">
        <v>943</v>
      </c>
    </row>
    <row r="179">
      <c r="A179" s="13">
        <f t="shared" si="1"/>
        <v>178</v>
      </c>
      <c r="B179" s="6" t="s">
        <v>944</v>
      </c>
      <c r="C179" s="6" t="s">
        <v>945</v>
      </c>
      <c r="D179" s="6" t="s">
        <v>46</v>
      </c>
      <c r="E179" s="6" t="s">
        <v>946</v>
      </c>
      <c r="F179" s="7">
        <v>5402.0</v>
      </c>
      <c r="G179" s="6" t="s">
        <v>21</v>
      </c>
      <c r="H179" s="7">
        <v>8000.0</v>
      </c>
      <c r="I179" s="8">
        <v>46116.0</v>
      </c>
      <c r="J179" s="9" t="s">
        <v>23</v>
      </c>
      <c r="L179" s="10">
        <v>0.3333333333333333</v>
      </c>
      <c r="M179" s="10">
        <v>0.7083333333333334</v>
      </c>
      <c r="N179" s="6" t="s">
        <v>947</v>
      </c>
      <c r="O179" s="11">
        <v>-7.2386399E7</v>
      </c>
      <c r="P179" s="11">
        <v>1.125835162E9</v>
      </c>
      <c r="Q179" s="12" t="s">
        <v>948</v>
      </c>
    </row>
    <row r="180">
      <c r="A180" s="13">
        <f t="shared" si="1"/>
        <v>179</v>
      </c>
      <c r="B180" s="24" t="s">
        <v>949</v>
      </c>
      <c r="C180" s="49" t="s">
        <v>950</v>
      </c>
      <c r="D180" s="9" t="s">
        <v>19</v>
      </c>
      <c r="E180" s="25" t="s">
        <v>951</v>
      </c>
      <c r="F180" s="16">
        <v>502.0</v>
      </c>
      <c r="G180" s="9" t="s">
        <v>21</v>
      </c>
      <c r="H180" s="26" t="s">
        <v>22</v>
      </c>
      <c r="I180" s="17">
        <v>46177.0</v>
      </c>
      <c r="J180" s="9" t="s">
        <v>23</v>
      </c>
      <c r="K180" s="9"/>
      <c r="L180" s="18">
        <v>0.4166666666666667</v>
      </c>
      <c r="M180" s="18">
        <v>0.9166666666666666</v>
      </c>
      <c r="N180" s="19" t="s">
        <v>952</v>
      </c>
      <c r="O180" s="20" t="str">
        <f>IFERROR(__xludf.DUMMYFUNCTION("REGEXEXTRACT(N180,""^-?[0-9.]+"")"),"-7.266366692054985")</f>
        <v>-7.266366692054985</v>
      </c>
      <c r="P180" s="21" t="str">
        <f>IFERROR(__xludf.DUMMYFUNCTION("REGEXEXTRACT(N180,"",\s*(-?[0-9.]+)"")"),"112.7510106266198")</f>
        <v>112.7510106266198</v>
      </c>
      <c r="Q180" s="22" t="s">
        <v>953</v>
      </c>
      <c r="R180" s="23"/>
      <c r="S180" s="23"/>
      <c r="T180" s="23"/>
      <c r="U180" s="23"/>
      <c r="V180" s="23"/>
      <c r="W180" s="23"/>
      <c r="X180" s="23"/>
      <c r="Y180" s="23"/>
      <c r="Z180" s="23"/>
      <c r="AA180" s="23"/>
      <c r="AB180" s="23"/>
      <c r="AC180" s="23"/>
      <c r="AD180" s="23"/>
      <c r="AE180" s="23"/>
    </row>
    <row r="181">
      <c r="A181" s="13">
        <f t="shared" si="1"/>
        <v>180</v>
      </c>
      <c r="B181" s="6" t="s">
        <v>954</v>
      </c>
      <c r="C181" s="6" t="s">
        <v>955</v>
      </c>
      <c r="D181" s="6" t="s">
        <v>34</v>
      </c>
      <c r="E181" s="6" t="s">
        <v>956</v>
      </c>
      <c r="F181" s="7">
        <v>348.0</v>
      </c>
      <c r="G181" s="6" t="s">
        <v>21</v>
      </c>
      <c r="H181" s="7" t="s">
        <v>36</v>
      </c>
      <c r="I181" s="8">
        <v>46177.0</v>
      </c>
      <c r="J181" s="9" t="s">
        <v>23</v>
      </c>
      <c r="L181" s="10">
        <v>0.3333333333333333</v>
      </c>
      <c r="M181" s="10">
        <v>0.8333333333333334</v>
      </c>
      <c r="N181" s="6" t="s">
        <v>957</v>
      </c>
      <c r="O181" s="11">
        <v>-7.2471077E7</v>
      </c>
      <c r="P181" s="11">
        <v>1.127745904E9</v>
      </c>
      <c r="Q181" s="12" t="s">
        <v>958</v>
      </c>
    </row>
    <row r="182">
      <c r="A182" s="13">
        <f t="shared" si="1"/>
        <v>181</v>
      </c>
      <c r="B182" s="36" t="s">
        <v>959</v>
      </c>
      <c r="C182" s="37" t="s">
        <v>960</v>
      </c>
      <c r="D182" s="36" t="s">
        <v>19</v>
      </c>
      <c r="E182" s="36" t="s">
        <v>961</v>
      </c>
      <c r="F182" s="16">
        <v>440.0</v>
      </c>
      <c r="G182" s="36" t="s">
        <v>21</v>
      </c>
      <c r="H182" s="38">
        <v>40000.0</v>
      </c>
      <c r="I182" s="39">
        <v>46238.0</v>
      </c>
      <c r="J182" s="9" t="s">
        <v>23</v>
      </c>
      <c r="K182" s="40"/>
      <c r="L182" s="41">
        <v>0.3125</v>
      </c>
      <c r="M182" s="41">
        <v>0.9166666666666666</v>
      </c>
      <c r="N182" s="19" t="s">
        <v>962</v>
      </c>
      <c r="O182" s="19" t="s">
        <v>963</v>
      </c>
      <c r="P182" s="21" t="s">
        <v>964</v>
      </c>
      <c r="Q182" s="42" t="s">
        <v>965</v>
      </c>
      <c r="R182" s="43"/>
      <c r="S182" s="43"/>
      <c r="T182" s="43"/>
      <c r="U182" s="43"/>
      <c r="V182" s="43"/>
      <c r="W182" s="43"/>
      <c r="X182" s="43"/>
      <c r="Y182" s="43"/>
      <c r="Z182" s="43"/>
      <c r="AA182" s="43"/>
      <c r="AB182" s="43"/>
      <c r="AC182" s="43"/>
      <c r="AD182" s="43"/>
      <c r="AE182" s="43"/>
    </row>
    <row r="183">
      <c r="A183" s="13">
        <f t="shared" si="1"/>
        <v>182</v>
      </c>
      <c r="B183" s="6" t="s">
        <v>966</v>
      </c>
      <c r="C183" s="6" t="s">
        <v>967</v>
      </c>
      <c r="D183" s="6" t="s">
        <v>34</v>
      </c>
      <c r="E183" s="6" t="s">
        <v>968</v>
      </c>
      <c r="F183" s="7">
        <v>1117.0</v>
      </c>
      <c r="G183" s="6" t="s">
        <v>21</v>
      </c>
      <c r="H183" s="7" t="s">
        <v>22</v>
      </c>
      <c r="I183" s="7" t="s">
        <v>485</v>
      </c>
      <c r="J183" s="9" t="s">
        <v>23</v>
      </c>
      <c r="L183" s="10">
        <v>0.3958333333333333</v>
      </c>
      <c r="M183" s="10">
        <v>0.625</v>
      </c>
      <c r="N183" s="6" t="s">
        <v>969</v>
      </c>
      <c r="O183" s="11">
        <v>-7.2527209E7</v>
      </c>
      <c r="P183" s="11">
        <v>1.127343977E9</v>
      </c>
      <c r="Q183" s="12" t="s">
        <v>970</v>
      </c>
    </row>
    <row r="184">
      <c r="A184" s="13">
        <f t="shared" si="1"/>
        <v>183</v>
      </c>
      <c r="B184" s="6" t="s">
        <v>971</v>
      </c>
      <c r="C184" s="6" t="s">
        <v>972</v>
      </c>
      <c r="D184" s="6" t="s">
        <v>34</v>
      </c>
      <c r="E184" s="6" t="s">
        <v>973</v>
      </c>
      <c r="F184" s="7">
        <v>772.0</v>
      </c>
      <c r="G184" s="6" t="s">
        <v>21</v>
      </c>
      <c r="H184" s="7" t="s">
        <v>649</v>
      </c>
      <c r="I184" s="8">
        <v>46116.0</v>
      </c>
      <c r="J184" s="9" t="s">
        <v>23</v>
      </c>
      <c r="L184" s="10">
        <v>0.4166666666666667</v>
      </c>
      <c r="M184" s="10">
        <v>0.8958333333333334</v>
      </c>
      <c r="N184" s="6" t="s">
        <v>974</v>
      </c>
      <c r="O184" s="11">
        <v>-7.2671284E7</v>
      </c>
      <c r="P184" s="11">
        <v>1.127526298E9</v>
      </c>
      <c r="Q184" s="12" t="s">
        <v>975</v>
      </c>
    </row>
    <row r="185">
      <c r="A185" s="13">
        <f t="shared" si="1"/>
        <v>184</v>
      </c>
      <c r="B185" s="6" t="s">
        <v>976</v>
      </c>
      <c r="C185" s="6" t="s">
        <v>977</v>
      </c>
      <c r="D185" s="6" t="s">
        <v>34</v>
      </c>
      <c r="E185" s="6" t="s">
        <v>828</v>
      </c>
      <c r="F185" s="7">
        <v>52.0</v>
      </c>
      <c r="G185" s="6" t="s">
        <v>21</v>
      </c>
      <c r="H185" s="7" t="s">
        <v>36</v>
      </c>
      <c r="I185" s="8">
        <v>46207.0</v>
      </c>
      <c r="J185" s="9" t="s">
        <v>23</v>
      </c>
      <c r="L185" s="10">
        <v>0.25</v>
      </c>
      <c r="M185" s="10">
        <v>0.875</v>
      </c>
      <c r="N185" s="6" t="s">
        <v>978</v>
      </c>
      <c r="O185" s="11">
        <v>-7.3340383E7</v>
      </c>
      <c r="P185" s="11">
        <v>1127003.0</v>
      </c>
      <c r="Q185" s="12" t="s">
        <v>979</v>
      </c>
    </row>
    <row r="186">
      <c r="A186" s="13">
        <f t="shared" si="1"/>
        <v>185</v>
      </c>
      <c r="B186" s="6" t="s">
        <v>980</v>
      </c>
      <c r="C186" s="6" t="s">
        <v>981</v>
      </c>
      <c r="D186" s="6" t="s">
        <v>34</v>
      </c>
      <c r="E186" s="6" t="s">
        <v>982</v>
      </c>
      <c r="F186" s="7">
        <v>10002.0</v>
      </c>
      <c r="G186" s="6" t="s">
        <v>21</v>
      </c>
      <c r="H186" s="7" t="s">
        <v>72</v>
      </c>
      <c r="I186" s="8">
        <v>46116.0</v>
      </c>
      <c r="J186" s="9" t="s">
        <v>23</v>
      </c>
      <c r="L186" s="10">
        <v>0.2916666666666667</v>
      </c>
      <c r="M186" s="10">
        <v>0.9166666666666666</v>
      </c>
      <c r="N186" s="6" t="s">
        <v>983</v>
      </c>
      <c r="O186" s="11">
        <v>-7.3301425E7</v>
      </c>
      <c r="P186" s="11">
        <v>1.12730468E8</v>
      </c>
      <c r="Q186" s="12" t="s">
        <v>984</v>
      </c>
    </row>
    <row r="187">
      <c r="A187" s="13">
        <f t="shared" si="1"/>
        <v>186</v>
      </c>
      <c r="B187" s="6" t="s">
        <v>985</v>
      </c>
      <c r="C187" s="6" t="s">
        <v>986</v>
      </c>
      <c r="D187" s="6" t="s">
        <v>19</v>
      </c>
      <c r="E187" s="6" t="s">
        <v>987</v>
      </c>
      <c r="F187" s="7">
        <v>3367.0</v>
      </c>
      <c r="G187" s="6" t="s">
        <v>21</v>
      </c>
      <c r="H187" s="7" t="s">
        <v>22</v>
      </c>
      <c r="I187" s="8">
        <v>46207.0</v>
      </c>
      <c r="J187" s="9" t="s">
        <v>23</v>
      </c>
      <c r="L187" s="10">
        <v>0.2708333333333333</v>
      </c>
      <c r="M187" s="10">
        <v>0.0</v>
      </c>
      <c r="N187" s="6" t="s">
        <v>988</v>
      </c>
      <c r="O187" s="11">
        <v>-7.2655585E7</v>
      </c>
      <c r="P187" s="11">
        <v>1.12738032E8</v>
      </c>
      <c r="Q187" s="12" t="s">
        <v>989</v>
      </c>
    </row>
    <row r="188">
      <c r="A188" s="13">
        <f t="shared" si="1"/>
        <v>187</v>
      </c>
      <c r="B188" s="6" t="s">
        <v>990</v>
      </c>
      <c r="C188" s="6" t="s">
        <v>991</v>
      </c>
      <c r="D188" s="6" t="s">
        <v>46</v>
      </c>
      <c r="E188" s="6" t="s">
        <v>992</v>
      </c>
      <c r="F188" s="7">
        <v>2200.0</v>
      </c>
      <c r="G188" s="6" t="s">
        <v>21</v>
      </c>
      <c r="H188" s="7" t="s">
        <v>608</v>
      </c>
      <c r="I188" s="8">
        <v>46085.0</v>
      </c>
      <c r="J188" s="9" t="s">
        <v>23</v>
      </c>
      <c r="L188" s="10">
        <v>0.3125</v>
      </c>
      <c r="M188" s="10">
        <v>0.9583333333333334</v>
      </c>
      <c r="N188" s="6" t="s">
        <v>993</v>
      </c>
      <c r="O188" s="11">
        <v>-7225576.0</v>
      </c>
      <c r="P188" s="11">
        <v>1.127870017E9</v>
      </c>
      <c r="Q188" s="12" t="s">
        <v>994</v>
      </c>
    </row>
    <row r="189">
      <c r="A189" s="13">
        <f t="shared" si="1"/>
        <v>188</v>
      </c>
      <c r="B189" s="6" t="s">
        <v>995</v>
      </c>
      <c r="C189" s="6" t="s">
        <v>996</v>
      </c>
      <c r="D189" s="6" t="s">
        <v>34</v>
      </c>
      <c r="E189" s="6" t="s">
        <v>997</v>
      </c>
      <c r="F189" s="7">
        <v>544.0</v>
      </c>
      <c r="G189" s="6" t="s">
        <v>21</v>
      </c>
      <c r="H189" s="7" t="s">
        <v>36</v>
      </c>
      <c r="I189" s="8">
        <v>46116.0</v>
      </c>
      <c r="J189" s="27" t="s">
        <v>65</v>
      </c>
      <c r="K189" s="6" t="s">
        <v>66</v>
      </c>
      <c r="L189" s="10">
        <v>0.4791666666666667</v>
      </c>
      <c r="M189" s="10">
        <v>0.6875</v>
      </c>
      <c r="N189" s="6" t="s">
        <v>998</v>
      </c>
      <c r="O189" s="11">
        <v>-7.2649135E7</v>
      </c>
      <c r="P189" s="11">
        <v>1.12742631E8</v>
      </c>
      <c r="Q189" s="12" t="s">
        <v>999</v>
      </c>
    </row>
    <row r="190">
      <c r="A190" s="13">
        <f t="shared" si="1"/>
        <v>189</v>
      </c>
      <c r="B190" s="6" t="s">
        <v>1000</v>
      </c>
      <c r="C190" s="6" t="s">
        <v>1001</v>
      </c>
      <c r="D190" s="6" t="s">
        <v>34</v>
      </c>
      <c r="E190" s="6" t="s">
        <v>912</v>
      </c>
      <c r="F190" s="7">
        <v>38.0</v>
      </c>
      <c r="G190" s="6" t="s">
        <v>21</v>
      </c>
      <c r="H190" s="7" t="s">
        <v>36</v>
      </c>
      <c r="I190" s="8">
        <v>46269.0</v>
      </c>
      <c r="J190" s="9" t="s">
        <v>23</v>
      </c>
      <c r="L190" s="10">
        <v>0.5416666666666666</v>
      </c>
      <c r="M190" s="10">
        <v>0.9166666666666666</v>
      </c>
      <c r="N190" s="6" t="s">
        <v>1002</v>
      </c>
      <c r="O190" s="11">
        <v>-7.3007676E7</v>
      </c>
      <c r="P190" s="11">
        <v>1.127365916E9</v>
      </c>
      <c r="Q190" s="12" t="s">
        <v>1003</v>
      </c>
    </row>
    <row r="191">
      <c r="A191" s="13">
        <f t="shared" si="1"/>
        <v>190</v>
      </c>
      <c r="B191" s="45" t="s">
        <v>1004</v>
      </c>
      <c r="C191" s="45" t="s">
        <v>1005</v>
      </c>
      <c r="D191" s="45" t="s">
        <v>19</v>
      </c>
      <c r="E191" s="45" t="s">
        <v>1006</v>
      </c>
      <c r="F191" s="28">
        <v>2849.0</v>
      </c>
      <c r="G191" s="45" t="s">
        <v>21</v>
      </c>
      <c r="H191" s="45">
        <v>50000.0</v>
      </c>
      <c r="I191" s="29">
        <v>46177.0</v>
      </c>
      <c r="J191" s="9" t="s">
        <v>23</v>
      </c>
      <c r="K191" s="46"/>
      <c r="L191" s="47">
        <v>0.375</v>
      </c>
      <c r="M191" s="47">
        <v>0.9166666666666666</v>
      </c>
      <c r="N191" s="48" t="s">
        <v>1007</v>
      </c>
      <c r="O191" s="33" t="s">
        <v>1008</v>
      </c>
      <c r="P191" s="34" t="s">
        <v>1009</v>
      </c>
      <c r="Q191" s="42" t="s">
        <v>1010</v>
      </c>
      <c r="R191" s="43"/>
      <c r="S191" s="43"/>
      <c r="T191" s="43"/>
      <c r="U191" s="43"/>
      <c r="V191" s="43"/>
      <c r="W191" s="43"/>
      <c r="X191" s="43"/>
      <c r="Y191" s="43"/>
      <c r="Z191" s="43"/>
      <c r="AA191" s="43"/>
      <c r="AB191" s="43"/>
      <c r="AC191" s="43"/>
      <c r="AD191" s="43"/>
      <c r="AE191" s="43"/>
    </row>
    <row r="192">
      <c r="A192" s="13">
        <f t="shared" si="1"/>
        <v>191</v>
      </c>
      <c r="B192" s="6" t="s">
        <v>1011</v>
      </c>
      <c r="C192" s="6" t="s">
        <v>1012</v>
      </c>
      <c r="D192" s="6" t="s">
        <v>34</v>
      </c>
      <c r="E192" s="6" t="s">
        <v>968</v>
      </c>
      <c r="F192" s="7">
        <v>237.0</v>
      </c>
      <c r="G192" s="6" t="s">
        <v>21</v>
      </c>
      <c r="H192" s="7" t="s">
        <v>36</v>
      </c>
      <c r="I192" s="8">
        <v>46177.0</v>
      </c>
      <c r="J192" s="27" t="s">
        <v>601</v>
      </c>
      <c r="K192" s="6" t="s">
        <v>602</v>
      </c>
      <c r="L192" s="10">
        <v>0.375</v>
      </c>
      <c r="M192" s="10">
        <v>0.8541666666666666</v>
      </c>
      <c r="N192" s="6" t="s">
        <v>1013</v>
      </c>
      <c r="O192" s="11">
        <v>-7.2597166E7</v>
      </c>
      <c r="P192" s="11">
        <v>1.12759057E8</v>
      </c>
      <c r="Q192" s="12" t="s">
        <v>1014</v>
      </c>
    </row>
    <row r="193">
      <c r="A193" s="13">
        <f t="shared" si="1"/>
        <v>192</v>
      </c>
      <c r="B193" s="6" t="s">
        <v>1015</v>
      </c>
      <c r="C193" s="6" t="s">
        <v>1016</v>
      </c>
      <c r="D193" s="6" t="s">
        <v>34</v>
      </c>
      <c r="E193" s="6" t="s">
        <v>1017</v>
      </c>
      <c r="F193" s="7">
        <v>3405.0</v>
      </c>
      <c r="G193" s="6" t="s">
        <v>21</v>
      </c>
      <c r="H193" s="7" t="s">
        <v>1018</v>
      </c>
      <c r="I193" s="8">
        <v>46116.0</v>
      </c>
      <c r="J193" s="9" t="s">
        <v>23</v>
      </c>
      <c r="L193" s="10">
        <v>0.5</v>
      </c>
      <c r="M193" s="10">
        <v>0.9583333333333334</v>
      </c>
      <c r="N193" s="6" t="s">
        <v>1019</v>
      </c>
      <c r="O193" s="11">
        <v>-7.2783067E7</v>
      </c>
      <c r="P193" s="11">
        <v>1.127078103E9</v>
      </c>
      <c r="Q193" s="12" t="s">
        <v>1020</v>
      </c>
    </row>
    <row r="194">
      <c r="A194" s="13">
        <f t="shared" si="1"/>
        <v>193</v>
      </c>
      <c r="B194" s="6" t="s">
        <v>1021</v>
      </c>
      <c r="C194" s="6" t="s">
        <v>1022</v>
      </c>
      <c r="D194" s="6" t="s">
        <v>34</v>
      </c>
      <c r="E194" s="6" t="s">
        <v>1023</v>
      </c>
      <c r="F194" s="7">
        <v>3622.0</v>
      </c>
      <c r="G194" s="6" t="s">
        <v>21</v>
      </c>
      <c r="H194" s="7" t="s">
        <v>643</v>
      </c>
      <c r="I194" s="8">
        <v>46145.0</v>
      </c>
      <c r="J194" s="9" t="s">
        <v>23</v>
      </c>
      <c r="L194" s="10">
        <v>0.0</v>
      </c>
      <c r="M194" s="10">
        <v>0.9993055555555556</v>
      </c>
      <c r="N194" s="6" t="s">
        <v>1024</v>
      </c>
      <c r="O194" s="11">
        <v>-7.2557049E7</v>
      </c>
      <c r="P194" s="11">
        <v>1.127323074E9</v>
      </c>
      <c r="Q194" s="12" t="s">
        <v>1025</v>
      </c>
    </row>
    <row r="195">
      <c r="A195" s="13">
        <f t="shared" si="1"/>
        <v>194</v>
      </c>
      <c r="B195" s="6" t="s">
        <v>1026</v>
      </c>
      <c r="C195" s="6" t="s">
        <v>1027</v>
      </c>
      <c r="D195" s="6" t="s">
        <v>46</v>
      </c>
      <c r="E195" s="6" t="s">
        <v>1028</v>
      </c>
      <c r="F195" s="7">
        <v>325.0</v>
      </c>
      <c r="G195" s="6" t="s">
        <v>21</v>
      </c>
      <c r="H195" s="7">
        <v>5000.0</v>
      </c>
      <c r="I195" s="8">
        <v>46146.0</v>
      </c>
      <c r="J195" s="9" t="s">
        <v>23</v>
      </c>
      <c r="K195" s="6" t="s">
        <v>66</v>
      </c>
      <c r="L195" s="10">
        <v>0.3333333333333333</v>
      </c>
      <c r="M195" s="10">
        <v>0.6666666666666666</v>
      </c>
      <c r="N195" s="6" t="s">
        <v>1029</v>
      </c>
      <c r="O195" s="11">
        <v>-7.3307707E7</v>
      </c>
      <c r="P195" s="11">
        <v>1.128171343E9</v>
      </c>
      <c r="Q195" s="12" t="s">
        <v>1030</v>
      </c>
    </row>
    <row r="196">
      <c r="A196" s="13">
        <f t="shared" si="1"/>
        <v>195</v>
      </c>
      <c r="B196" s="6" t="s">
        <v>1031</v>
      </c>
      <c r="C196" s="6" t="s">
        <v>1032</v>
      </c>
      <c r="D196" s="6" t="s">
        <v>46</v>
      </c>
      <c r="E196" s="6" t="s">
        <v>1033</v>
      </c>
      <c r="F196" s="7">
        <v>298.0</v>
      </c>
      <c r="G196" s="6" t="s">
        <v>21</v>
      </c>
      <c r="H196" s="7">
        <v>0.0</v>
      </c>
      <c r="I196" s="8">
        <v>46085.0</v>
      </c>
      <c r="J196" s="9" t="s">
        <v>23</v>
      </c>
      <c r="L196" s="10">
        <v>0.0</v>
      </c>
      <c r="M196" s="10">
        <v>0.9993055555555556</v>
      </c>
      <c r="N196" s="6" t="s">
        <v>1034</v>
      </c>
      <c r="O196" s="11">
        <v>-7.2876348E7</v>
      </c>
      <c r="P196" s="11">
        <v>1.127199438E9</v>
      </c>
      <c r="Q196" s="12" t="s">
        <v>1035</v>
      </c>
    </row>
    <row r="197">
      <c r="A197" s="13">
        <f t="shared" si="1"/>
        <v>196</v>
      </c>
      <c r="B197" s="6" t="s">
        <v>1036</v>
      </c>
      <c r="C197" s="6" t="s">
        <v>1037</v>
      </c>
      <c r="D197" s="6" t="s">
        <v>34</v>
      </c>
      <c r="E197" s="6" t="s">
        <v>1038</v>
      </c>
      <c r="F197" s="7">
        <v>10852.0</v>
      </c>
      <c r="G197" s="6" t="s">
        <v>21</v>
      </c>
      <c r="H197" s="7" t="s">
        <v>36</v>
      </c>
      <c r="I197" s="8">
        <v>46085.0</v>
      </c>
      <c r="J197" s="9" t="s">
        <v>23</v>
      </c>
      <c r="L197" s="10">
        <v>0.6666666666666666</v>
      </c>
      <c r="M197" s="10">
        <v>0.0</v>
      </c>
      <c r="N197" s="6" t="s">
        <v>1039</v>
      </c>
      <c r="O197" s="11">
        <v>-7.3013703E7</v>
      </c>
      <c r="P197" s="11">
        <v>1.127380496E9</v>
      </c>
      <c r="Q197" s="12" t="s">
        <v>1040</v>
      </c>
    </row>
    <row r="198">
      <c r="A198" s="13">
        <f t="shared" si="1"/>
        <v>197</v>
      </c>
      <c r="B198" s="36" t="s">
        <v>1041</v>
      </c>
      <c r="C198" s="37" t="s">
        <v>1042</v>
      </c>
      <c r="D198" s="36" t="s">
        <v>34</v>
      </c>
      <c r="E198" s="36" t="s">
        <v>1043</v>
      </c>
      <c r="F198" s="16">
        <v>948.0</v>
      </c>
      <c r="G198" s="36" t="s">
        <v>21</v>
      </c>
      <c r="H198" s="38" t="s">
        <v>36</v>
      </c>
      <c r="I198" s="39">
        <v>46146.0</v>
      </c>
      <c r="J198" s="9" t="s">
        <v>23</v>
      </c>
      <c r="K198" s="40"/>
      <c r="L198" s="41">
        <v>0.2916666666666667</v>
      </c>
      <c r="M198" s="41">
        <v>0.5833333333333334</v>
      </c>
      <c r="N198" s="19" t="s">
        <v>1044</v>
      </c>
      <c r="O198" s="19" t="s">
        <v>1045</v>
      </c>
      <c r="P198" s="21" t="s">
        <v>1046</v>
      </c>
      <c r="Q198" s="42" t="s">
        <v>1047</v>
      </c>
      <c r="R198" s="43"/>
      <c r="S198" s="43"/>
      <c r="T198" s="43"/>
      <c r="U198" s="43"/>
      <c r="V198" s="43"/>
      <c r="W198" s="43"/>
      <c r="X198" s="43"/>
      <c r="Y198" s="43"/>
      <c r="Z198" s="43"/>
      <c r="AA198" s="43"/>
      <c r="AB198" s="43"/>
      <c r="AC198" s="43"/>
      <c r="AD198" s="43"/>
      <c r="AE198" s="43"/>
    </row>
    <row r="199">
      <c r="A199" s="13">
        <f t="shared" si="1"/>
        <v>198</v>
      </c>
      <c r="B199" s="6" t="s">
        <v>1048</v>
      </c>
      <c r="C199" s="6" t="s">
        <v>1049</v>
      </c>
      <c r="D199" s="6" t="s">
        <v>34</v>
      </c>
      <c r="E199" s="6" t="s">
        <v>1050</v>
      </c>
      <c r="F199" s="7">
        <v>514.0</v>
      </c>
      <c r="G199" s="6" t="s">
        <v>21</v>
      </c>
      <c r="H199" s="7" t="s">
        <v>36</v>
      </c>
      <c r="I199" s="8">
        <v>46177.0</v>
      </c>
      <c r="J199" s="9" t="s">
        <v>23</v>
      </c>
      <c r="L199" s="10">
        <v>0.3125</v>
      </c>
      <c r="M199" s="10">
        <v>0.6041666666666666</v>
      </c>
      <c r="N199" s="6" t="s">
        <v>1051</v>
      </c>
      <c r="O199" s="11">
        <v>-7.2847504E7</v>
      </c>
      <c r="P199" s="11">
        <v>1.127601806E9</v>
      </c>
      <c r="Q199" s="12" t="s">
        <v>1052</v>
      </c>
    </row>
    <row r="200">
      <c r="A200" s="13">
        <f t="shared" si="1"/>
        <v>199</v>
      </c>
      <c r="B200" s="28" t="s">
        <v>1053</v>
      </c>
      <c r="C200" s="28" t="s">
        <v>1054</v>
      </c>
      <c r="D200" s="28" t="s">
        <v>19</v>
      </c>
      <c r="E200" s="28" t="s">
        <v>1055</v>
      </c>
      <c r="F200" s="28">
        <v>663.0</v>
      </c>
      <c r="G200" s="28" t="s">
        <v>21</v>
      </c>
      <c r="H200" s="28" t="s">
        <v>22</v>
      </c>
      <c r="I200" s="29">
        <v>46146.0</v>
      </c>
      <c r="J200" s="9" t="s">
        <v>23</v>
      </c>
      <c r="K200" s="30"/>
      <c r="L200" s="31">
        <v>0.625</v>
      </c>
      <c r="M200" s="31">
        <v>0.9583333333333334</v>
      </c>
      <c r="N200" s="32" t="s">
        <v>1056</v>
      </c>
      <c r="O200" s="33" t="s">
        <v>1057</v>
      </c>
      <c r="P200" s="34" t="s">
        <v>1058</v>
      </c>
      <c r="Q200" s="42" t="s">
        <v>1059</v>
      </c>
      <c r="R200" s="43"/>
      <c r="S200" s="43"/>
      <c r="T200" s="43"/>
      <c r="U200" s="43"/>
      <c r="V200" s="43"/>
      <c r="W200" s="43"/>
      <c r="X200" s="43"/>
      <c r="Y200" s="43"/>
      <c r="Z200" s="43"/>
      <c r="AA200" s="43"/>
      <c r="AB200" s="43"/>
      <c r="AC200" s="43"/>
      <c r="AD200" s="43"/>
      <c r="AE200" s="43"/>
    </row>
    <row r="201">
      <c r="A201" s="13">
        <f t="shared" si="1"/>
        <v>200</v>
      </c>
      <c r="B201" s="6" t="s">
        <v>1060</v>
      </c>
      <c r="C201" s="6" t="s">
        <v>1061</v>
      </c>
      <c r="D201" s="6" t="s">
        <v>34</v>
      </c>
      <c r="E201" s="6" t="s">
        <v>1062</v>
      </c>
      <c r="F201" s="7">
        <v>151.0</v>
      </c>
      <c r="G201" s="6" t="s">
        <v>21</v>
      </c>
      <c r="H201" s="7" t="s">
        <v>22</v>
      </c>
      <c r="I201" s="8">
        <v>46146.0</v>
      </c>
      <c r="J201" s="9" t="s">
        <v>23</v>
      </c>
      <c r="L201" s="10">
        <v>0.375</v>
      </c>
      <c r="M201" s="10">
        <v>0.875</v>
      </c>
      <c r="N201" s="6" t="s">
        <v>1063</v>
      </c>
      <c r="O201" s="11">
        <v>-723764.0</v>
      </c>
      <c r="P201" s="11">
        <v>1.127487517E9</v>
      </c>
      <c r="Q201" s="12" t="s">
        <v>1064</v>
      </c>
    </row>
    <row r="202">
      <c r="A202" s="13">
        <f t="shared" si="1"/>
        <v>201</v>
      </c>
      <c r="B202" s="6" t="s">
        <v>1065</v>
      </c>
      <c r="C202" s="6" t="s">
        <v>1066</v>
      </c>
      <c r="D202" s="6" t="s">
        <v>34</v>
      </c>
      <c r="E202" s="6" t="s">
        <v>1067</v>
      </c>
      <c r="F202" s="7">
        <v>137.0</v>
      </c>
      <c r="G202" s="6" t="s">
        <v>21</v>
      </c>
      <c r="H202" s="7" t="s">
        <v>36</v>
      </c>
      <c r="I202" s="8">
        <v>46177.0</v>
      </c>
      <c r="J202" s="9" t="s">
        <v>23</v>
      </c>
      <c r="L202" s="10">
        <v>0.3125</v>
      </c>
      <c r="M202" s="10">
        <v>0.875</v>
      </c>
      <c r="N202" s="6" t="s">
        <v>1068</v>
      </c>
      <c r="O202" s="11">
        <v>-7.2661066E7</v>
      </c>
      <c r="P202" s="11">
        <v>1.127631424E9</v>
      </c>
      <c r="Q202" s="12" t="s">
        <v>1069</v>
      </c>
    </row>
    <row r="203">
      <c r="A203" s="13">
        <f t="shared" si="1"/>
        <v>202</v>
      </c>
      <c r="B203" s="6" t="s">
        <v>1070</v>
      </c>
      <c r="C203" s="6" t="s">
        <v>1071</v>
      </c>
      <c r="D203" s="6" t="s">
        <v>34</v>
      </c>
      <c r="E203" s="6" t="s">
        <v>1072</v>
      </c>
      <c r="F203" s="7">
        <v>2794.0</v>
      </c>
      <c r="G203" s="6" t="s">
        <v>21</v>
      </c>
      <c r="H203" s="7" t="s">
        <v>22</v>
      </c>
      <c r="I203" s="8">
        <v>46238.0</v>
      </c>
      <c r="J203" s="9" t="s">
        <v>23</v>
      </c>
      <c r="L203" s="10">
        <v>0.6666666666666666</v>
      </c>
      <c r="M203" s="10">
        <v>0.0</v>
      </c>
      <c r="N203" s="6" t="s">
        <v>1073</v>
      </c>
      <c r="O203" s="11">
        <v>-7.2808456E7</v>
      </c>
      <c r="P203" s="11">
        <v>1.127465747E9</v>
      </c>
      <c r="Q203" s="12" t="s">
        <v>1074</v>
      </c>
    </row>
    <row r="204">
      <c r="A204" s="13">
        <f t="shared" si="1"/>
        <v>203</v>
      </c>
      <c r="B204" s="6" t="s">
        <v>1075</v>
      </c>
      <c r="C204" s="6" t="s">
        <v>1076</v>
      </c>
      <c r="D204" s="6" t="s">
        <v>46</v>
      </c>
      <c r="E204" s="6" t="s">
        <v>1077</v>
      </c>
      <c r="F204" s="7">
        <v>227.0</v>
      </c>
      <c r="G204" s="6" t="s">
        <v>21</v>
      </c>
      <c r="H204" s="7">
        <v>0.0</v>
      </c>
      <c r="I204" s="8">
        <v>46057.0</v>
      </c>
      <c r="J204" s="9" t="s">
        <v>23</v>
      </c>
      <c r="L204" s="10">
        <v>0.0</v>
      </c>
      <c r="M204" s="10">
        <v>0.9993055555555556</v>
      </c>
      <c r="N204" s="6" t="s">
        <v>1078</v>
      </c>
      <c r="O204" s="11">
        <v>-7.2149459E7</v>
      </c>
      <c r="P204" s="11">
        <v>1.127284977E9</v>
      </c>
      <c r="Q204" s="12" t="s">
        <v>1079</v>
      </c>
    </row>
    <row r="205">
      <c r="A205" s="13">
        <f t="shared" si="1"/>
        <v>204</v>
      </c>
      <c r="B205" s="6" t="s">
        <v>1080</v>
      </c>
      <c r="C205" s="6" t="s">
        <v>1081</v>
      </c>
      <c r="D205" s="6" t="s">
        <v>34</v>
      </c>
      <c r="E205" s="6" t="s">
        <v>1082</v>
      </c>
      <c r="F205" s="7">
        <v>837.0</v>
      </c>
      <c r="G205" s="6" t="s">
        <v>21</v>
      </c>
      <c r="H205" s="7" t="s">
        <v>36</v>
      </c>
      <c r="I205" s="8">
        <v>46177.0</v>
      </c>
      <c r="J205" s="9" t="s">
        <v>23</v>
      </c>
      <c r="L205" s="10">
        <v>0.3854166666666667</v>
      </c>
      <c r="M205" s="10">
        <v>0.8333333333333334</v>
      </c>
      <c r="N205" s="6" t="s">
        <v>1083</v>
      </c>
      <c r="O205" s="11">
        <v>-7.2600363E7</v>
      </c>
      <c r="P205" s="11">
        <v>1.126640576E9</v>
      </c>
      <c r="Q205" s="12" t="s">
        <v>1084</v>
      </c>
    </row>
    <row r="206">
      <c r="A206" s="13">
        <f t="shared" si="1"/>
        <v>205</v>
      </c>
      <c r="B206" s="6" t="s">
        <v>1085</v>
      </c>
      <c r="C206" s="6" t="s">
        <v>1086</v>
      </c>
      <c r="D206" s="6" t="s">
        <v>34</v>
      </c>
      <c r="E206" s="6" t="s">
        <v>912</v>
      </c>
      <c r="F206" s="7">
        <v>1186.0</v>
      </c>
      <c r="G206" s="6" t="s">
        <v>21</v>
      </c>
      <c r="H206" s="7" t="s">
        <v>22</v>
      </c>
      <c r="I206" s="8">
        <v>46116.0</v>
      </c>
      <c r="J206" s="9" t="s">
        <v>23</v>
      </c>
      <c r="L206" s="10">
        <v>0.5</v>
      </c>
      <c r="M206" s="10">
        <v>0.875</v>
      </c>
      <c r="N206" s="6" t="s">
        <v>1087</v>
      </c>
      <c r="O206" s="11">
        <v>-7.2772673E7</v>
      </c>
      <c r="P206" s="11">
        <v>1.127080909E9</v>
      </c>
      <c r="Q206" s="12" t="s">
        <v>1088</v>
      </c>
    </row>
    <row r="207">
      <c r="A207" s="13">
        <f t="shared" si="1"/>
        <v>206</v>
      </c>
      <c r="B207" s="6" t="s">
        <v>1089</v>
      </c>
      <c r="C207" s="6" t="s">
        <v>1090</v>
      </c>
      <c r="D207" s="6" t="s">
        <v>34</v>
      </c>
      <c r="E207" s="6" t="s">
        <v>1091</v>
      </c>
      <c r="F207" s="7">
        <v>166.0</v>
      </c>
      <c r="G207" s="6" t="s">
        <v>21</v>
      </c>
      <c r="H207" s="7" t="s">
        <v>36</v>
      </c>
      <c r="I207" s="7" t="s">
        <v>314</v>
      </c>
      <c r="J207" s="9" t="s">
        <v>23</v>
      </c>
      <c r="L207" s="10">
        <v>0.07083333333333333</v>
      </c>
      <c r="M207" s="10">
        <v>0.07083333333333333</v>
      </c>
      <c r="N207" s="6" t="s">
        <v>1092</v>
      </c>
      <c r="O207" s="11">
        <v>-7.2812663E7</v>
      </c>
      <c r="P207" s="11">
        <v>1.127386752E9</v>
      </c>
      <c r="Q207" s="12" t="s">
        <v>1093</v>
      </c>
    </row>
    <row r="208">
      <c r="A208" s="13">
        <f t="shared" si="1"/>
        <v>207</v>
      </c>
      <c r="B208" s="6" t="s">
        <v>1094</v>
      </c>
      <c r="C208" s="6" t="s">
        <v>1095</v>
      </c>
      <c r="D208" s="6" t="s">
        <v>34</v>
      </c>
      <c r="E208" s="6" t="s">
        <v>871</v>
      </c>
      <c r="F208" s="7">
        <v>1079.0</v>
      </c>
      <c r="G208" s="6" t="s">
        <v>21</v>
      </c>
      <c r="H208" s="7" t="s">
        <v>22</v>
      </c>
      <c r="I208" s="8">
        <v>46207.0</v>
      </c>
      <c r="J208" s="9" t="s">
        <v>23</v>
      </c>
      <c r="L208" s="10">
        <v>0.25</v>
      </c>
      <c r="M208" s="10">
        <v>0.6875</v>
      </c>
      <c r="N208" s="6" t="s">
        <v>1096</v>
      </c>
      <c r="O208" s="11">
        <v>-7.2768535E7</v>
      </c>
      <c r="P208" s="11">
        <v>1.127354619E9</v>
      </c>
      <c r="Q208" s="12" t="s">
        <v>1097</v>
      </c>
    </row>
    <row r="209">
      <c r="A209" s="13">
        <f t="shared" si="1"/>
        <v>208</v>
      </c>
      <c r="B209" s="6" t="s">
        <v>1098</v>
      </c>
      <c r="C209" s="6" t="s">
        <v>1099</v>
      </c>
      <c r="D209" s="6" t="s">
        <v>34</v>
      </c>
      <c r="E209" s="6" t="s">
        <v>1100</v>
      </c>
      <c r="F209" s="7">
        <v>609.0</v>
      </c>
      <c r="G209" s="6" t="s">
        <v>21</v>
      </c>
      <c r="H209" s="7" t="s">
        <v>1101</v>
      </c>
      <c r="I209" s="8">
        <v>46207.0</v>
      </c>
      <c r="J209" s="9" t="s">
        <v>23</v>
      </c>
      <c r="L209" s="10">
        <v>0.4583333333333333</v>
      </c>
      <c r="M209" s="10">
        <v>0.9166666666666666</v>
      </c>
      <c r="N209" s="6" t="s">
        <v>1102</v>
      </c>
      <c r="O209" s="11">
        <v>-7.2846868E7</v>
      </c>
      <c r="P209" s="11">
        <v>1.127385554E9</v>
      </c>
      <c r="Q209" s="12" t="s">
        <v>1103</v>
      </c>
    </row>
    <row r="210">
      <c r="A210" s="13">
        <f t="shared" si="1"/>
        <v>209</v>
      </c>
      <c r="B210" s="6" t="s">
        <v>1104</v>
      </c>
      <c r="C210" s="6" t="s">
        <v>1105</v>
      </c>
      <c r="D210" s="6" t="s">
        <v>34</v>
      </c>
      <c r="E210" s="6" t="s">
        <v>1105</v>
      </c>
      <c r="F210" s="7">
        <v>3922.0</v>
      </c>
      <c r="G210" s="6" t="s">
        <v>21</v>
      </c>
      <c r="H210" s="7" t="s">
        <v>22</v>
      </c>
      <c r="I210" s="8">
        <v>46116.0</v>
      </c>
      <c r="J210" s="9" t="s">
        <v>23</v>
      </c>
      <c r="L210" s="10">
        <v>0.2916666666666667</v>
      </c>
      <c r="M210" s="10">
        <v>0.9166666666666666</v>
      </c>
      <c r="N210" s="6" t="s">
        <v>1106</v>
      </c>
      <c r="O210" s="11">
        <v>-7.2525296E7</v>
      </c>
      <c r="P210" s="11">
        <v>1.127440718E9</v>
      </c>
      <c r="Q210" s="12" t="s">
        <v>1107</v>
      </c>
    </row>
    <row r="211">
      <c r="A211" s="13">
        <f t="shared" si="1"/>
        <v>210</v>
      </c>
      <c r="B211" s="6" t="s">
        <v>1108</v>
      </c>
      <c r="C211" s="6" t="s">
        <v>1109</v>
      </c>
      <c r="D211" s="6" t="s">
        <v>19</v>
      </c>
      <c r="E211" s="6" t="s">
        <v>1110</v>
      </c>
      <c r="F211" s="7">
        <v>1100.0</v>
      </c>
      <c r="G211" s="6" t="s">
        <v>21</v>
      </c>
      <c r="H211" s="7" t="s">
        <v>649</v>
      </c>
      <c r="I211" s="8">
        <v>46177.0</v>
      </c>
      <c r="J211" s="9" t="s">
        <v>23</v>
      </c>
      <c r="L211" s="10">
        <v>0.2916666666666667</v>
      </c>
      <c r="M211" s="10">
        <v>0.875</v>
      </c>
      <c r="N211" s="6" t="s">
        <v>1111</v>
      </c>
      <c r="O211" s="11">
        <v>-7.2914316E7</v>
      </c>
      <c r="P211" s="11">
        <v>1.126856682E9</v>
      </c>
      <c r="Q211" s="12" t="s">
        <v>1112</v>
      </c>
    </row>
    <row r="212">
      <c r="A212" s="13">
        <f t="shared" si="1"/>
        <v>211</v>
      </c>
      <c r="B212" s="9" t="s">
        <v>1113</v>
      </c>
      <c r="C212" s="49" t="s">
        <v>1114</v>
      </c>
      <c r="D212" s="9" t="s">
        <v>46</v>
      </c>
      <c r="E212" s="25" t="s">
        <v>1115</v>
      </c>
      <c r="F212" s="16">
        <v>3553.0</v>
      </c>
      <c r="G212" s="9" t="s">
        <v>21</v>
      </c>
      <c r="H212" s="26">
        <v>0.0</v>
      </c>
      <c r="I212" s="17">
        <v>46146.0</v>
      </c>
      <c r="J212" s="9" t="s">
        <v>23</v>
      </c>
      <c r="K212" s="9"/>
      <c r="L212" s="18">
        <v>0.25</v>
      </c>
      <c r="M212" s="18">
        <v>0.875</v>
      </c>
      <c r="N212" s="19" t="s">
        <v>1116</v>
      </c>
      <c r="O212" s="20" t="str">
        <f>IFERROR(__xludf.DUMMYFUNCTION("REGEXEXTRACT(N212,""^-?[0-9.]+"")"),"-7.240776499435273")</f>
        <v>-7.240776499435273</v>
      </c>
      <c r="P212" s="21" t="str">
        <f>IFERROR(__xludf.DUMMYFUNCTION("REGEXEXTRACT(N212,"",\s*(-?[0-9.]+)"")"),"112.6250084")</f>
        <v>112.6250084</v>
      </c>
      <c r="Q212" s="22" t="s">
        <v>1117</v>
      </c>
      <c r="R212" s="23"/>
      <c r="S212" s="23"/>
      <c r="T212" s="23"/>
      <c r="U212" s="23"/>
      <c r="V212" s="23"/>
      <c r="W212" s="23"/>
      <c r="X212" s="23"/>
      <c r="Y212" s="23"/>
      <c r="Z212" s="23"/>
      <c r="AA212" s="23"/>
      <c r="AB212" s="23"/>
      <c r="AC212" s="23"/>
      <c r="AD212" s="23"/>
      <c r="AE212" s="23"/>
    </row>
    <row r="213">
      <c r="A213" s="13">
        <f t="shared" si="1"/>
        <v>212</v>
      </c>
      <c r="B213" s="9" t="s">
        <v>1118</v>
      </c>
      <c r="C213" s="49" t="s">
        <v>1119</v>
      </c>
      <c r="D213" s="9" t="s">
        <v>19</v>
      </c>
      <c r="E213" s="25" t="s">
        <v>1120</v>
      </c>
      <c r="F213" s="16">
        <v>379.0</v>
      </c>
      <c r="G213" s="9" t="s">
        <v>21</v>
      </c>
      <c r="H213" s="26" t="s">
        <v>643</v>
      </c>
      <c r="I213" s="17">
        <v>46177.0</v>
      </c>
      <c r="J213" s="9" t="s">
        <v>23</v>
      </c>
      <c r="K213" s="9"/>
      <c r="L213" s="18">
        <v>0.4166666666666667</v>
      </c>
      <c r="M213" s="18">
        <v>0.9166666666666666</v>
      </c>
      <c r="N213" s="19" t="s">
        <v>1121</v>
      </c>
      <c r="O213" s="20" t="str">
        <f>IFERROR(__xludf.DUMMYFUNCTION("REGEXEXTRACT(N213,""^-?[0-9.]+"")"),"-7.260689672741176")</f>
        <v>-7.260689672741176</v>
      </c>
      <c r="P213" s="21" t="str">
        <f>IFERROR(__xludf.DUMMYFUNCTION("REGEXEXTRACT(N213,"",\s*(-?[0-9.]+)"")"),"112.74083752209022")</f>
        <v>112.74083752209022</v>
      </c>
      <c r="Q213" s="22" t="s">
        <v>1122</v>
      </c>
      <c r="R213" s="23"/>
      <c r="S213" s="23"/>
      <c r="T213" s="23"/>
      <c r="U213" s="23"/>
      <c r="V213" s="23"/>
      <c r="W213" s="23"/>
      <c r="X213" s="23"/>
      <c r="Y213" s="23"/>
      <c r="Z213" s="23"/>
      <c r="AA213" s="23"/>
      <c r="AB213" s="23"/>
      <c r="AC213" s="23"/>
      <c r="AD213" s="23"/>
      <c r="AE213" s="23"/>
    </row>
    <row r="214">
      <c r="A214" s="13">
        <f t="shared" si="1"/>
        <v>213</v>
      </c>
      <c r="B214" s="6" t="s">
        <v>1123</v>
      </c>
      <c r="C214" s="6" t="s">
        <v>1124</v>
      </c>
      <c r="D214" s="6" t="s">
        <v>34</v>
      </c>
      <c r="E214" s="6" t="s">
        <v>1062</v>
      </c>
      <c r="F214" s="7">
        <v>422.0</v>
      </c>
      <c r="G214" s="6" t="s">
        <v>21</v>
      </c>
      <c r="H214" s="7" t="s">
        <v>36</v>
      </c>
      <c r="I214" s="8">
        <v>46177.0</v>
      </c>
      <c r="J214" s="9" t="s">
        <v>23</v>
      </c>
      <c r="L214" s="10">
        <v>0.4583333333333333</v>
      </c>
      <c r="M214" s="10">
        <v>0.9166666666666666</v>
      </c>
      <c r="N214" s="6" t="s">
        <v>1125</v>
      </c>
      <c r="O214" s="11">
        <v>-7.2668155E7</v>
      </c>
      <c r="P214" s="11">
        <v>1.126563306E9</v>
      </c>
      <c r="Q214" s="12" t="s">
        <v>1126</v>
      </c>
    </row>
    <row r="215">
      <c r="A215" s="13">
        <f t="shared" si="1"/>
        <v>214</v>
      </c>
      <c r="B215" s="6" t="s">
        <v>1127</v>
      </c>
      <c r="C215" s="6" t="s">
        <v>1128</v>
      </c>
      <c r="D215" s="6" t="s">
        <v>19</v>
      </c>
      <c r="E215" s="6" t="s">
        <v>1129</v>
      </c>
      <c r="F215" s="7">
        <v>25.0</v>
      </c>
      <c r="G215" s="6" t="s">
        <v>21</v>
      </c>
      <c r="H215" s="7" t="s">
        <v>221</v>
      </c>
      <c r="I215" s="8">
        <v>46238.0</v>
      </c>
      <c r="J215" s="9" t="s">
        <v>23</v>
      </c>
      <c r="L215" s="10">
        <v>0.2916666666666667</v>
      </c>
      <c r="M215" s="10">
        <v>0.9166666666666666</v>
      </c>
      <c r="N215" s="6" t="s">
        <v>1130</v>
      </c>
      <c r="O215" s="11">
        <v>-7.2569375E7</v>
      </c>
      <c r="P215" s="11">
        <v>1.127365341E9</v>
      </c>
      <c r="Q215" s="12" t="s">
        <v>1131</v>
      </c>
    </row>
    <row r="216">
      <c r="A216" s="13">
        <f t="shared" si="1"/>
        <v>215</v>
      </c>
      <c r="B216" s="6" t="s">
        <v>1132</v>
      </c>
      <c r="C216" s="6" t="s">
        <v>1133</v>
      </c>
      <c r="D216" s="6" t="s">
        <v>34</v>
      </c>
      <c r="E216" s="6" t="s">
        <v>1134</v>
      </c>
      <c r="F216" s="7">
        <v>203.0</v>
      </c>
      <c r="G216" s="6" t="s">
        <v>21</v>
      </c>
      <c r="H216" s="7" t="s">
        <v>36</v>
      </c>
      <c r="I216" s="8">
        <v>46116.0</v>
      </c>
      <c r="J216" s="9" t="s">
        <v>23</v>
      </c>
      <c r="L216" s="10">
        <v>0.2916666666666667</v>
      </c>
      <c r="M216" s="10">
        <v>0.8333333333333334</v>
      </c>
      <c r="N216" s="6" t="s">
        <v>1135</v>
      </c>
      <c r="O216" s="11">
        <v>-7.2870201E7</v>
      </c>
      <c r="P216" s="11">
        <v>1.127805159E9</v>
      </c>
      <c r="Q216" s="12" t="s">
        <v>1136</v>
      </c>
    </row>
    <row r="217">
      <c r="A217" s="13">
        <f t="shared" si="1"/>
        <v>216</v>
      </c>
      <c r="B217" s="6" t="s">
        <v>1137</v>
      </c>
      <c r="C217" s="6" t="s">
        <v>1138</v>
      </c>
      <c r="D217" s="6" t="s">
        <v>34</v>
      </c>
      <c r="E217" s="6" t="s">
        <v>1139</v>
      </c>
      <c r="F217" s="7">
        <v>1480.0</v>
      </c>
      <c r="G217" s="6" t="s">
        <v>21</v>
      </c>
      <c r="H217" s="7" t="s">
        <v>36</v>
      </c>
      <c r="I217" s="8">
        <v>46177.0</v>
      </c>
      <c r="J217" s="9" t="s">
        <v>23</v>
      </c>
      <c r="L217" s="10">
        <v>0.4166666666666667</v>
      </c>
      <c r="M217" s="10">
        <v>0.9791666666666666</v>
      </c>
      <c r="N217" s="6" t="s">
        <v>1140</v>
      </c>
      <c r="O217" s="11">
        <v>-7.3009369E7</v>
      </c>
      <c r="P217" s="11">
        <v>1.127358409E9</v>
      </c>
      <c r="Q217" s="12" t="s">
        <v>1141</v>
      </c>
    </row>
    <row r="218">
      <c r="A218" s="13">
        <f t="shared" si="1"/>
        <v>217</v>
      </c>
      <c r="B218" s="6" t="s">
        <v>1142</v>
      </c>
      <c r="C218" s="6" t="s">
        <v>1143</v>
      </c>
      <c r="D218" s="6" t="s">
        <v>34</v>
      </c>
      <c r="E218" s="6" t="s">
        <v>1144</v>
      </c>
      <c r="F218" s="7">
        <v>197.0</v>
      </c>
      <c r="G218" s="6" t="s">
        <v>21</v>
      </c>
      <c r="H218" s="7">
        <v>250000.0</v>
      </c>
      <c r="I218" s="8">
        <v>46146.0</v>
      </c>
      <c r="J218" s="9" t="s">
        <v>23</v>
      </c>
      <c r="L218" s="10">
        <v>0.4583333333333333</v>
      </c>
      <c r="M218" s="10">
        <v>0.9166666666666666</v>
      </c>
      <c r="N218" s="6" t="s">
        <v>1145</v>
      </c>
      <c r="O218" s="11">
        <v>-7.2850537E7</v>
      </c>
      <c r="P218" s="11">
        <v>1.127376747E9</v>
      </c>
      <c r="Q218" s="12" t="s">
        <v>1146</v>
      </c>
    </row>
    <row r="219">
      <c r="A219" s="13">
        <f t="shared" si="1"/>
        <v>218</v>
      </c>
      <c r="B219" s="6" t="s">
        <v>1147</v>
      </c>
      <c r="C219" s="6" t="s">
        <v>1148</v>
      </c>
      <c r="D219" s="6" t="s">
        <v>34</v>
      </c>
      <c r="E219" s="6" t="s">
        <v>1149</v>
      </c>
      <c r="F219" s="7">
        <v>548.0</v>
      </c>
      <c r="G219" s="6" t="s">
        <v>21</v>
      </c>
      <c r="H219" s="7" t="s">
        <v>36</v>
      </c>
      <c r="I219" s="8">
        <v>46177.0</v>
      </c>
      <c r="J219" s="9" t="s">
        <v>23</v>
      </c>
      <c r="L219" s="10">
        <v>0.2708333333333333</v>
      </c>
      <c r="M219" s="10">
        <v>0.6458333333333334</v>
      </c>
      <c r="N219" s="6" t="s">
        <v>1150</v>
      </c>
      <c r="O219" s="11">
        <v>-7.2831142E7</v>
      </c>
      <c r="P219" s="11">
        <v>1.127375446E9</v>
      </c>
      <c r="Q219" s="12" t="s">
        <v>1151</v>
      </c>
    </row>
    <row r="220">
      <c r="A220" s="13">
        <f t="shared" si="1"/>
        <v>219</v>
      </c>
      <c r="B220" s="6" t="s">
        <v>1152</v>
      </c>
      <c r="C220" s="6" t="s">
        <v>1153</v>
      </c>
      <c r="D220" s="6" t="s">
        <v>34</v>
      </c>
      <c r="E220" s="6" t="s">
        <v>1091</v>
      </c>
      <c r="F220" s="7">
        <v>274.0</v>
      </c>
      <c r="G220" s="6" t="s">
        <v>21</v>
      </c>
      <c r="H220" s="7" t="s">
        <v>22</v>
      </c>
      <c r="I220" s="8">
        <v>46085.0</v>
      </c>
      <c r="J220" s="9" t="s">
        <v>23</v>
      </c>
      <c r="L220" s="10">
        <v>0.375</v>
      </c>
      <c r="M220" s="10">
        <v>0.08333333333333333</v>
      </c>
      <c r="N220" s="6" t="s">
        <v>1154</v>
      </c>
      <c r="O220" s="11">
        <v>-7.2750425E7</v>
      </c>
      <c r="P220" s="11">
        <v>1.127622081E9</v>
      </c>
      <c r="Q220" s="12" t="s">
        <v>1155</v>
      </c>
    </row>
    <row r="221">
      <c r="A221" s="13">
        <f t="shared" si="1"/>
        <v>220</v>
      </c>
      <c r="B221" s="6" t="s">
        <v>1156</v>
      </c>
      <c r="C221" s="6" t="s">
        <v>1157</v>
      </c>
      <c r="D221" s="6" t="s">
        <v>19</v>
      </c>
      <c r="E221" s="6" t="s">
        <v>1158</v>
      </c>
      <c r="F221" s="7">
        <v>640.0</v>
      </c>
      <c r="G221" s="6" t="s">
        <v>21</v>
      </c>
      <c r="H221" s="7" t="s">
        <v>22</v>
      </c>
      <c r="I221" s="8">
        <v>46116.0</v>
      </c>
      <c r="J221" s="9" t="s">
        <v>23</v>
      </c>
      <c r="L221" s="10">
        <v>0.4166666666666667</v>
      </c>
      <c r="M221" s="10">
        <v>0.9166666666666666</v>
      </c>
      <c r="N221" s="6" t="s">
        <v>1159</v>
      </c>
      <c r="O221" s="11">
        <v>-7.2733607E7</v>
      </c>
      <c r="P221" s="11">
        <v>1.127491388E9</v>
      </c>
      <c r="Q221" s="12" t="s">
        <v>1160</v>
      </c>
    </row>
    <row r="222">
      <c r="A222" s="13">
        <f t="shared" si="1"/>
        <v>221</v>
      </c>
      <c r="B222" s="6" t="s">
        <v>1161</v>
      </c>
      <c r="C222" s="6" t="s">
        <v>1162</v>
      </c>
      <c r="D222" s="6" t="s">
        <v>34</v>
      </c>
      <c r="E222" s="6" t="s">
        <v>1162</v>
      </c>
      <c r="F222" s="7">
        <v>34.0</v>
      </c>
      <c r="G222" s="6" t="s">
        <v>21</v>
      </c>
      <c r="H222" s="7" t="s">
        <v>22</v>
      </c>
      <c r="I222" s="8">
        <v>46238.0</v>
      </c>
      <c r="J222" s="27" t="s">
        <v>65</v>
      </c>
      <c r="K222" s="6" t="s">
        <v>66</v>
      </c>
      <c r="L222" s="10">
        <v>0.4583333333333333</v>
      </c>
      <c r="M222" s="10">
        <v>0.8541666666666666</v>
      </c>
      <c r="N222" s="6" t="s">
        <v>1163</v>
      </c>
      <c r="O222" s="11">
        <v>-7.3254837E7</v>
      </c>
      <c r="P222" s="11">
        <v>1.127812799E9</v>
      </c>
      <c r="Q222" s="12" t="s">
        <v>1164</v>
      </c>
    </row>
    <row r="223">
      <c r="A223" s="13">
        <f t="shared" si="1"/>
        <v>222</v>
      </c>
      <c r="B223" s="6" t="s">
        <v>1165</v>
      </c>
      <c r="C223" s="6" t="s">
        <v>1166</v>
      </c>
      <c r="D223" s="6" t="s">
        <v>19</v>
      </c>
      <c r="E223" s="6" t="s">
        <v>1167</v>
      </c>
      <c r="F223" s="7">
        <v>655.0</v>
      </c>
      <c r="G223" s="6" t="s">
        <v>21</v>
      </c>
      <c r="H223" s="7" t="s">
        <v>649</v>
      </c>
      <c r="I223" s="8">
        <v>46146.0</v>
      </c>
      <c r="J223" s="9" t="s">
        <v>23</v>
      </c>
      <c r="L223" s="10">
        <v>0.375</v>
      </c>
      <c r="M223" s="10">
        <v>0.9166666666666666</v>
      </c>
      <c r="N223" s="6" t="s">
        <v>1168</v>
      </c>
      <c r="O223" s="11">
        <v>-7.2781638E7</v>
      </c>
      <c r="P223" s="11">
        <v>1.126454116E9</v>
      </c>
      <c r="Q223" s="12" t="s">
        <v>1169</v>
      </c>
    </row>
    <row r="224">
      <c r="A224" s="13">
        <f t="shared" si="1"/>
        <v>223</v>
      </c>
      <c r="B224" s="6" t="s">
        <v>1170</v>
      </c>
      <c r="C224" s="6" t="s">
        <v>1171</v>
      </c>
      <c r="D224" s="6" t="s">
        <v>34</v>
      </c>
      <c r="E224" s="6" t="s">
        <v>1172</v>
      </c>
      <c r="F224" s="7">
        <v>672.0</v>
      </c>
      <c r="G224" s="6" t="s">
        <v>21</v>
      </c>
      <c r="H224" s="7" t="s">
        <v>1173</v>
      </c>
      <c r="I224" s="8">
        <v>46146.0</v>
      </c>
      <c r="J224" s="9" t="s">
        <v>23</v>
      </c>
      <c r="L224" s="10">
        <v>0.4583333333333333</v>
      </c>
      <c r="M224" s="10">
        <v>0.8541666666666666</v>
      </c>
      <c r="N224" s="6" t="s">
        <v>1174</v>
      </c>
      <c r="O224" s="11">
        <v>-7299577.0</v>
      </c>
      <c r="P224" s="11">
        <v>1.12706895E8</v>
      </c>
      <c r="Q224" s="12" t="s">
        <v>1175</v>
      </c>
    </row>
    <row r="225">
      <c r="A225" s="13">
        <f t="shared" si="1"/>
        <v>224</v>
      </c>
      <c r="B225" s="6" t="s">
        <v>1176</v>
      </c>
      <c r="C225" s="6" t="s">
        <v>1177</v>
      </c>
      <c r="D225" s="6" t="s">
        <v>34</v>
      </c>
      <c r="E225" s="6" t="s">
        <v>1178</v>
      </c>
      <c r="F225" s="7">
        <v>752.0</v>
      </c>
      <c r="G225" s="6" t="s">
        <v>21</v>
      </c>
      <c r="H225" s="7" t="s">
        <v>131</v>
      </c>
      <c r="I225" s="8">
        <v>46116.0</v>
      </c>
      <c r="J225" s="9" t="s">
        <v>23</v>
      </c>
      <c r="L225" s="10">
        <v>0.7083333333333334</v>
      </c>
      <c r="M225" s="10">
        <v>0.9166666666666666</v>
      </c>
      <c r="N225" s="6" t="s">
        <v>1179</v>
      </c>
      <c r="O225" s="11">
        <v>-7.2837264E7</v>
      </c>
      <c r="P225" s="11">
        <v>1.127559216E9</v>
      </c>
      <c r="Q225" s="12" t="s">
        <v>1180</v>
      </c>
    </row>
    <row r="226">
      <c r="A226" s="13">
        <f t="shared" si="1"/>
        <v>225</v>
      </c>
      <c r="B226" s="6" t="s">
        <v>1181</v>
      </c>
      <c r="C226" s="6" t="s">
        <v>1182</v>
      </c>
      <c r="D226" s="6" t="s">
        <v>34</v>
      </c>
      <c r="E226" s="6" t="s">
        <v>1050</v>
      </c>
      <c r="F226" s="7">
        <v>386.0</v>
      </c>
      <c r="G226" s="6" t="s">
        <v>21</v>
      </c>
      <c r="H226" s="7" t="s">
        <v>36</v>
      </c>
      <c r="I226" s="8">
        <v>46177.0</v>
      </c>
      <c r="J226" s="9" t="s">
        <v>23</v>
      </c>
      <c r="L226" s="10">
        <v>0.2916666666666667</v>
      </c>
      <c r="M226" s="10">
        <v>0.875</v>
      </c>
      <c r="N226" s="6" t="s">
        <v>1183</v>
      </c>
      <c r="O226" s="11">
        <v>-7.2585129E7</v>
      </c>
      <c r="P226" s="11">
        <v>1.127731858E9</v>
      </c>
      <c r="Q226" s="12" t="s">
        <v>1184</v>
      </c>
    </row>
    <row r="227">
      <c r="A227" s="13">
        <f t="shared" si="1"/>
        <v>226</v>
      </c>
      <c r="B227" s="6" t="s">
        <v>1185</v>
      </c>
      <c r="C227" s="6" t="s">
        <v>1186</v>
      </c>
      <c r="D227" s="6" t="s">
        <v>46</v>
      </c>
      <c r="E227" s="6" t="s">
        <v>1187</v>
      </c>
      <c r="F227" s="7">
        <v>200.0</v>
      </c>
      <c r="G227" s="6" t="s">
        <v>21</v>
      </c>
      <c r="H227" s="7">
        <v>0.0</v>
      </c>
      <c r="I227" s="8">
        <v>46026.0</v>
      </c>
      <c r="J227" s="9" t="s">
        <v>23</v>
      </c>
      <c r="L227" s="10">
        <v>0.0</v>
      </c>
      <c r="M227" s="10">
        <v>0.9993055555555556</v>
      </c>
      <c r="N227" s="6" t="s">
        <v>1188</v>
      </c>
      <c r="O227" s="11">
        <v>-7.2285243E7</v>
      </c>
      <c r="P227" s="11">
        <v>1.127221888E9</v>
      </c>
      <c r="Q227" s="12" t="s">
        <v>1189</v>
      </c>
    </row>
    <row r="228">
      <c r="A228" s="13">
        <f t="shared" si="1"/>
        <v>227</v>
      </c>
      <c r="B228" s="6" t="s">
        <v>1190</v>
      </c>
      <c r="C228" s="6" t="s">
        <v>1191</v>
      </c>
      <c r="D228" s="6" t="s">
        <v>34</v>
      </c>
      <c r="E228" s="6" t="s">
        <v>1192</v>
      </c>
      <c r="F228" s="7">
        <v>849.0</v>
      </c>
      <c r="G228" s="6" t="s">
        <v>21</v>
      </c>
      <c r="H228" s="7" t="s">
        <v>36</v>
      </c>
      <c r="I228" s="8">
        <v>46207.0</v>
      </c>
      <c r="J228" s="27" t="s">
        <v>65</v>
      </c>
      <c r="K228" s="6" t="s">
        <v>66</v>
      </c>
      <c r="L228" s="10">
        <v>0.4166666666666667</v>
      </c>
      <c r="M228" s="10">
        <v>0.8958333333333334</v>
      </c>
      <c r="N228" s="6" t="s">
        <v>1193</v>
      </c>
      <c r="O228" s="11">
        <v>-731227.0</v>
      </c>
      <c r="P228" s="11">
        <v>1.127122539E9</v>
      </c>
      <c r="Q228" s="12" t="s">
        <v>1194</v>
      </c>
    </row>
    <row r="229">
      <c r="A229" s="13">
        <f t="shared" si="1"/>
        <v>228</v>
      </c>
      <c r="B229" s="45" t="s">
        <v>1195</v>
      </c>
      <c r="C229" s="45" t="s">
        <v>1196</v>
      </c>
      <c r="D229" s="45" t="s">
        <v>46</v>
      </c>
      <c r="E229" s="45" t="s">
        <v>1197</v>
      </c>
      <c r="F229" s="28">
        <v>3417.0</v>
      </c>
      <c r="G229" s="45" t="s">
        <v>21</v>
      </c>
      <c r="H229" s="45">
        <v>0.0</v>
      </c>
      <c r="I229" s="29">
        <v>46177.0</v>
      </c>
      <c r="J229" s="9" t="s">
        <v>23</v>
      </c>
      <c r="K229" s="46"/>
      <c r="L229" s="47">
        <v>0.0</v>
      </c>
      <c r="M229" s="47">
        <v>0.9993055555555556</v>
      </c>
      <c r="N229" s="48" t="s">
        <v>1198</v>
      </c>
      <c r="O229" s="33" t="s">
        <v>1199</v>
      </c>
      <c r="P229" s="34" t="s">
        <v>1200</v>
      </c>
      <c r="Q229" s="42" t="s">
        <v>1201</v>
      </c>
      <c r="R229" s="43"/>
      <c r="S229" s="43"/>
      <c r="T229" s="43"/>
      <c r="U229" s="43"/>
      <c r="V229" s="43"/>
      <c r="W229" s="43"/>
      <c r="X229" s="43"/>
      <c r="Y229" s="43"/>
      <c r="Z229" s="43"/>
      <c r="AA229" s="43"/>
      <c r="AB229" s="43"/>
      <c r="AC229" s="43"/>
      <c r="AD229" s="43"/>
      <c r="AE229" s="43"/>
    </row>
    <row r="230">
      <c r="A230" s="13">
        <f t="shared" si="1"/>
        <v>229</v>
      </c>
      <c r="B230" s="6" t="s">
        <v>1202</v>
      </c>
      <c r="C230" s="6" t="s">
        <v>1203</v>
      </c>
      <c r="D230" s="6" t="s">
        <v>46</v>
      </c>
      <c r="E230" s="6" t="s">
        <v>1204</v>
      </c>
      <c r="F230" s="7">
        <v>584.0</v>
      </c>
      <c r="G230" s="6" t="s">
        <v>21</v>
      </c>
      <c r="H230" s="7">
        <v>0.0</v>
      </c>
      <c r="I230" s="8">
        <v>46146.0</v>
      </c>
      <c r="J230" s="9" t="s">
        <v>23</v>
      </c>
      <c r="L230" s="10">
        <v>0.0</v>
      </c>
      <c r="M230" s="10">
        <v>0.9993055555555556</v>
      </c>
      <c r="N230" s="6" t="s">
        <v>1205</v>
      </c>
      <c r="O230" s="11">
        <v>-7255478.0</v>
      </c>
      <c r="P230" s="11">
        <v>1.127535054E9</v>
      </c>
      <c r="Q230" s="12" t="s">
        <v>1206</v>
      </c>
    </row>
    <row r="231">
      <c r="A231" s="13">
        <f t="shared" si="1"/>
        <v>230</v>
      </c>
      <c r="B231" s="6" t="s">
        <v>1207</v>
      </c>
      <c r="C231" s="6" t="s">
        <v>1208</v>
      </c>
      <c r="D231" s="6" t="s">
        <v>34</v>
      </c>
      <c r="E231" s="6" t="s">
        <v>1209</v>
      </c>
      <c r="F231" s="7">
        <v>627.0</v>
      </c>
      <c r="G231" s="6" t="s">
        <v>21</v>
      </c>
      <c r="H231" s="7" t="s">
        <v>36</v>
      </c>
      <c r="I231" s="7" t="s">
        <v>485</v>
      </c>
      <c r="J231" s="27" t="s">
        <v>65</v>
      </c>
      <c r="K231" s="6" t="s">
        <v>66</v>
      </c>
      <c r="L231" s="10">
        <v>0.5</v>
      </c>
      <c r="M231" s="10">
        <v>0.8541666666666666</v>
      </c>
      <c r="N231" s="6" t="s">
        <v>1210</v>
      </c>
      <c r="O231" s="11">
        <v>-7.2569464E7</v>
      </c>
      <c r="P231" s="11">
        <v>1.127383488E9</v>
      </c>
      <c r="Q231" s="12" t="s">
        <v>1211</v>
      </c>
    </row>
    <row r="232">
      <c r="A232" s="13">
        <f t="shared" si="1"/>
        <v>231</v>
      </c>
      <c r="B232" s="6" t="s">
        <v>1212</v>
      </c>
      <c r="C232" s="6" t="s">
        <v>1213</v>
      </c>
      <c r="D232" s="6" t="s">
        <v>34</v>
      </c>
      <c r="E232" s="6" t="s">
        <v>1214</v>
      </c>
      <c r="F232" s="7">
        <v>3082.0</v>
      </c>
      <c r="G232" s="6" t="s">
        <v>21</v>
      </c>
      <c r="H232" s="7" t="s">
        <v>22</v>
      </c>
      <c r="I232" s="8">
        <v>46026.0</v>
      </c>
      <c r="J232" s="9" t="s">
        <v>23</v>
      </c>
      <c r="L232" s="10">
        <v>0.2916666666666667</v>
      </c>
      <c r="M232" s="10">
        <v>0.9583333333333334</v>
      </c>
      <c r="N232" s="6" t="s">
        <v>1215</v>
      </c>
      <c r="O232" s="11">
        <v>-7.2598405E7</v>
      </c>
      <c r="P232" s="11">
        <v>1.127368492E9</v>
      </c>
      <c r="Q232" s="12" t="s">
        <v>1216</v>
      </c>
    </row>
    <row r="233">
      <c r="A233" s="13">
        <f t="shared" si="1"/>
        <v>232</v>
      </c>
      <c r="B233" s="6" t="s">
        <v>1217</v>
      </c>
      <c r="C233" s="6" t="s">
        <v>1218</v>
      </c>
      <c r="D233" s="6" t="s">
        <v>19</v>
      </c>
      <c r="E233" s="6" t="s">
        <v>1219</v>
      </c>
      <c r="F233" s="7">
        <v>1103.0</v>
      </c>
      <c r="G233" s="6" t="s">
        <v>21</v>
      </c>
      <c r="H233" s="7" t="s">
        <v>22</v>
      </c>
      <c r="I233" s="8">
        <v>46146.0</v>
      </c>
      <c r="J233" s="9" t="s">
        <v>23</v>
      </c>
      <c r="L233" s="10">
        <v>0.6666666666666666</v>
      </c>
      <c r="M233" s="10">
        <v>0.0</v>
      </c>
      <c r="N233" s="6" t="s">
        <v>1220</v>
      </c>
      <c r="O233" s="11">
        <v>-7.2579476E7</v>
      </c>
      <c r="P233" s="11">
        <v>1.127573536E9</v>
      </c>
      <c r="Q233" s="12" t="s">
        <v>1221</v>
      </c>
    </row>
    <row r="234">
      <c r="A234" s="13">
        <f t="shared" si="1"/>
        <v>233</v>
      </c>
      <c r="B234" s="6" t="s">
        <v>1222</v>
      </c>
      <c r="C234" s="6" t="s">
        <v>1223</v>
      </c>
      <c r="D234" s="6" t="s">
        <v>19</v>
      </c>
      <c r="E234" s="6" t="s">
        <v>1224</v>
      </c>
      <c r="F234" s="7">
        <v>1682.0</v>
      </c>
      <c r="G234" s="6" t="s">
        <v>21</v>
      </c>
      <c r="H234" s="7" t="s">
        <v>22</v>
      </c>
      <c r="I234" s="8">
        <v>46146.0</v>
      </c>
      <c r="J234" s="9" t="s">
        <v>23</v>
      </c>
      <c r="L234" s="10">
        <v>0.4166666666666667</v>
      </c>
      <c r="M234" s="10">
        <v>0.9583333333333334</v>
      </c>
      <c r="N234" s="6" t="s">
        <v>1225</v>
      </c>
      <c r="O234" s="11">
        <v>-7.3236547E7</v>
      </c>
      <c r="P234" s="11">
        <v>1.12741669E8</v>
      </c>
      <c r="Q234" s="12" t="s">
        <v>1226</v>
      </c>
    </row>
    <row r="235">
      <c r="A235" s="13">
        <f t="shared" si="1"/>
        <v>234</v>
      </c>
      <c r="B235" s="6" t="s">
        <v>1227</v>
      </c>
      <c r="C235" s="6" t="s">
        <v>1228</v>
      </c>
      <c r="D235" s="6" t="s">
        <v>34</v>
      </c>
      <c r="E235" s="6" t="s">
        <v>1229</v>
      </c>
      <c r="F235" s="7">
        <v>712.0</v>
      </c>
      <c r="G235" s="6" t="s">
        <v>21</v>
      </c>
      <c r="H235" s="7" t="s">
        <v>36</v>
      </c>
      <c r="I235" s="8">
        <v>46207.0</v>
      </c>
      <c r="J235" s="9" t="s">
        <v>23</v>
      </c>
      <c r="L235" s="10">
        <v>0.4166666666666667</v>
      </c>
      <c r="M235" s="10">
        <v>0.875</v>
      </c>
      <c r="N235" s="6" t="s">
        <v>1230</v>
      </c>
      <c r="O235" s="11">
        <v>-7.2658331E7</v>
      </c>
      <c r="P235" s="11">
        <v>1.127273346E9</v>
      </c>
      <c r="Q235" s="12" t="s">
        <v>1231</v>
      </c>
    </row>
    <row r="236">
      <c r="A236" s="13">
        <f t="shared" si="1"/>
        <v>235</v>
      </c>
      <c r="B236" s="9" t="s">
        <v>1232</v>
      </c>
      <c r="C236" s="43" t="s">
        <v>1233</v>
      </c>
      <c r="D236" s="9" t="s">
        <v>34</v>
      </c>
      <c r="E236" s="9" t="s">
        <v>1234</v>
      </c>
      <c r="F236" s="16">
        <v>9108.0</v>
      </c>
      <c r="G236" s="9" t="s">
        <v>21</v>
      </c>
      <c r="H236" s="26" t="s">
        <v>22</v>
      </c>
      <c r="I236" s="17">
        <v>46207.0</v>
      </c>
      <c r="J236" s="9" t="s">
        <v>23</v>
      </c>
      <c r="K236" s="9"/>
      <c r="L236" s="18">
        <v>0.3333333333333333</v>
      </c>
      <c r="M236" s="18">
        <v>0.16666666666666666</v>
      </c>
      <c r="N236" s="19" t="s">
        <v>1235</v>
      </c>
      <c r="O236" s="20" t="str">
        <f>IFERROR(__xludf.DUMMYFUNCTION("REGEXEXTRACT(N236,""^-?[0-9.]+"")"),"-7.294735688780375")</f>
        <v>-7.294735688780375</v>
      </c>
      <c r="P236" s="21" t="str">
        <f>IFERROR(__xludf.DUMMYFUNCTION("REGEXEXTRACT(N236,"",\s*(-?[0-9.]+)"")"),"112.76254534722")</f>
        <v>112.76254534722</v>
      </c>
      <c r="Q236" s="22" t="s">
        <v>1236</v>
      </c>
      <c r="R236" s="43"/>
      <c r="S236" s="43"/>
      <c r="T236" s="43"/>
      <c r="U236" s="43"/>
      <c r="V236" s="43"/>
      <c r="W236" s="43"/>
      <c r="X236" s="43"/>
      <c r="Y236" s="43"/>
      <c r="Z236" s="43"/>
      <c r="AA236" s="43"/>
      <c r="AB236" s="43"/>
      <c r="AC236" s="43"/>
      <c r="AD236" s="43"/>
      <c r="AE236" s="43"/>
    </row>
    <row r="237">
      <c r="A237" s="13">
        <f t="shared" si="1"/>
        <v>236</v>
      </c>
      <c r="B237" s="6" t="s">
        <v>1237</v>
      </c>
      <c r="C237" s="6" t="s">
        <v>1238</v>
      </c>
      <c r="D237" s="6" t="s">
        <v>34</v>
      </c>
      <c r="E237" s="6" t="s">
        <v>1239</v>
      </c>
      <c r="F237" s="7">
        <v>2423.0</v>
      </c>
      <c r="G237" s="6" t="s">
        <v>21</v>
      </c>
      <c r="H237" s="7" t="s">
        <v>22</v>
      </c>
      <c r="I237" s="8">
        <v>46116.0</v>
      </c>
      <c r="J237" s="9" t="s">
        <v>23</v>
      </c>
      <c r="L237" s="10">
        <v>0.25</v>
      </c>
      <c r="M237" s="10">
        <v>0.0</v>
      </c>
      <c r="N237" s="6" t="s">
        <v>1240</v>
      </c>
      <c r="O237" s="11">
        <v>-7.2980583E7</v>
      </c>
      <c r="P237" s="11">
        <v>1.127622917E9</v>
      </c>
      <c r="Q237" s="12" t="s">
        <v>1241</v>
      </c>
    </row>
    <row r="238">
      <c r="A238" s="13">
        <f t="shared" si="1"/>
        <v>237</v>
      </c>
      <c r="B238" s="36" t="s">
        <v>1242</v>
      </c>
      <c r="C238" s="36" t="s">
        <v>1243</v>
      </c>
      <c r="D238" s="36" t="s">
        <v>34</v>
      </c>
      <c r="E238" s="36" t="s">
        <v>1244</v>
      </c>
      <c r="F238" s="16">
        <v>3613.0</v>
      </c>
      <c r="G238" s="36" t="s">
        <v>21</v>
      </c>
      <c r="H238" s="38">
        <v>50000.0</v>
      </c>
      <c r="I238" s="39">
        <v>46207.0</v>
      </c>
      <c r="J238" s="9" t="s">
        <v>23</v>
      </c>
      <c r="K238" s="40"/>
      <c r="L238" s="41">
        <v>0.4583333333333333</v>
      </c>
      <c r="M238" s="41">
        <v>0.875</v>
      </c>
      <c r="N238" s="19" t="s">
        <v>1245</v>
      </c>
      <c r="O238" s="19" t="s">
        <v>1246</v>
      </c>
      <c r="P238" s="21" t="s">
        <v>1247</v>
      </c>
      <c r="Q238" s="42" t="s">
        <v>1248</v>
      </c>
      <c r="R238" s="43"/>
      <c r="S238" s="43"/>
      <c r="T238" s="43"/>
      <c r="U238" s="43"/>
      <c r="V238" s="43"/>
      <c r="W238" s="43"/>
      <c r="X238" s="43"/>
      <c r="Y238" s="43"/>
      <c r="Z238" s="43"/>
      <c r="AA238" s="43"/>
      <c r="AB238" s="43"/>
      <c r="AC238" s="43"/>
      <c r="AD238" s="43"/>
      <c r="AE238" s="43"/>
    </row>
    <row r="239">
      <c r="A239" s="13">
        <f t="shared" si="1"/>
        <v>238</v>
      </c>
      <c r="B239" s="6" t="s">
        <v>1249</v>
      </c>
      <c r="C239" s="6" t="s">
        <v>1250</v>
      </c>
      <c r="D239" s="6" t="s">
        <v>34</v>
      </c>
      <c r="E239" s="6" t="s">
        <v>1251</v>
      </c>
      <c r="F239" s="7">
        <v>529.0</v>
      </c>
      <c r="G239" s="6" t="s">
        <v>21</v>
      </c>
      <c r="H239" s="7" t="s">
        <v>22</v>
      </c>
      <c r="I239" s="8">
        <v>46207.0</v>
      </c>
      <c r="J239" s="9" t="s">
        <v>23</v>
      </c>
      <c r="L239" s="10">
        <v>0.6666666666666666</v>
      </c>
      <c r="M239" s="10">
        <v>0.9166666666666666</v>
      </c>
      <c r="N239" s="6" t="s">
        <v>1252</v>
      </c>
      <c r="O239" s="11">
        <v>-7.2908702E7</v>
      </c>
      <c r="P239" s="11">
        <v>1.12740404E8</v>
      </c>
      <c r="Q239" s="12" t="s">
        <v>1253</v>
      </c>
    </row>
    <row r="240">
      <c r="A240" s="13">
        <f t="shared" si="1"/>
        <v>239</v>
      </c>
      <c r="B240" s="6" t="s">
        <v>1254</v>
      </c>
      <c r="C240" s="6" t="s">
        <v>1255</v>
      </c>
      <c r="D240" s="6" t="s">
        <v>46</v>
      </c>
      <c r="E240" s="6" t="s">
        <v>1204</v>
      </c>
      <c r="F240" s="7">
        <v>55.0</v>
      </c>
      <c r="G240" s="6" t="s">
        <v>21</v>
      </c>
      <c r="H240" s="7">
        <v>0.0</v>
      </c>
      <c r="I240" s="8">
        <v>46177.0</v>
      </c>
      <c r="J240" s="9" t="s">
        <v>23</v>
      </c>
      <c r="L240" s="10">
        <v>0.0</v>
      </c>
      <c r="M240" s="10">
        <v>0.9993055555555556</v>
      </c>
      <c r="N240" s="6" t="s">
        <v>1256</v>
      </c>
      <c r="O240" s="11">
        <v>-7.2667913E7</v>
      </c>
      <c r="P240" s="11">
        <v>1.12736308E8</v>
      </c>
      <c r="Q240" s="12" t="s">
        <v>1257</v>
      </c>
    </row>
    <row r="241">
      <c r="A241" s="13">
        <f t="shared" si="1"/>
        <v>240</v>
      </c>
      <c r="B241" s="6" t="s">
        <v>1258</v>
      </c>
      <c r="C241" s="6" t="s">
        <v>1259</v>
      </c>
      <c r="D241" s="6" t="s">
        <v>34</v>
      </c>
      <c r="E241" s="6" t="s">
        <v>1260</v>
      </c>
      <c r="F241" s="7">
        <v>1057.0</v>
      </c>
      <c r="G241" s="6" t="s">
        <v>21</v>
      </c>
      <c r="H241" s="7" t="s">
        <v>36</v>
      </c>
      <c r="I241" s="8">
        <v>46026.0</v>
      </c>
      <c r="J241" s="9" t="s">
        <v>23</v>
      </c>
      <c r="L241" s="10">
        <v>0.3333333333333333</v>
      </c>
      <c r="M241" s="10">
        <v>0.8958333333333334</v>
      </c>
      <c r="N241" s="6" t="s">
        <v>1261</v>
      </c>
      <c r="O241" s="11">
        <v>-7.2841903E7</v>
      </c>
      <c r="P241" s="11">
        <v>1.127580239E9</v>
      </c>
      <c r="Q241" s="12" t="s">
        <v>1262</v>
      </c>
    </row>
    <row r="242">
      <c r="A242" s="13">
        <f t="shared" si="1"/>
        <v>241</v>
      </c>
      <c r="B242" s="6" t="s">
        <v>1263</v>
      </c>
      <c r="C242" s="6" t="s">
        <v>1264</v>
      </c>
      <c r="D242" s="6" t="s">
        <v>34</v>
      </c>
      <c r="E242" s="6" t="s">
        <v>1265</v>
      </c>
      <c r="F242" s="7">
        <v>3150.0</v>
      </c>
      <c r="G242" s="6" t="s">
        <v>21</v>
      </c>
      <c r="H242" s="7" t="s">
        <v>1101</v>
      </c>
      <c r="I242" s="8">
        <v>46177.0</v>
      </c>
      <c r="J242" s="9" t="s">
        <v>23</v>
      </c>
      <c r="L242" s="10">
        <v>0.4583333333333333</v>
      </c>
      <c r="M242" s="10">
        <v>0.9166666666666666</v>
      </c>
      <c r="N242" s="6" t="s">
        <v>1266</v>
      </c>
      <c r="O242" s="11">
        <v>-7.2896333E7</v>
      </c>
      <c r="P242" s="11">
        <v>1.127423838E9</v>
      </c>
      <c r="Q242" s="12" t="s">
        <v>1267</v>
      </c>
    </row>
    <row r="243">
      <c r="A243" s="13">
        <f t="shared" si="1"/>
        <v>242</v>
      </c>
      <c r="B243" s="6" t="s">
        <v>1268</v>
      </c>
      <c r="C243" s="6" t="s">
        <v>1269</v>
      </c>
      <c r="D243" s="6" t="s">
        <v>34</v>
      </c>
      <c r="E243" s="6" t="s">
        <v>1062</v>
      </c>
      <c r="F243" s="7">
        <v>1108.0</v>
      </c>
      <c r="G243" s="6" t="s">
        <v>21</v>
      </c>
      <c r="H243" s="7" t="s">
        <v>22</v>
      </c>
      <c r="I243" s="8">
        <v>46057.0</v>
      </c>
      <c r="J243" s="27" t="s">
        <v>65</v>
      </c>
      <c r="K243" s="6" t="s">
        <v>66</v>
      </c>
      <c r="L243" s="10">
        <v>0.4375</v>
      </c>
      <c r="M243" s="10">
        <v>0.8958333333333334</v>
      </c>
      <c r="N243" s="6" t="s">
        <v>1270</v>
      </c>
      <c r="O243" s="11">
        <v>-7298061.0</v>
      </c>
      <c r="P243" s="11">
        <v>1.127510558E9</v>
      </c>
      <c r="Q243" s="12" t="s">
        <v>1271</v>
      </c>
    </row>
    <row r="244">
      <c r="A244" s="13">
        <f t="shared" si="1"/>
        <v>243</v>
      </c>
      <c r="B244" s="6" t="s">
        <v>1272</v>
      </c>
      <c r="C244" s="6" t="s">
        <v>1273</v>
      </c>
      <c r="D244" s="6" t="s">
        <v>19</v>
      </c>
      <c r="E244" s="6" t="s">
        <v>1274</v>
      </c>
      <c r="F244" s="7">
        <v>112.0</v>
      </c>
      <c r="G244" s="6" t="s">
        <v>21</v>
      </c>
      <c r="H244" s="7" t="s">
        <v>882</v>
      </c>
      <c r="I244" s="8">
        <v>46146.0</v>
      </c>
      <c r="J244" s="9" t="s">
        <v>23</v>
      </c>
      <c r="L244" s="10">
        <v>0.4583333333333333</v>
      </c>
      <c r="M244" s="10">
        <v>0.9583333333333334</v>
      </c>
      <c r="N244" s="6" t="s">
        <v>1275</v>
      </c>
      <c r="O244" s="11">
        <v>-7.2800527E7</v>
      </c>
      <c r="P244" s="11">
        <v>1.127814105E9</v>
      </c>
      <c r="Q244" s="12" t="s">
        <v>1276</v>
      </c>
    </row>
    <row r="245">
      <c r="A245" s="13">
        <f t="shared" si="1"/>
        <v>244</v>
      </c>
      <c r="B245" s="6" t="s">
        <v>1277</v>
      </c>
      <c r="C245" s="6" t="s">
        <v>1278</v>
      </c>
      <c r="D245" s="6" t="s">
        <v>34</v>
      </c>
      <c r="E245" s="6" t="s">
        <v>1279</v>
      </c>
      <c r="F245" s="7">
        <v>1285.0</v>
      </c>
      <c r="G245" s="6" t="s">
        <v>21</v>
      </c>
      <c r="H245" s="7" t="s">
        <v>22</v>
      </c>
      <c r="I245" s="7" t="s">
        <v>485</v>
      </c>
      <c r="J245" s="9" t="s">
        <v>23</v>
      </c>
      <c r="L245" s="10">
        <v>0.25</v>
      </c>
      <c r="M245" s="10">
        <v>0.5833333333333334</v>
      </c>
      <c r="N245" s="6" t="s">
        <v>1280</v>
      </c>
      <c r="O245" s="11">
        <v>-7.2823602E7</v>
      </c>
      <c r="P245" s="11">
        <v>1.127362857E9</v>
      </c>
      <c r="Q245" s="12" t="s">
        <v>1281</v>
      </c>
    </row>
    <row r="246">
      <c r="A246" s="13">
        <f t="shared" si="1"/>
        <v>245</v>
      </c>
      <c r="B246" s="6" t="s">
        <v>1282</v>
      </c>
      <c r="C246" s="6" t="s">
        <v>1283</v>
      </c>
      <c r="D246" s="6" t="s">
        <v>34</v>
      </c>
      <c r="E246" s="6" t="s">
        <v>1082</v>
      </c>
      <c r="F246" s="7">
        <v>1244.0</v>
      </c>
      <c r="G246" s="6" t="s">
        <v>21</v>
      </c>
      <c r="H246" s="7" t="s">
        <v>36</v>
      </c>
      <c r="I246" s="8">
        <v>46146.0</v>
      </c>
      <c r="J246" s="9" t="s">
        <v>23</v>
      </c>
      <c r="L246" s="10">
        <v>0.4166666666666667</v>
      </c>
      <c r="M246" s="10">
        <v>0.7083333333333334</v>
      </c>
      <c r="N246" s="6" t="s">
        <v>1284</v>
      </c>
      <c r="O246" s="11">
        <v>-7273907.0</v>
      </c>
      <c r="P246" s="11">
        <v>1.12750824E8</v>
      </c>
      <c r="Q246" s="12" t="s">
        <v>1285</v>
      </c>
    </row>
    <row r="247">
      <c r="A247" s="13">
        <f t="shared" si="1"/>
        <v>246</v>
      </c>
      <c r="B247" s="54" t="s">
        <v>1286</v>
      </c>
      <c r="C247" s="55" t="s">
        <v>1287</v>
      </c>
      <c r="D247" s="54" t="s">
        <v>19</v>
      </c>
      <c r="E247" s="55" t="s">
        <v>1288</v>
      </c>
      <c r="F247" s="56">
        <v>3500.0</v>
      </c>
      <c r="G247" s="54" t="s">
        <v>21</v>
      </c>
      <c r="H247" s="57">
        <v>60000.0</v>
      </c>
      <c r="I247" s="58">
        <v>46177.0</v>
      </c>
      <c r="J247" s="54" t="s">
        <v>23</v>
      </c>
      <c r="K247" s="59"/>
      <c r="L247" s="60">
        <v>0.25</v>
      </c>
      <c r="M247" s="60">
        <v>0.9166666666666666</v>
      </c>
      <c r="N247" s="61" t="s">
        <v>1289</v>
      </c>
      <c r="O247" s="61" t="s">
        <v>1290</v>
      </c>
      <c r="P247" s="62" t="s">
        <v>1291</v>
      </c>
      <c r="Q247" s="63" t="s">
        <v>1292</v>
      </c>
      <c r="R247" s="64"/>
      <c r="S247" s="64"/>
      <c r="T247" s="64"/>
      <c r="U247" s="64"/>
      <c r="V247" s="64"/>
      <c r="W247" s="64"/>
      <c r="X247" s="64"/>
      <c r="Y247" s="64"/>
      <c r="Z247" s="64"/>
      <c r="AA247" s="64"/>
      <c r="AB247" s="64"/>
      <c r="AC247" s="64"/>
      <c r="AD247" s="64"/>
      <c r="AE247" s="64"/>
    </row>
    <row r="248">
      <c r="A248" s="13">
        <f t="shared" si="1"/>
        <v>247</v>
      </c>
      <c r="B248" s="7" t="s">
        <v>1293</v>
      </c>
      <c r="C248" s="7" t="s">
        <v>1294</v>
      </c>
      <c r="D248" s="7" t="s">
        <v>46</v>
      </c>
      <c r="E248" s="7" t="s">
        <v>1295</v>
      </c>
      <c r="F248" s="7">
        <v>5084.0</v>
      </c>
      <c r="G248" s="7" t="s">
        <v>21</v>
      </c>
      <c r="H248" s="7">
        <v>15000.0</v>
      </c>
      <c r="I248" s="8">
        <v>46146.0</v>
      </c>
      <c r="J248" s="65" t="s">
        <v>23</v>
      </c>
      <c r="K248" s="66"/>
      <c r="L248" s="10">
        <v>0.0</v>
      </c>
      <c r="M248" s="10">
        <v>0.9993055555555556</v>
      </c>
      <c r="N248" s="7" t="s">
        <v>1296</v>
      </c>
      <c r="O248" s="67">
        <v>-7.2952211E7</v>
      </c>
      <c r="P248" s="67">
        <v>1.128035603E9</v>
      </c>
      <c r="Q248" s="68" t="s">
        <v>1297</v>
      </c>
      <c r="R248" s="66"/>
      <c r="S248" s="66"/>
      <c r="T248" s="66"/>
      <c r="U248" s="66"/>
      <c r="V248" s="66"/>
      <c r="W248" s="66"/>
      <c r="X248" s="66"/>
      <c r="Y248" s="66"/>
      <c r="Z248" s="66"/>
      <c r="AA248" s="66"/>
      <c r="AB248" s="66"/>
      <c r="AC248" s="66"/>
      <c r="AD248" s="66"/>
      <c r="AE248" s="66"/>
    </row>
    <row r="249">
      <c r="A249" s="13">
        <f t="shared" si="1"/>
        <v>248</v>
      </c>
      <c r="B249" s="7" t="s">
        <v>1298</v>
      </c>
      <c r="C249" s="7" t="s">
        <v>1299</v>
      </c>
      <c r="D249" s="7" t="s">
        <v>34</v>
      </c>
      <c r="E249" s="7" t="s">
        <v>1300</v>
      </c>
      <c r="F249" s="7">
        <v>693.0</v>
      </c>
      <c r="G249" s="7" t="s">
        <v>21</v>
      </c>
      <c r="H249" s="7" t="s">
        <v>36</v>
      </c>
      <c r="I249" s="8">
        <v>46085.0</v>
      </c>
      <c r="J249" s="65" t="s">
        <v>23</v>
      </c>
      <c r="K249" s="66"/>
      <c r="L249" s="10">
        <v>0.4166666666666667</v>
      </c>
      <c r="M249" s="10">
        <v>0.875</v>
      </c>
      <c r="N249" s="7" t="s">
        <v>1301</v>
      </c>
      <c r="O249" s="67">
        <v>-7291864.0</v>
      </c>
      <c r="P249" s="67">
        <v>1.127616669E9</v>
      </c>
      <c r="Q249" s="68" t="s">
        <v>1302</v>
      </c>
      <c r="R249" s="66"/>
      <c r="S249" s="66"/>
      <c r="T249" s="66"/>
      <c r="U249" s="66"/>
      <c r="V249" s="66"/>
      <c r="W249" s="66"/>
      <c r="X249" s="66"/>
      <c r="Y249" s="66"/>
      <c r="Z249" s="66"/>
      <c r="AA249" s="66"/>
      <c r="AB249" s="66"/>
      <c r="AC249" s="66"/>
      <c r="AD249" s="66"/>
      <c r="AE249" s="66"/>
    </row>
    <row r="250">
      <c r="A250" s="13">
        <f t="shared" si="1"/>
        <v>249</v>
      </c>
      <c r="B250" s="7" t="s">
        <v>1303</v>
      </c>
      <c r="C250" s="7" t="s">
        <v>1304</v>
      </c>
      <c r="D250" s="7" t="s">
        <v>34</v>
      </c>
      <c r="E250" s="7" t="s">
        <v>1305</v>
      </c>
      <c r="F250" s="7">
        <v>160.0</v>
      </c>
      <c r="G250" s="7" t="s">
        <v>21</v>
      </c>
      <c r="H250" s="7" t="s">
        <v>1306</v>
      </c>
      <c r="I250" s="8">
        <v>46269.0</v>
      </c>
      <c r="J250" s="65" t="s">
        <v>23</v>
      </c>
      <c r="K250" s="66"/>
      <c r="L250" s="10">
        <v>0.4166666666666667</v>
      </c>
      <c r="M250" s="10">
        <v>0.9166666666666666</v>
      </c>
      <c r="N250" s="7" t="s">
        <v>1307</v>
      </c>
      <c r="O250" s="67">
        <v>-7.3020643E7</v>
      </c>
      <c r="P250" s="67">
        <v>1.127853666E9</v>
      </c>
      <c r="Q250" s="68" t="s">
        <v>1308</v>
      </c>
      <c r="R250" s="66"/>
      <c r="S250" s="66"/>
      <c r="T250" s="66"/>
      <c r="U250" s="66"/>
      <c r="V250" s="66"/>
      <c r="W250" s="66"/>
      <c r="X250" s="66"/>
      <c r="Y250" s="66"/>
      <c r="Z250" s="66"/>
      <c r="AA250" s="66"/>
      <c r="AB250" s="66"/>
      <c r="AC250" s="66"/>
      <c r="AD250" s="66"/>
      <c r="AE250" s="66"/>
    </row>
    <row r="251">
      <c r="A251" s="13">
        <f t="shared" si="1"/>
        <v>250</v>
      </c>
      <c r="B251" s="7" t="s">
        <v>1309</v>
      </c>
      <c r="C251" s="7" t="s">
        <v>1310</v>
      </c>
      <c r="D251" s="7" t="s">
        <v>34</v>
      </c>
      <c r="E251" s="7" t="s">
        <v>1311</v>
      </c>
      <c r="F251" s="7">
        <v>870.0</v>
      </c>
      <c r="G251" s="7" t="s">
        <v>21</v>
      </c>
      <c r="H251" s="7" t="s">
        <v>22</v>
      </c>
      <c r="I251" s="8">
        <v>46116.0</v>
      </c>
      <c r="J251" s="65" t="s">
        <v>23</v>
      </c>
      <c r="K251" s="66"/>
      <c r="L251" s="10">
        <v>0.5</v>
      </c>
      <c r="M251" s="10">
        <v>0.7916666666666666</v>
      </c>
      <c r="N251" s="7" t="s">
        <v>1312</v>
      </c>
      <c r="O251" s="67">
        <v>-7.2216162E7</v>
      </c>
      <c r="P251" s="67">
        <v>1.127309727E9</v>
      </c>
      <c r="Q251" s="68" t="s">
        <v>1313</v>
      </c>
      <c r="R251" s="66"/>
      <c r="S251" s="66"/>
      <c r="T251" s="66"/>
      <c r="U251" s="66"/>
      <c r="V251" s="66"/>
      <c r="W251" s="66"/>
      <c r="X251" s="66"/>
      <c r="Y251" s="66"/>
      <c r="Z251" s="66"/>
      <c r="AA251" s="66"/>
      <c r="AB251" s="66"/>
      <c r="AC251" s="66"/>
      <c r="AD251" s="66"/>
      <c r="AE251" s="66"/>
    </row>
    <row r="252">
      <c r="A252" s="13">
        <f t="shared" si="1"/>
        <v>251</v>
      </c>
      <c r="B252" s="7" t="s">
        <v>1314</v>
      </c>
      <c r="C252" s="7" t="s">
        <v>1315</v>
      </c>
      <c r="D252" s="7" t="s">
        <v>34</v>
      </c>
      <c r="E252" s="7" t="s">
        <v>1316</v>
      </c>
      <c r="F252" s="7">
        <v>33.0</v>
      </c>
      <c r="G252" s="7" t="s">
        <v>21</v>
      </c>
      <c r="H252" s="7" t="s">
        <v>22</v>
      </c>
      <c r="I252" s="8">
        <v>46177.0</v>
      </c>
      <c r="J252" s="65" t="s">
        <v>23</v>
      </c>
      <c r="K252" s="66"/>
      <c r="L252" s="10">
        <v>0.25</v>
      </c>
      <c r="M252" s="10">
        <v>0.041666666666666664</v>
      </c>
      <c r="N252" s="7" t="s">
        <v>1317</v>
      </c>
      <c r="O252" s="67">
        <v>-7.3227366E7</v>
      </c>
      <c r="P252" s="67">
        <v>1.127094309E9</v>
      </c>
      <c r="Q252" s="68" t="s">
        <v>1318</v>
      </c>
      <c r="R252" s="66"/>
      <c r="S252" s="66"/>
      <c r="T252" s="66"/>
      <c r="U252" s="66"/>
      <c r="V252" s="66"/>
      <c r="W252" s="66"/>
      <c r="X252" s="66"/>
      <c r="Y252" s="66"/>
      <c r="Z252" s="66"/>
      <c r="AA252" s="66"/>
      <c r="AB252" s="66"/>
      <c r="AC252" s="66"/>
      <c r="AD252" s="66"/>
      <c r="AE252" s="66"/>
    </row>
    <row r="253">
      <c r="A253" s="13">
        <f t="shared" si="1"/>
        <v>252</v>
      </c>
      <c r="B253" s="7" t="s">
        <v>1319</v>
      </c>
      <c r="C253" s="7" t="s">
        <v>1320</v>
      </c>
      <c r="D253" s="7" t="s">
        <v>46</v>
      </c>
      <c r="E253" s="7" t="s">
        <v>1321</v>
      </c>
      <c r="F253" s="7">
        <v>35.0</v>
      </c>
      <c r="G253" s="7" t="s">
        <v>21</v>
      </c>
      <c r="H253" s="7" t="s">
        <v>22</v>
      </c>
      <c r="I253" s="8">
        <v>46145.0</v>
      </c>
      <c r="J253" s="7" t="s">
        <v>58</v>
      </c>
      <c r="K253" s="7" t="s">
        <v>59</v>
      </c>
      <c r="L253" s="10">
        <v>0.4583333333333333</v>
      </c>
      <c r="M253" s="10">
        <v>0.75</v>
      </c>
      <c r="N253" s="7" t="s">
        <v>1322</v>
      </c>
      <c r="O253" s="67">
        <v>-7.2473613E7</v>
      </c>
      <c r="P253" s="67">
        <v>1.127556799E9</v>
      </c>
      <c r="Q253" s="68" t="s">
        <v>1323</v>
      </c>
      <c r="R253" s="66"/>
      <c r="S253" s="66"/>
      <c r="T253" s="66"/>
      <c r="U253" s="66"/>
      <c r="V253" s="66"/>
      <c r="W253" s="66"/>
      <c r="X253" s="66"/>
      <c r="Y253" s="66"/>
      <c r="Z253" s="66"/>
      <c r="AA253" s="66"/>
      <c r="AB253" s="66"/>
      <c r="AC253" s="66"/>
      <c r="AD253" s="66"/>
      <c r="AE253" s="66"/>
    </row>
    <row r="254">
      <c r="A254" s="13">
        <f t="shared" si="1"/>
        <v>253</v>
      </c>
      <c r="B254" s="7" t="s">
        <v>1324</v>
      </c>
      <c r="C254" s="7" t="s">
        <v>1325</v>
      </c>
      <c r="D254" s="7" t="s">
        <v>46</v>
      </c>
      <c r="E254" s="7" t="s">
        <v>1326</v>
      </c>
      <c r="F254" s="7">
        <v>5392.0</v>
      </c>
      <c r="G254" s="7" t="s">
        <v>21</v>
      </c>
      <c r="H254" s="7">
        <v>0.0</v>
      </c>
      <c r="I254" s="8">
        <v>46146.0</v>
      </c>
      <c r="J254" s="65" t="s">
        <v>23</v>
      </c>
      <c r="K254" s="7"/>
      <c r="L254" s="10">
        <v>0.7916666666666666</v>
      </c>
      <c r="M254" s="10">
        <v>0.8541666666666666</v>
      </c>
      <c r="N254" s="7" t="s">
        <v>1327</v>
      </c>
      <c r="O254" s="67">
        <v>-7.2356933E7</v>
      </c>
      <c r="P254" s="67">
        <v>1.127955234E9</v>
      </c>
      <c r="Q254" s="68" t="s">
        <v>1328</v>
      </c>
      <c r="R254" s="66"/>
      <c r="S254" s="66"/>
      <c r="T254" s="66"/>
      <c r="U254" s="66"/>
      <c r="V254" s="66"/>
      <c r="W254" s="66"/>
      <c r="X254" s="66"/>
      <c r="Y254" s="66"/>
      <c r="Z254" s="66"/>
      <c r="AA254" s="66"/>
      <c r="AB254" s="66"/>
      <c r="AC254" s="66"/>
      <c r="AD254" s="66"/>
      <c r="AE254" s="66"/>
    </row>
    <row r="255">
      <c r="A255" s="13">
        <f t="shared" si="1"/>
        <v>254</v>
      </c>
      <c r="B255" s="45" t="s">
        <v>1329</v>
      </c>
      <c r="C255" s="45" t="s">
        <v>1330</v>
      </c>
      <c r="D255" s="45" t="s">
        <v>46</v>
      </c>
      <c r="E255" s="45" t="s">
        <v>1331</v>
      </c>
      <c r="F255" s="28">
        <v>1010.0</v>
      </c>
      <c r="G255" s="45" t="s">
        <v>21</v>
      </c>
      <c r="H255" s="45">
        <v>0.0</v>
      </c>
      <c r="I255" s="29">
        <v>46177.0</v>
      </c>
      <c r="J255" s="45" t="s">
        <v>23</v>
      </c>
      <c r="K255" s="46"/>
      <c r="L255" s="47">
        <v>0.3333333333333333</v>
      </c>
      <c r="M255" s="47">
        <v>0.7083333333333334</v>
      </c>
      <c r="N255" s="48" t="s">
        <v>1332</v>
      </c>
      <c r="O255" s="33" t="s">
        <v>1333</v>
      </c>
      <c r="P255" s="34" t="s">
        <v>1334</v>
      </c>
      <c r="Q255" s="69" t="s">
        <v>1335</v>
      </c>
      <c r="R255" s="26"/>
      <c r="S255" s="26"/>
      <c r="T255" s="26"/>
      <c r="U255" s="26"/>
      <c r="V255" s="26"/>
      <c r="W255" s="26"/>
      <c r="X255" s="26"/>
      <c r="Y255" s="26"/>
      <c r="Z255" s="26"/>
      <c r="AA255" s="26"/>
      <c r="AB255" s="26"/>
      <c r="AC255" s="26"/>
      <c r="AD255" s="26"/>
      <c r="AE255" s="26"/>
    </row>
    <row r="256">
      <c r="A256" s="13">
        <f t="shared" si="1"/>
        <v>255</v>
      </c>
      <c r="B256" s="7" t="s">
        <v>1336</v>
      </c>
      <c r="C256" s="7" t="s">
        <v>1337</v>
      </c>
      <c r="D256" s="7" t="s">
        <v>34</v>
      </c>
      <c r="E256" s="7" t="s">
        <v>1338</v>
      </c>
      <c r="F256" s="7">
        <v>950.0</v>
      </c>
      <c r="G256" s="7" t="s">
        <v>21</v>
      </c>
      <c r="H256" s="7" t="s">
        <v>22</v>
      </c>
      <c r="I256" s="8">
        <v>46085.0</v>
      </c>
      <c r="J256" s="45" t="s">
        <v>23</v>
      </c>
      <c r="K256" s="7"/>
      <c r="L256" s="10">
        <v>0.2916666666666667</v>
      </c>
      <c r="M256" s="10">
        <v>0.8541666666666666</v>
      </c>
      <c r="N256" s="7" t="s">
        <v>1339</v>
      </c>
      <c r="O256" s="67">
        <v>-7.2325843E7</v>
      </c>
      <c r="P256" s="67">
        <v>1.127291453E9</v>
      </c>
      <c r="Q256" s="68" t="s">
        <v>1340</v>
      </c>
      <c r="R256" s="66"/>
      <c r="S256" s="66"/>
      <c r="T256" s="66"/>
      <c r="U256" s="66"/>
      <c r="V256" s="66"/>
      <c r="W256" s="66"/>
      <c r="X256" s="66"/>
      <c r="Y256" s="66"/>
      <c r="Z256" s="66"/>
      <c r="AA256" s="66"/>
      <c r="AB256" s="66"/>
      <c r="AC256" s="66"/>
      <c r="AD256" s="66"/>
      <c r="AE256" s="66"/>
    </row>
    <row r="257">
      <c r="A257" s="13">
        <f t="shared" si="1"/>
        <v>256</v>
      </c>
      <c r="B257" s="7" t="s">
        <v>1341</v>
      </c>
      <c r="C257" s="7" t="s">
        <v>1342</v>
      </c>
      <c r="D257" s="7" t="s">
        <v>34</v>
      </c>
      <c r="E257" s="7" t="s">
        <v>1343</v>
      </c>
      <c r="F257" s="7">
        <v>402.0</v>
      </c>
      <c r="G257" s="7" t="s">
        <v>21</v>
      </c>
      <c r="H257" s="7" t="s">
        <v>22</v>
      </c>
      <c r="I257" s="8">
        <v>46146.0</v>
      </c>
      <c r="J257" s="45" t="s">
        <v>23</v>
      </c>
      <c r="K257" s="7"/>
      <c r="L257" s="10">
        <v>0.4166666666666667</v>
      </c>
      <c r="M257" s="10">
        <v>0.875</v>
      </c>
      <c r="N257" s="7" t="s">
        <v>1344</v>
      </c>
      <c r="O257" s="67">
        <v>-7.3127971E7</v>
      </c>
      <c r="P257" s="67">
        <v>1.127561228E9</v>
      </c>
      <c r="Q257" s="68" t="s">
        <v>1345</v>
      </c>
      <c r="R257" s="66"/>
      <c r="S257" s="66"/>
      <c r="T257" s="66"/>
      <c r="U257" s="66"/>
      <c r="V257" s="66"/>
      <c r="W257" s="66"/>
      <c r="X257" s="66"/>
      <c r="Y257" s="66"/>
      <c r="Z257" s="66"/>
      <c r="AA257" s="66"/>
      <c r="AB257" s="66"/>
      <c r="AC257" s="66"/>
      <c r="AD257" s="66"/>
      <c r="AE257" s="66"/>
    </row>
    <row r="258">
      <c r="A258" s="13">
        <f t="shared" si="1"/>
        <v>257</v>
      </c>
      <c r="B258" s="7" t="s">
        <v>1346</v>
      </c>
      <c r="C258" s="7" t="s">
        <v>1347</v>
      </c>
      <c r="D258" s="7" t="s">
        <v>34</v>
      </c>
      <c r="E258" s="7" t="s">
        <v>1348</v>
      </c>
      <c r="F258" s="7">
        <v>103.0</v>
      </c>
      <c r="G258" s="7" t="s">
        <v>21</v>
      </c>
      <c r="H258" s="7" t="s">
        <v>36</v>
      </c>
      <c r="I258" s="8">
        <v>46207.0</v>
      </c>
      <c r="J258" s="45" t="s">
        <v>23</v>
      </c>
      <c r="K258" s="7"/>
      <c r="L258" s="10">
        <v>0.0</v>
      </c>
      <c r="M258" s="10">
        <v>0.9993055555555556</v>
      </c>
      <c r="N258" s="7" t="s">
        <v>1349</v>
      </c>
      <c r="O258" s="67">
        <v>-7.2818578E7</v>
      </c>
      <c r="P258" s="67">
        <v>1.127620586E9</v>
      </c>
      <c r="Q258" s="68" t="s">
        <v>1350</v>
      </c>
      <c r="R258" s="66"/>
      <c r="S258" s="66"/>
      <c r="T258" s="66"/>
      <c r="U258" s="66"/>
      <c r="V258" s="66"/>
      <c r="W258" s="66"/>
      <c r="X258" s="66"/>
      <c r="Y258" s="66"/>
      <c r="Z258" s="66"/>
      <c r="AA258" s="66"/>
      <c r="AB258" s="66"/>
      <c r="AC258" s="66"/>
      <c r="AD258" s="66"/>
      <c r="AE258" s="66"/>
    </row>
    <row r="259">
      <c r="A259" s="13">
        <f t="shared" si="1"/>
        <v>258</v>
      </c>
      <c r="B259" s="7" t="s">
        <v>1351</v>
      </c>
      <c r="C259" s="7" t="s">
        <v>1352</v>
      </c>
      <c r="D259" s="7" t="s">
        <v>34</v>
      </c>
      <c r="E259" s="7" t="s">
        <v>1353</v>
      </c>
      <c r="F259" s="7">
        <v>26.0</v>
      </c>
      <c r="G259" s="7" t="s">
        <v>21</v>
      </c>
      <c r="H259" s="7" t="s">
        <v>36</v>
      </c>
      <c r="I259" s="8">
        <v>46238.0</v>
      </c>
      <c r="J259" s="45" t="s">
        <v>23</v>
      </c>
      <c r="K259" s="7"/>
      <c r="L259" s="10">
        <v>0.5833333333333334</v>
      </c>
      <c r="M259" s="10">
        <v>0.875</v>
      </c>
      <c r="N259" s="7" t="s">
        <v>1354</v>
      </c>
      <c r="O259" s="67">
        <v>-7.2874367E7</v>
      </c>
      <c r="P259" s="67">
        <v>1.126554882E9</v>
      </c>
      <c r="Q259" s="68" t="s">
        <v>1355</v>
      </c>
      <c r="R259" s="66"/>
      <c r="S259" s="66"/>
      <c r="T259" s="66"/>
      <c r="U259" s="66"/>
      <c r="V259" s="66"/>
      <c r="W259" s="66"/>
      <c r="X259" s="66"/>
      <c r="Y259" s="66"/>
      <c r="Z259" s="66"/>
      <c r="AA259" s="66"/>
      <c r="AB259" s="66"/>
      <c r="AC259" s="66"/>
      <c r="AD259" s="66"/>
      <c r="AE259" s="66"/>
    </row>
    <row r="260">
      <c r="A260" s="13">
        <f t="shared" si="1"/>
        <v>259</v>
      </c>
      <c r="B260" s="7" t="s">
        <v>1356</v>
      </c>
      <c r="C260" s="7" t="s">
        <v>1357</v>
      </c>
      <c r="D260" s="7" t="s">
        <v>34</v>
      </c>
      <c r="E260" s="7" t="s">
        <v>1358</v>
      </c>
      <c r="F260" s="7">
        <v>174.0</v>
      </c>
      <c r="G260" s="7" t="s">
        <v>21</v>
      </c>
      <c r="H260" s="7" t="s">
        <v>36</v>
      </c>
      <c r="I260" s="8">
        <v>46238.0</v>
      </c>
      <c r="J260" s="7" t="s">
        <v>1359</v>
      </c>
      <c r="K260" s="7" t="s">
        <v>1360</v>
      </c>
      <c r="L260" s="10">
        <v>0.4375</v>
      </c>
      <c r="M260" s="10">
        <v>0.875</v>
      </c>
      <c r="N260" s="7" t="s">
        <v>1361</v>
      </c>
      <c r="O260" s="67">
        <v>-7315728.0</v>
      </c>
      <c r="P260" s="67">
        <v>1.127841529E9</v>
      </c>
      <c r="Q260" s="68" t="s">
        <v>1362</v>
      </c>
      <c r="R260" s="66"/>
      <c r="S260" s="66"/>
      <c r="T260" s="66"/>
      <c r="U260" s="66"/>
      <c r="V260" s="66"/>
      <c r="W260" s="66"/>
      <c r="X260" s="66"/>
      <c r="Y260" s="66"/>
      <c r="Z260" s="66"/>
      <c r="AA260" s="66"/>
      <c r="AB260" s="66"/>
      <c r="AC260" s="66"/>
      <c r="AD260" s="66"/>
      <c r="AE260" s="66"/>
    </row>
    <row r="261">
      <c r="A261" s="13">
        <f t="shared" si="1"/>
        <v>260</v>
      </c>
      <c r="B261" s="7" t="s">
        <v>1363</v>
      </c>
      <c r="C261" s="7" t="s">
        <v>1364</v>
      </c>
      <c r="D261" s="7" t="s">
        <v>34</v>
      </c>
      <c r="E261" s="7" t="s">
        <v>1365</v>
      </c>
      <c r="F261" s="7">
        <v>76.0</v>
      </c>
      <c r="G261" s="7" t="s">
        <v>21</v>
      </c>
      <c r="H261" s="7" t="s">
        <v>22</v>
      </c>
      <c r="I261" s="8">
        <v>46207.0</v>
      </c>
      <c r="J261" s="45" t="s">
        <v>23</v>
      </c>
      <c r="K261" s="7"/>
      <c r="L261" s="10">
        <v>0.625</v>
      </c>
      <c r="M261" s="10">
        <v>0.9583333333333334</v>
      </c>
      <c r="N261" s="7" t="s">
        <v>1366</v>
      </c>
      <c r="O261" s="67">
        <v>-729851.0</v>
      </c>
      <c r="P261" s="67">
        <v>1.127323421E9</v>
      </c>
      <c r="Q261" s="68" t="s">
        <v>1367</v>
      </c>
      <c r="R261" s="66"/>
      <c r="S261" s="66"/>
      <c r="T261" s="66"/>
      <c r="U261" s="66"/>
      <c r="V261" s="66"/>
      <c r="W261" s="66"/>
      <c r="X261" s="66"/>
      <c r="Y261" s="66"/>
      <c r="Z261" s="66"/>
      <c r="AA261" s="66"/>
      <c r="AB261" s="66"/>
      <c r="AC261" s="66"/>
      <c r="AD261" s="66"/>
      <c r="AE261" s="66"/>
    </row>
    <row r="262">
      <c r="A262" s="13">
        <f t="shared" si="1"/>
        <v>261</v>
      </c>
      <c r="B262" s="7" t="s">
        <v>1368</v>
      </c>
      <c r="C262" s="7" t="s">
        <v>1369</v>
      </c>
      <c r="D262" s="7" t="s">
        <v>34</v>
      </c>
      <c r="E262" s="7" t="s">
        <v>1370</v>
      </c>
      <c r="F262" s="7">
        <v>2801.0</v>
      </c>
      <c r="G262" s="7" t="s">
        <v>21</v>
      </c>
      <c r="H262" s="7" t="s">
        <v>22</v>
      </c>
      <c r="I262" s="8">
        <v>46146.0</v>
      </c>
      <c r="J262" s="45" t="s">
        <v>23</v>
      </c>
      <c r="K262" s="7"/>
      <c r="L262" s="10">
        <v>0.4166666666666667</v>
      </c>
      <c r="M262" s="10">
        <v>0.9166666666666666</v>
      </c>
      <c r="N262" s="7" t="s">
        <v>1371</v>
      </c>
      <c r="O262" s="67">
        <v>-7.3229757E7</v>
      </c>
      <c r="P262" s="67">
        <v>1.127454674E9</v>
      </c>
      <c r="Q262" s="68" t="s">
        <v>1372</v>
      </c>
      <c r="R262" s="66"/>
      <c r="S262" s="66"/>
      <c r="T262" s="66"/>
      <c r="U262" s="66"/>
      <c r="V262" s="66"/>
      <c r="W262" s="66"/>
      <c r="X262" s="66"/>
      <c r="Y262" s="66"/>
      <c r="Z262" s="66"/>
      <c r="AA262" s="66"/>
      <c r="AB262" s="66"/>
      <c r="AC262" s="66"/>
      <c r="AD262" s="66"/>
      <c r="AE262" s="66"/>
    </row>
    <row r="263">
      <c r="A263" s="13">
        <f t="shared" si="1"/>
        <v>262</v>
      </c>
      <c r="B263" s="7" t="s">
        <v>1373</v>
      </c>
      <c r="C263" s="7" t="s">
        <v>1374</v>
      </c>
      <c r="D263" s="7" t="s">
        <v>34</v>
      </c>
      <c r="E263" s="7" t="s">
        <v>1375</v>
      </c>
      <c r="F263" s="7">
        <v>2415.0</v>
      </c>
      <c r="G263" s="7" t="s">
        <v>21</v>
      </c>
      <c r="H263" s="7" t="s">
        <v>22</v>
      </c>
      <c r="I263" s="8">
        <v>46085.0</v>
      </c>
      <c r="J263" s="45" t="s">
        <v>23</v>
      </c>
      <c r="K263" s="7"/>
      <c r="L263" s="10">
        <v>0.4583333333333333</v>
      </c>
      <c r="M263" s="10">
        <v>0.875</v>
      </c>
      <c r="N263" s="7" t="s">
        <v>1376</v>
      </c>
      <c r="O263" s="67">
        <v>-728232.0</v>
      </c>
      <c r="P263" s="67">
        <v>1.127763487E9</v>
      </c>
      <c r="Q263" s="68" t="s">
        <v>1377</v>
      </c>
      <c r="R263" s="66"/>
      <c r="S263" s="66"/>
      <c r="T263" s="66"/>
      <c r="U263" s="66"/>
      <c r="V263" s="66"/>
      <c r="W263" s="66"/>
      <c r="X263" s="66"/>
      <c r="Y263" s="66"/>
      <c r="Z263" s="66"/>
      <c r="AA263" s="66"/>
      <c r="AB263" s="66"/>
      <c r="AC263" s="66"/>
      <c r="AD263" s="66"/>
      <c r="AE263" s="66"/>
    </row>
    <row r="264">
      <c r="A264" s="13">
        <f t="shared" si="1"/>
        <v>263</v>
      </c>
      <c r="B264" s="7" t="s">
        <v>1378</v>
      </c>
      <c r="C264" s="7" t="s">
        <v>1379</v>
      </c>
      <c r="D264" s="7" t="s">
        <v>34</v>
      </c>
      <c r="E264" s="7" t="s">
        <v>1380</v>
      </c>
      <c r="F264" s="7">
        <v>386.0</v>
      </c>
      <c r="G264" s="7" t="s">
        <v>21</v>
      </c>
      <c r="H264" s="7" t="s">
        <v>131</v>
      </c>
      <c r="I264" s="8">
        <v>46116.0</v>
      </c>
      <c r="J264" s="45" t="s">
        <v>23</v>
      </c>
      <c r="K264" s="7"/>
      <c r="L264" s="10">
        <v>0.4166666666666667</v>
      </c>
      <c r="M264" s="10">
        <v>0.875</v>
      </c>
      <c r="N264" s="7" t="s">
        <v>1381</v>
      </c>
      <c r="O264" s="67">
        <v>-7.2490728E7</v>
      </c>
      <c r="P264" s="67">
        <v>1.127382161E9</v>
      </c>
      <c r="Q264" s="68" t="s">
        <v>1382</v>
      </c>
      <c r="R264" s="66"/>
      <c r="S264" s="66"/>
      <c r="T264" s="66"/>
      <c r="U264" s="66"/>
      <c r="V264" s="66"/>
      <c r="W264" s="66"/>
      <c r="X264" s="66"/>
      <c r="Y264" s="66"/>
      <c r="Z264" s="66"/>
      <c r="AA264" s="66"/>
      <c r="AB264" s="66"/>
      <c r="AC264" s="66"/>
      <c r="AD264" s="66"/>
      <c r="AE264" s="66"/>
    </row>
    <row r="265">
      <c r="A265" s="13">
        <f t="shared" si="1"/>
        <v>264</v>
      </c>
      <c r="B265" s="7" t="s">
        <v>1383</v>
      </c>
      <c r="C265" s="7" t="s">
        <v>1384</v>
      </c>
      <c r="D265" s="7" t="s">
        <v>34</v>
      </c>
      <c r="E265" s="7" t="s">
        <v>1385</v>
      </c>
      <c r="F265" s="7">
        <v>3453.0</v>
      </c>
      <c r="G265" s="7" t="s">
        <v>21</v>
      </c>
      <c r="H265" s="7" t="s">
        <v>1386</v>
      </c>
      <c r="I265" s="8">
        <v>46116.0</v>
      </c>
      <c r="J265" s="45" t="s">
        <v>23</v>
      </c>
      <c r="K265" s="7"/>
      <c r="L265" s="10">
        <v>0.4166666666666667</v>
      </c>
      <c r="M265" s="10">
        <v>0.9166666666666666</v>
      </c>
      <c r="N265" s="7" t="s">
        <v>1387</v>
      </c>
      <c r="O265" s="67">
        <v>-7.2815035E7</v>
      </c>
      <c r="P265" s="67">
        <v>1.12739176E8</v>
      </c>
      <c r="Q265" s="68" t="s">
        <v>1388</v>
      </c>
      <c r="R265" s="66"/>
      <c r="S265" s="66"/>
      <c r="T265" s="66"/>
      <c r="U265" s="66"/>
      <c r="V265" s="66"/>
      <c r="W265" s="66"/>
      <c r="X265" s="66"/>
      <c r="Y265" s="66"/>
      <c r="Z265" s="66"/>
      <c r="AA265" s="66"/>
      <c r="AB265" s="66"/>
      <c r="AC265" s="66"/>
      <c r="AD265" s="66"/>
      <c r="AE265" s="66"/>
    </row>
    <row r="266">
      <c r="A266" s="13">
        <f t="shared" si="1"/>
        <v>265</v>
      </c>
      <c r="B266" s="7" t="s">
        <v>1389</v>
      </c>
      <c r="C266" s="7" t="s">
        <v>1390</v>
      </c>
      <c r="D266" s="7" t="s">
        <v>46</v>
      </c>
      <c r="E266" s="7" t="s">
        <v>1391</v>
      </c>
      <c r="F266" s="7">
        <v>153.0</v>
      </c>
      <c r="G266" s="7" t="s">
        <v>21</v>
      </c>
      <c r="H266" s="7">
        <v>7000.0</v>
      </c>
      <c r="I266" s="8">
        <v>46207.0</v>
      </c>
      <c r="J266" s="45" t="s">
        <v>23</v>
      </c>
      <c r="K266" s="7"/>
      <c r="L266" s="10">
        <v>0.3333333333333333</v>
      </c>
      <c r="M266" s="10">
        <v>0.875</v>
      </c>
      <c r="N266" s="7" t="s">
        <v>1392</v>
      </c>
      <c r="O266" s="67">
        <v>-7.2618767E7</v>
      </c>
      <c r="P266" s="67">
        <v>1.127432029E9</v>
      </c>
      <c r="Q266" s="68" t="s">
        <v>1393</v>
      </c>
      <c r="R266" s="66"/>
      <c r="S266" s="66"/>
      <c r="T266" s="66"/>
      <c r="U266" s="66"/>
      <c r="V266" s="66"/>
      <c r="W266" s="66"/>
      <c r="X266" s="66"/>
      <c r="Y266" s="66"/>
      <c r="Z266" s="66"/>
      <c r="AA266" s="66"/>
      <c r="AB266" s="66"/>
      <c r="AC266" s="66"/>
      <c r="AD266" s="66"/>
      <c r="AE266" s="66"/>
    </row>
    <row r="267">
      <c r="A267" s="13">
        <f t="shared" si="1"/>
        <v>266</v>
      </c>
      <c r="B267" s="16" t="s">
        <v>1394</v>
      </c>
      <c r="C267" s="70" t="s">
        <v>1395</v>
      </c>
      <c r="D267" s="16" t="s">
        <v>46</v>
      </c>
      <c r="E267" s="70" t="s">
        <v>1396</v>
      </c>
      <c r="F267" s="16">
        <v>361.0</v>
      </c>
      <c r="G267" s="16" t="s">
        <v>21</v>
      </c>
      <c r="H267" s="26">
        <v>10000.0</v>
      </c>
      <c r="I267" s="17">
        <v>46116.0</v>
      </c>
      <c r="J267" s="16" t="s">
        <v>23</v>
      </c>
      <c r="K267" s="16"/>
      <c r="L267" s="18">
        <v>0.375</v>
      </c>
      <c r="M267" s="18">
        <v>0.75</v>
      </c>
      <c r="N267" s="71" t="s">
        <v>1397</v>
      </c>
      <c r="O267" s="72" t="str">
        <f>IFERROR(__xludf.DUMMYFUNCTION("REGEXEXTRACT(N267,""^-?[0-9.]+"")"),"-7.330141874099146")</f>
        <v>-7.330141874099146</v>
      </c>
      <c r="P267" s="73" t="str">
        <f>IFERROR(__xludf.DUMMYFUNCTION("REGEXEXTRACT(N267,"",\s*(-?[0-9.]+)"")"),"112.67842119999999")</f>
        <v>112.67842119999999</v>
      </c>
      <c r="Q267" s="74" t="s">
        <v>1398</v>
      </c>
      <c r="R267" s="26"/>
      <c r="S267" s="26"/>
      <c r="T267" s="26"/>
      <c r="U267" s="26"/>
      <c r="V267" s="26"/>
      <c r="W267" s="26"/>
      <c r="X267" s="26"/>
      <c r="Y267" s="26"/>
      <c r="Z267" s="26"/>
      <c r="AA267" s="26"/>
      <c r="AB267" s="26"/>
      <c r="AC267" s="26"/>
      <c r="AD267" s="26"/>
      <c r="AE267" s="26"/>
    </row>
    <row r="268">
      <c r="A268" s="13">
        <f t="shared" si="1"/>
        <v>267</v>
      </c>
      <c r="B268" s="7" t="s">
        <v>1399</v>
      </c>
      <c r="C268" s="7" t="s">
        <v>1400</v>
      </c>
      <c r="D268" s="7" t="s">
        <v>1401</v>
      </c>
      <c r="E268" s="7" t="s">
        <v>1402</v>
      </c>
      <c r="F268" s="7">
        <v>337.0</v>
      </c>
      <c r="G268" s="7" t="s">
        <v>21</v>
      </c>
      <c r="H268" s="7" t="s">
        <v>22</v>
      </c>
      <c r="I268" s="8">
        <v>46207.0</v>
      </c>
      <c r="J268" s="16" t="s">
        <v>23</v>
      </c>
      <c r="K268" s="7"/>
      <c r="L268" s="10">
        <v>0.5</v>
      </c>
      <c r="M268" s="10">
        <v>0.08333333333333333</v>
      </c>
      <c r="N268" s="7" t="s">
        <v>1403</v>
      </c>
      <c r="O268" s="67">
        <v>-7.2790442E7</v>
      </c>
      <c r="P268" s="67">
        <v>1.127373881E9</v>
      </c>
      <c r="Q268" s="68" t="s">
        <v>1404</v>
      </c>
      <c r="R268" s="66"/>
      <c r="S268" s="66"/>
      <c r="T268" s="66"/>
      <c r="U268" s="66"/>
      <c r="V268" s="66"/>
      <c r="W268" s="66"/>
      <c r="X268" s="66"/>
      <c r="Y268" s="66"/>
      <c r="Z268" s="66"/>
      <c r="AA268" s="66"/>
      <c r="AB268" s="66"/>
      <c r="AC268" s="66"/>
      <c r="AD268" s="66"/>
      <c r="AE268" s="66"/>
    </row>
    <row r="269">
      <c r="A269" s="13">
        <f t="shared" si="1"/>
        <v>268</v>
      </c>
      <c r="B269" s="7" t="s">
        <v>1405</v>
      </c>
      <c r="C269" s="7" t="s">
        <v>1406</v>
      </c>
      <c r="D269" s="7" t="s">
        <v>34</v>
      </c>
      <c r="E269" s="7" t="s">
        <v>1407</v>
      </c>
      <c r="F269" s="7">
        <v>634.0</v>
      </c>
      <c r="G269" s="7" t="s">
        <v>21</v>
      </c>
      <c r="H269" s="7" t="s">
        <v>36</v>
      </c>
      <c r="I269" s="8">
        <v>46177.0</v>
      </c>
      <c r="J269" s="16" t="s">
        <v>23</v>
      </c>
      <c r="K269" s="7"/>
      <c r="L269" s="10">
        <v>0.2708333333333333</v>
      </c>
      <c r="M269" s="10">
        <v>0.9166666666666666</v>
      </c>
      <c r="N269" s="7" t="s">
        <v>1408</v>
      </c>
      <c r="O269" s="67">
        <v>-7295663.0</v>
      </c>
      <c r="P269" s="67">
        <v>1.12759744E8</v>
      </c>
      <c r="Q269" s="68" t="s">
        <v>1409</v>
      </c>
      <c r="R269" s="66"/>
      <c r="S269" s="66"/>
      <c r="T269" s="66"/>
      <c r="U269" s="66"/>
      <c r="V269" s="66"/>
      <c r="W269" s="66"/>
      <c r="X269" s="66"/>
      <c r="Y269" s="66"/>
      <c r="Z269" s="66"/>
      <c r="AA269" s="66"/>
      <c r="AB269" s="66"/>
      <c r="AC269" s="66"/>
      <c r="AD269" s="66"/>
      <c r="AE269" s="66"/>
    </row>
    <row r="270">
      <c r="A270" s="13">
        <f t="shared" si="1"/>
        <v>269</v>
      </c>
      <c r="B270" s="7" t="s">
        <v>1410</v>
      </c>
      <c r="C270" s="7" t="s">
        <v>1411</v>
      </c>
      <c r="D270" s="7" t="s">
        <v>34</v>
      </c>
      <c r="E270" s="7" t="s">
        <v>1412</v>
      </c>
      <c r="F270" s="7">
        <v>241.0</v>
      </c>
      <c r="G270" s="7" t="s">
        <v>21</v>
      </c>
      <c r="H270" s="7" t="s">
        <v>22</v>
      </c>
      <c r="I270" s="8">
        <v>46207.0</v>
      </c>
      <c r="J270" s="16" t="s">
        <v>23</v>
      </c>
      <c r="K270" s="7"/>
      <c r="L270" s="10">
        <v>0.4166666666666667</v>
      </c>
      <c r="M270" s="10">
        <v>0.7083333333333334</v>
      </c>
      <c r="N270" s="7" t="s">
        <v>1413</v>
      </c>
      <c r="O270" s="67">
        <v>-7.2522686E7</v>
      </c>
      <c r="P270" s="67">
        <v>1.127115343E9</v>
      </c>
      <c r="Q270" s="68" t="s">
        <v>1414</v>
      </c>
      <c r="R270" s="66"/>
      <c r="S270" s="66"/>
      <c r="T270" s="66"/>
      <c r="U270" s="66"/>
      <c r="V270" s="66"/>
      <c r="W270" s="66"/>
      <c r="X270" s="66"/>
      <c r="Y270" s="66"/>
      <c r="Z270" s="66"/>
      <c r="AA270" s="66"/>
      <c r="AB270" s="66"/>
      <c r="AC270" s="66"/>
      <c r="AD270" s="66"/>
      <c r="AE270" s="66"/>
    </row>
    <row r="271">
      <c r="A271" s="13">
        <f t="shared" si="1"/>
        <v>270</v>
      </c>
      <c r="B271" s="7" t="s">
        <v>1415</v>
      </c>
      <c r="C271" s="7" t="s">
        <v>1416</v>
      </c>
      <c r="D271" s="7" t="s">
        <v>34</v>
      </c>
      <c r="E271" s="7" t="s">
        <v>1417</v>
      </c>
      <c r="F271" s="7">
        <v>451.0</v>
      </c>
      <c r="G271" s="7" t="s">
        <v>21</v>
      </c>
      <c r="H271" s="7" t="s">
        <v>221</v>
      </c>
      <c r="I271" s="7" t="s">
        <v>485</v>
      </c>
      <c r="J271" s="16" t="s">
        <v>23</v>
      </c>
      <c r="K271" s="7"/>
      <c r="L271" s="10">
        <v>0.4166666666666667</v>
      </c>
      <c r="M271" s="10">
        <v>0.9166666666666666</v>
      </c>
      <c r="N271" s="7" t="s">
        <v>1418</v>
      </c>
      <c r="O271" s="67">
        <v>-7.2910512E7</v>
      </c>
      <c r="P271" s="67">
        <v>1.126736914E9</v>
      </c>
      <c r="Q271" s="68" t="s">
        <v>1419</v>
      </c>
      <c r="R271" s="66"/>
      <c r="S271" s="66"/>
      <c r="T271" s="66"/>
      <c r="U271" s="66"/>
      <c r="V271" s="66"/>
      <c r="W271" s="66"/>
      <c r="X271" s="66"/>
      <c r="Y271" s="66"/>
      <c r="Z271" s="66"/>
      <c r="AA271" s="66"/>
      <c r="AB271" s="66"/>
      <c r="AC271" s="66"/>
      <c r="AD271" s="66"/>
      <c r="AE271" s="66"/>
    </row>
    <row r="272">
      <c r="A272" s="13">
        <f t="shared" si="1"/>
        <v>271</v>
      </c>
      <c r="B272" s="7" t="s">
        <v>1420</v>
      </c>
      <c r="C272" s="7" t="s">
        <v>1421</v>
      </c>
      <c r="D272" s="7" t="s">
        <v>34</v>
      </c>
      <c r="E272" s="7" t="s">
        <v>1422</v>
      </c>
      <c r="F272" s="7">
        <v>43.0</v>
      </c>
      <c r="G272" s="7" t="s">
        <v>21</v>
      </c>
      <c r="H272" s="7" t="s">
        <v>36</v>
      </c>
      <c r="I272" s="8">
        <v>46269.0</v>
      </c>
      <c r="J272" s="16" t="s">
        <v>23</v>
      </c>
      <c r="K272" s="7"/>
      <c r="L272" s="10">
        <v>0.25</v>
      </c>
      <c r="M272" s="10">
        <v>0.875</v>
      </c>
      <c r="N272" s="7" t="s">
        <v>1423</v>
      </c>
      <c r="O272" s="67">
        <v>-7.2434796E7</v>
      </c>
      <c r="P272" s="67">
        <v>1.127630824E9</v>
      </c>
      <c r="Q272" s="68" t="s">
        <v>1424</v>
      </c>
      <c r="R272" s="66"/>
      <c r="S272" s="66"/>
      <c r="T272" s="66"/>
      <c r="U272" s="66"/>
      <c r="V272" s="66"/>
      <c r="W272" s="66"/>
      <c r="X272" s="66"/>
      <c r="Y272" s="66"/>
      <c r="Z272" s="66"/>
      <c r="AA272" s="66"/>
      <c r="AB272" s="66"/>
      <c r="AC272" s="66"/>
      <c r="AD272" s="66"/>
      <c r="AE272" s="66"/>
    </row>
    <row r="273">
      <c r="A273" s="13">
        <f t="shared" si="1"/>
        <v>272</v>
      </c>
      <c r="B273" s="7" t="s">
        <v>1425</v>
      </c>
      <c r="C273" s="7" t="s">
        <v>1426</v>
      </c>
      <c r="D273" s="7" t="s">
        <v>46</v>
      </c>
      <c r="E273" s="7" t="s">
        <v>1427</v>
      </c>
      <c r="F273" s="7">
        <v>56264.0</v>
      </c>
      <c r="G273" s="7" t="s">
        <v>21</v>
      </c>
      <c r="H273" s="7">
        <v>15000.0</v>
      </c>
      <c r="I273" s="8">
        <v>46116.0</v>
      </c>
      <c r="J273" s="16" t="s">
        <v>23</v>
      </c>
      <c r="K273" s="7"/>
      <c r="L273" s="10">
        <v>0.3333333333333333</v>
      </c>
      <c r="M273" s="10">
        <v>0.6666666666666666</v>
      </c>
      <c r="N273" s="7" t="s">
        <v>1428</v>
      </c>
      <c r="O273" s="67">
        <v>-7.2961959E7</v>
      </c>
      <c r="P273" s="67">
        <v>1.127366553E9</v>
      </c>
      <c r="Q273" s="68" t="s">
        <v>1429</v>
      </c>
      <c r="R273" s="66"/>
      <c r="S273" s="66"/>
      <c r="T273" s="66"/>
      <c r="U273" s="66"/>
      <c r="V273" s="66"/>
      <c r="W273" s="66"/>
      <c r="X273" s="66"/>
      <c r="Y273" s="66"/>
      <c r="Z273" s="66"/>
      <c r="AA273" s="66"/>
      <c r="AB273" s="66"/>
      <c r="AC273" s="66"/>
      <c r="AD273" s="66"/>
      <c r="AE273" s="66"/>
    </row>
    <row r="274">
      <c r="A274" s="13">
        <f t="shared" si="1"/>
        <v>273</v>
      </c>
      <c r="B274" s="7" t="s">
        <v>1430</v>
      </c>
      <c r="C274" s="7" t="s">
        <v>1431</v>
      </c>
      <c r="D274" s="7" t="s">
        <v>46</v>
      </c>
      <c r="E274" s="7" t="s">
        <v>1432</v>
      </c>
      <c r="F274" s="7">
        <v>822.0</v>
      </c>
      <c r="G274" s="7" t="s">
        <v>21</v>
      </c>
      <c r="H274" s="7">
        <v>5000.0</v>
      </c>
      <c r="I274" s="8">
        <v>46207.0</v>
      </c>
      <c r="J274" s="15" t="s">
        <v>58</v>
      </c>
      <c r="K274" s="7" t="s">
        <v>59</v>
      </c>
      <c r="L274" s="10">
        <v>0.3333333333333333</v>
      </c>
      <c r="M274" s="10">
        <v>0.625</v>
      </c>
      <c r="N274" s="7" t="s">
        <v>1433</v>
      </c>
      <c r="O274" s="67">
        <v>-7.2507478E7</v>
      </c>
      <c r="P274" s="67">
        <v>1.127354098E9</v>
      </c>
      <c r="Q274" s="68" t="s">
        <v>1434</v>
      </c>
      <c r="R274" s="66"/>
      <c r="S274" s="66"/>
      <c r="T274" s="66"/>
      <c r="U274" s="66"/>
      <c r="V274" s="66"/>
      <c r="W274" s="66"/>
      <c r="X274" s="66"/>
      <c r="Y274" s="66"/>
      <c r="Z274" s="66"/>
      <c r="AA274" s="66"/>
      <c r="AB274" s="66"/>
      <c r="AC274" s="66"/>
      <c r="AD274" s="66"/>
      <c r="AE274" s="66"/>
    </row>
    <row r="275">
      <c r="A275" s="13">
        <f t="shared" si="1"/>
        <v>274</v>
      </c>
      <c r="B275" s="7" t="s">
        <v>1435</v>
      </c>
      <c r="C275" s="7" t="s">
        <v>1436</v>
      </c>
      <c r="D275" s="7" t="s">
        <v>34</v>
      </c>
      <c r="E275" s="7" t="s">
        <v>1437</v>
      </c>
      <c r="F275" s="7">
        <v>404.0</v>
      </c>
      <c r="G275" s="7" t="s">
        <v>21</v>
      </c>
      <c r="H275" s="7" t="s">
        <v>36</v>
      </c>
      <c r="I275" s="8">
        <v>46146.0</v>
      </c>
      <c r="J275" s="7" t="s">
        <v>1438</v>
      </c>
      <c r="K275" s="7" t="s">
        <v>66</v>
      </c>
      <c r="L275" s="10">
        <v>0.4583333333333333</v>
      </c>
      <c r="M275" s="10">
        <v>0.75</v>
      </c>
      <c r="N275" s="7" t="s">
        <v>1439</v>
      </c>
      <c r="O275" s="67">
        <v>-7.2728828E7</v>
      </c>
      <c r="P275" s="67">
        <v>1.126944726E9</v>
      </c>
      <c r="Q275" s="68" t="s">
        <v>1440</v>
      </c>
      <c r="R275" s="66"/>
      <c r="S275" s="66"/>
      <c r="T275" s="66"/>
      <c r="U275" s="66"/>
      <c r="V275" s="66"/>
      <c r="W275" s="66"/>
      <c r="X275" s="66"/>
      <c r="Y275" s="66"/>
      <c r="Z275" s="66"/>
      <c r="AA275" s="66"/>
      <c r="AB275" s="66"/>
      <c r="AC275" s="66"/>
      <c r="AD275" s="66"/>
      <c r="AE275" s="66"/>
    </row>
    <row r="276">
      <c r="A276" s="13">
        <f t="shared" si="1"/>
        <v>275</v>
      </c>
      <c r="B276" s="7" t="s">
        <v>1441</v>
      </c>
      <c r="C276" s="7" t="s">
        <v>1442</v>
      </c>
      <c r="D276" s="7" t="s">
        <v>34</v>
      </c>
      <c r="E276" s="7" t="s">
        <v>1443</v>
      </c>
      <c r="F276" s="7">
        <v>233.0</v>
      </c>
      <c r="G276" s="7" t="s">
        <v>21</v>
      </c>
      <c r="H276" s="7" t="s">
        <v>36</v>
      </c>
      <c r="I276" s="8">
        <v>46146.0</v>
      </c>
      <c r="J276" s="52" t="s">
        <v>23</v>
      </c>
      <c r="K276" s="7"/>
      <c r="L276" s="10">
        <v>0.2916666666666667</v>
      </c>
      <c r="M276" s="10">
        <v>0.9166666666666666</v>
      </c>
      <c r="N276" s="7" t="s">
        <v>1444</v>
      </c>
      <c r="O276" s="67">
        <v>-7284419.0</v>
      </c>
      <c r="P276" s="67">
        <v>1.12731153E8</v>
      </c>
      <c r="Q276" s="68" t="s">
        <v>1445</v>
      </c>
      <c r="R276" s="66"/>
      <c r="S276" s="66"/>
      <c r="T276" s="66"/>
      <c r="U276" s="66"/>
      <c r="V276" s="66"/>
      <c r="W276" s="66"/>
      <c r="X276" s="66"/>
      <c r="Y276" s="66"/>
      <c r="Z276" s="66"/>
      <c r="AA276" s="66"/>
      <c r="AB276" s="66"/>
      <c r="AC276" s="66"/>
      <c r="AD276" s="66"/>
      <c r="AE276" s="66"/>
    </row>
    <row r="277">
      <c r="A277" s="13">
        <f t="shared" si="1"/>
        <v>276</v>
      </c>
      <c r="B277" s="7" t="s">
        <v>1446</v>
      </c>
      <c r="C277" s="7" t="s">
        <v>1447</v>
      </c>
      <c r="D277" s="7" t="s">
        <v>46</v>
      </c>
      <c r="E277" s="28" t="s">
        <v>1448</v>
      </c>
      <c r="F277" s="28">
        <v>655.0</v>
      </c>
      <c r="G277" s="28" t="s">
        <v>21</v>
      </c>
      <c r="H277" s="28">
        <v>10000.0</v>
      </c>
      <c r="I277" s="29">
        <v>46177.0</v>
      </c>
      <c r="J277" s="52" t="s">
        <v>23</v>
      </c>
      <c r="K277" s="30"/>
      <c r="L277" s="31">
        <v>0.3333333333333333</v>
      </c>
      <c r="M277" s="31">
        <v>0.875</v>
      </c>
      <c r="N277" s="48" t="s">
        <v>1449</v>
      </c>
      <c r="O277" s="33" t="s">
        <v>1450</v>
      </c>
      <c r="P277" s="34" t="s">
        <v>1451</v>
      </c>
      <c r="Q277" s="68" t="s">
        <v>1452</v>
      </c>
      <c r="R277" s="66"/>
      <c r="S277" s="66"/>
      <c r="T277" s="66"/>
      <c r="U277" s="66"/>
      <c r="V277" s="66"/>
      <c r="W277" s="66"/>
      <c r="X277" s="66"/>
      <c r="Y277" s="66"/>
      <c r="Z277" s="66"/>
      <c r="AA277" s="66"/>
      <c r="AB277" s="66"/>
      <c r="AC277" s="66"/>
      <c r="AD277" s="66"/>
      <c r="AE277" s="66"/>
    </row>
    <row r="278">
      <c r="A278" s="13">
        <f t="shared" si="1"/>
        <v>277</v>
      </c>
      <c r="B278" s="45" t="s">
        <v>1453</v>
      </c>
      <c r="C278" s="45" t="s">
        <v>1454</v>
      </c>
      <c r="D278" s="45" t="s">
        <v>19</v>
      </c>
      <c r="E278" s="45" t="s">
        <v>1455</v>
      </c>
      <c r="F278" s="28">
        <v>899.0</v>
      </c>
      <c r="G278" s="45" t="s">
        <v>21</v>
      </c>
      <c r="H278" s="45">
        <v>50000.0</v>
      </c>
      <c r="I278" s="29">
        <v>46238.0</v>
      </c>
      <c r="J278" s="45" t="s">
        <v>23</v>
      </c>
      <c r="K278" s="46"/>
      <c r="L278" s="47">
        <v>0.3333333333333333</v>
      </c>
      <c r="M278" s="47">
        <v>0.9166666666666666</v>
      </c>
      <c r="N278" s="48" t="s">
        <v>1456</v>
      </c>
      <c r="O278" s="33" t="s">
        <v>1457</v>
      </c>
      <c r="P278" s="34" t="s">
        <v>1458</v>
      </c>
      <c r="Q278" s="69" t="s">
        <v>1459</v>
      </c>
      <c r="R278" s="26"/>
      <c r="S278" s="26"/>
      <c r="T278" s="26"/>
      <c r="U278" s="26"/>
      <c r="V278" s="26"/>
      <c r="W278" s="26"/>
      <c r="X278" s="26"/>
      <c r="Y278" s="26"/>
      <c r="Z278" s="26"/>
      <c r="AA278" s="26"/>
      <c r="AB278" s="26"/>
      <c r="AC278" s="26"/>
      <c r="AD278" s="26"/>
      <c r="AE278" s="26"/>
    </row>
    <row r="279">
      <c r="A279" s="13">
        <f t="shared" si="1"/>
        <v>278</v>
      </c>
      <c r="B279" s="7" t="s">
        <v>1460</v>
      </c>
      <c r="C279" s="7" t="s">
        <v>1461</v>
      </c>
      <c r="D279" s="7" t="s">
        <v>34</v>
      </c>
      <c r="E279" s="7" t="s">
        <v>1462</v>
      </c>
      <c r="F279" s="7">
        <v>119.0</v>
      </c>
      <c r="G279" s="7" t="s">
        <v>21</v>
      </c>
      <c r="H279" s="7" t="s">
        <v>22</v>
      </c>
      <c r="I279" s="8">
        <v>46207.0</v>
      </c>
      <c r="J279" s="7" t="s">
        <v>1438</v>
      </c>
      <c r="K279" s="7" t="s">
        <v>66</v>
      </c>
      <c r="L279" s="10">
        <v>0.2708333333333333</v>
      </c>
      <c r="M279" s="10">
        <v>0.625</v>
      </c>
      <c r="N279" s="7" t="s">
        <v>1463</v>
      </c>
      <c r="O279" s="67">
        <v>-7.2737326E7</v>
      </c>
      <c r="P279" s="67">
        <v>1.127843644E9</v>
      </c>
      <c r="Q279" s="68" t="s">
        <v>1464</v>
      </c>
      <c r="R279" s="66"/>
      <c r="S279" s="66"/>
      <c r="T279" s="66"/>
      <c r="U279" s="66"/>
      <c r="V279" s="66"/>
      <c r="W279" s="66"/>
      <c r="X279" s="66"/>
      <c r="Y279" s="66"/>
      <c r="Z279" s="66"/>
      <c r="AA279" s="66"/>
      <c r="AB279" s="66"/>
      <c r="AC279" s="66"/>
      <c r="AD279" s="66"/>
      <c r="AE279" s="66"/>
    </row>
    <row r="280">
      <c r="A280" s="13">
        <f t="shared" si="1"/>
        <v>279</v>
      </c>
      <c r="B280" s="7" t="s">
        <v>1465</v>
      </c>
      <c r="C280" s="7" t="s">
        <v>1466</v>
      </c>
      <c r="D280" s="7" t="s">
        <v>34</v>
      </c>
      <c r="E280" s="7" t="s">
        <v>1467</v>
      </c>
      <c r="F280" s="7">
        <v>5286.0</v>
      </c>
      <c r="G280" s="7" t="s">
        <v>21</v>
      </c>
      <c r="H280" s="7" t="s">
        <v>22</v>
      </c>
      <c r="I280" s="8">
        <v>46269.0</v>
      </c>
      <c r="J280" s="45" t="s">
        <v>23</v>
      </c>
      <c r="K280" s="7"/>
      <c r="L280" s="10">
        <v>0.2916666666666667</v>
      </c>
      <c r="M280" s="10">
        <v>0.9166666666666666</v>
      </c>
      <c r="N280" s="7" t="s">
        <v>1468</v>
      </c>
      <c r="O280" s="67">
        <v>-7.2914282E7</v>
      </c>
      <c r="P280" s="67">
        <v>1.126549355E9</v>
      </c>
      <c r="Q280" s="68" t="s">
        <v>1469</v>
      </c>
      <c r="R280" s="66"/>
      <c r="S280" s="66"/>
      <c r="T280" s="66"/>
      <c r="U280" s="66"/>
      <c r="V280" s="66"/>
      <c r="W280" s="66"/>
      <c r="X280" s="66"/>
      <c r="Y280" s="66"/>
      <c r="Z280" s="66"/>
      <c r="AA280" s="66"/>
      <c r="AB280" s="66"/>
      <c r="AC280" s="66"/>
      <c r="AD280" s="66"/>
      <c r="AE280" s="66"/>
    </row>
    <row r="281">
      <c r="A281" s="13">
        <f t="shared" si="1"/>
        <v>280</v>
      </c>
      <c r="B281" s="7" t="s">
        <v>1470</v>
      </c>
      <c r="C281" s="7" t="s">
        <v>1471</v>
      </c>
      <c r="D281" s="7" t="s">
        <v>34</v>
      </c>
      <c r="E281" s="7" t="s">
        <v>1472</v>
      </c>
      <c r="F281" s="7">
        <v>2633.0</v>
      </c>
      <c r="G281" s="7" t="s">
        <v>21</v>
      </c>
      <c r="H281" s="7" t="s">
        <v>22</v>
      </c>
      <c r="I281" s="8">
        <v>46116.0</v>
      </c>
      <c r="J281" s="45" t="s">
        <v>23</v>
      </c>
      <c r="K281" s="7"/>
      <c r="L281" s="10">
        <v>0.25</v>
      </c>
      <c r="M281" s="10">
        <v>0.9895833333333334</v>
      </c>
      <c r="N281" s="7" t="s">
        <v>1473</v>
      </c>
      <c r="O281" s="67">
        <v>-7290009.0</v>
      </c>
      <c r="P281" s="67">
        <v>1.12775101E8</v>
      </c>
      <c r="Q281" s="68" t="s">
        <v>1474</v>
      </c>
      <c r="R281" s="66"/>
      <c r="S281" s="66"/>
      <c r="T281" s="66"/>
      <c r="U281" s="66"/>
      <c r="V281" s="66"/>
      <c r="W281" s="66"/>
      <c r="X281" s="66"/>
      <c r="Y281" s="66"/>
      <c r="Z281" s="66"/>
      <c r="AA281" s="66"/>
      <c r="AB281" s="66"/>
      <c r="AC281" s="66"/>
      <c r="AD281" s="66"/>
      <c r="AE281" s="66"/>
    </row>
    <row r="282">
      <c r="A282" s="13">
        <f t="shared" si="1"/>
        <v>281</v>
      </c>
      <c r="B282" s="7" t="s">
        <v>1475</v>
      </c>
      <c r="C282" s="7" t="s">
        <v>1476</v>
      </c>
      <c r="D282" s="7" t="s">
        <v>34</v>
      </c>
      <c r="E282" s="7" t="s">
        <v>1477</v>
      </c>
      <c r="F282" s="7">
        <v>130.0</v>
      </c>
      <c r="G282" s="7" t="s">
        <v>21</v>
      </c>
      <c r="H282" s="7" t="s">
        <v>36</v>
      </c>
      <c r="I282" s="8">
        <v>46146.0</v>
      </c>
      <c r="J282" s="45" t="s">
        <v>23</v>
      </c>
      <c r="K282" s="7"/>
      <c r="L282" s="10">
        <v>0.7222222222222222</v>
      </c>
      <c r="M282" s="10">
        <v>0.08333333333333333</v>
      </c>
      <c r="N282" s="7" t="s">
        <v>1478</v>
      </c>
      <c r="O282" s="67">
        <v>-7.2328677E7</v>
      </c>
      <c r="P282" s="67">
        <v>1.127690297E9</v>
      </c>
      <c r="Q282" s="68" t="s">
        <v>1479</v>
      </c>
      <c r="R282" s="66"/>
      <c r="S282" s="66"/>
      <c r="T282" s="66"/>
      <c r="U282" s="66"/>
      <c r="V282" s="66"/>
      <c r="W282" s="66"/>
      <c r="X282" s="66"/>
      <c r="Y282" s="66"/>
      <c r="Z282" s="66"/>
      <c r="AA282" s="66"/>
      <c r="AB282" s="66"/>
      <c r="AC282" s="66"/>
      <c r="AD282" s="66"/>
      <c r="AE282" s="66"/>
    </row>
    <row r="283">
      <c r="A283" s="13">
        <f t="shared" si="1"/>
        <v>282</v>
      </c>
      <c r="B283" s="7" t="s">
        <v>1480</v>
      </c>
      <c r="C283" s="7" t="s">
        <v>1481</v>
      </c>
      <c r="D283" s="7" t="s">
        <v>34</v>
      </c>
      <c r="E283" s="7" t="s">
        <v>1482</v>
      </c>
      <c r="F283" s="7">
        <v>493.0</v>
      </c>
      <c r="G283" s="7" t="s">
        <v>21</v>
      </c>
      <c r="H283" s="7" t="s">
        <v>221</v>
      </c>
      <c r="I283" s="8">
        <v>46057.0</v>
      </c>
      <c r="J283" s="45" t="s">
        <v>23</v>
      </c>
      <c r="K283" s="7"/>
      <c r="L283" s="10">
        <v>0.4166666666666667</v>
      </c>
      <c r="M283" s="10">
        <v>0.9166666666666666</v>
      </c>
      <c r="N283" s="7" t="s">
        <v>1483</v>
      </c>
      <c r="O283" s="67">
        <v>-7.2694312E7</v>
      </c>
      <c r="P283" s="67">
        <v>1.127561374E9</v>
      </c>
      <c r="Q283" s="68" t="s">
        <v>1484</v>
      </c>
      <c r="R283" s="66"/>
      <c r="S283" s="66"/>
      <c r="T283" s="66"/>
      <c r="U283" s="66"/>
      <c r="V283" s="66"/>
      <c r="W283" s="66"/>
      <c r="X283" s="66"/>
      <c r="Y283" s="66"/>
      <c r="Z283" s="66"/>
      <c r="AA283" s="66"/>
      <c r="AB283" s="66"/>
      <c r="AC283" s="66"/>
      <c r="AD283" s="66"/>
      <c r="AE283" s="66"/>
    </row>
    <row r="284">
      <c r="A284" s="13">
        <f t="shared" si="1"/>
        <v>283</v>
      </c>
      <c r="B284" s="7" t="s">
        <v>1485</v>
      </c>
      <c r="C284" s="7" t="s">
        <v>1486</v>
      </c>
      <c r="D284" s="7" t="s">
        <v>34</v>
      </c>
      <c r="E284" s="7" t="s">
        <v>1487</v>
      </c>
      <c r="F284" s="7">
        <v>428.0</v>
      </c>
      <c r="G284" s="7" t="s">
        <v>21</v>
      </c>
      <c r="H284" s="7" t="s">
        <v>36</v>
      </c>
      <c r="I284" s="8">
        <v>46177.0</v>
      </c>
      <c r="J284" s="45" t="s">
        <v>23</v>
      </c>
      <c r="K284" s="7"/>
      <c r="L284" s="10">
        <v>0.4375</v>
      </c>
      <c r="M284" s="10">
        <v>0.875</v>
      </c>
      <c r="N284" s="7" t="s">
        <v>1488</v>
      </c>
      <c r="O284" s="67">
        <v>-7.2602468E7</v>
      </c>
      <c r="P284" s="67">
        <v>1.127747509E9</v>
      </c>
      <c r="Q284" s="68" t="s">
        <v>1489</v>
      </c>
      <c r="R284" s="66"/>
      <c r="S284" s="66"/>
      <c r="T284" s="66"/>
      <c r="U284" s="66"/>
      <c r="V284" s="66"/>
      <c r="W284" s="66"/>
      <c r="X284" s="66"/>
      <c r="Y284" s="66"/>
      <c r="Z284" s="66"/>
      <c r="AA284" s="66"/>
      <c r="AB284" s="66"/>
      <c r="AC284" s="66"/>
      <c r="AD284" s="66"/>
      <c r="AE284" s="66"/>
    </row>
    <row r="285">
      <c r="A285" s="13">
        <f t="shared" si="1"/>
        <v>284</v>
      </c>
      <c r="B285" s="7" t="s">
        <v>1490</v>
      </c>
      <c r="C285" s="7" t="s">
        <v>1491</v>
      </c>
      <c r="D285" s="7" t="s">
        <v>34</v>
      </c>
      <c r="E285" s="7" t="s">
        <v>1492</v>
      </c>
      <c r="F285" s="7">
        <v>126.0</v>
      </c>
      <c r="G285" s="7" t="s">
        <v>21</v>
      </c>
      <c r="H285" s="7" t="s">
        <v>22</v>
      </c>
      <c r="I285" s="8">
        <v>46177.0</v>
      </c>
      <c r="J285" s="45" t="s">
        <v>23</v>
      </c>
      <c r="K285" s="7"/>
      <c r="L285" s="10">
        <v>0.3333333333333333</v>
      </c>
      <c r="M285" s="10">
        <v>0.8333333333333334</v>
      </c>
      <c r="N285" s="7" t="s">
        <v>1493</v>
      </c>
      <c r="O285" s="67">
        <v>-7.2881729E7</v>
      </c>
      <c r="P285" s="67">
        <v>1.128147329E9</v>
      </c>
      <c r="Q285" s="68" t="s">
        <v>1494</v>
      </c>
      <c r="R285" s="66"/>
      <c r="S285" s="66"/>
      <c r="T285" s="66"/>
      <c r="U285" s="66"/>
      <c r="V285" s="66"/>
      <c r="W285" s="66"/>
      <c r="X285" s="66"/>
      <c r="Y285" s="66"/>
      <c r="Z285" s="66"/>
      <c r="AA285" s="66"/>
      <c r="AB285" s="66"/>
      <c r="AC285" s="66"/>
      <c r="AD285" s="66"/>
      <c r="AE285" s="66"/>
    </row>
    <row r="286">
      <c r="A286" s="13">
        <f t="shared" si="1"/>
        <v>285</v>
      </c>
      <c r="B286" s="7" t="s">
        <v>1495</v>
      </c>
      <c r="C286" s="7" t="s">
        <v>1496</v>
      </c>
      <c r="D286" s="7" t="s">
        <v>34</v>
      </c>
      <c r="E286" s="7" t="s">
        <v>1497</v>
      </c>
      <c r="F286" s="7">
        <v>3198.0</v>
      </c>
      <c r="G286" s="7" t="s">
        <v>21</v>
      </c>
      <c r="H286" s="7" t="s">
        <v>36</v>
      </c>
      <c r="I286" s="8">
        <v>46146.0</v>
      </c>
      <c r="J286" s="45" t="s">
        <v>23</v>
      </c>
      <c r="K286" s="7"/>
      <c r="L286" s="10">
        <v>0.3333333333333333</v>
      </c>
      <c r="M286" s="10">
        <v>0.9166666666666666</v>
      </c>
      <c r="N286" s="7" t="s">
        <v>1498</v>
      </c>
      <c r="O286" s="67">
        <v>-7297318.0</v>
      </c>
      <c r="P286" s="67">
        <v>1.12760383E8</v>
      </c>
      <c r="Q286" s="68" t="s">
        <v>1499</v>
      </c>
      <c r="R286" s="66"/>
      <c r="S286" s="66"/>
      <c r="T286" s="66"/>
      <c r="U286" s="66"/>
      <c r="V286" s="66"/>
      <c r="W286" s="66"/>
      <c r="X286" s="66"/>
      <c r="Y286" s="66"/>
      <c r="Z286" s="66"/>
      <c r="AA286" s="66"/>
      <c r="AB286" s="66"/>
      <c r="AC286" s="66"/>
      <c r="AD286" s="66"/>
      <c r="AE286" s="66"/>
    </row>
    <row r="287">
      <c r="A287" s="13">
        <f t="shared" si="1"/>
        <v>286</v>
      </c>
      <c r="B287" s="7" t="s">
        <v>1500</v>
      </c>
      <c r="C287" s="7" t="s">
        <v>1501</v>
      </c>
      <c r="D287" s="7" t="s">
        <v>34</v>
      </c>
      <c r="E287" s="7" t="s">
        <v>1502</v>
      </c>
      <c r="F287" s="7">
        <v>807.0</v>
      </c>
      <c r="G287" s="7" t="s">
        <v>21</v>
      </c>
      <c r="H287" s="7" t="s">
        <v>36</v>
      </c>
      <c r="I287" s="8">
        <v>46057.0</v>
      </c>
      <c r="J287" s="45" t="s">
        <v>23</v>
      </c>
      <c r="K287" s="7"/>
      <c r="L287" s="10">
        <v>0.5</v>
      </c>
      <c r="M287" s="10">
        <v>0.9166666666666666</v>
      </c>
      <c r="N287" s="7" t="s">
        <v>1503</v>
      </c>
      <c r="O287" s="67">
        <v>-7.3000866E7</v>
      </c>
      <c r="P287" s="67">
        <v>1.127740735E9</v>
      </c>
      <c r="Q287" s="68" t="s">
        <v>1504</v>
      </c>
      <c r="R287" s="66"/>
      <c r="S287" s="66"/>
      <c r="T287" s="66"/>
      <c r="U287" s="66"/>
      <c r="V287" s="66"/>
      <c r="W287" s="66"/>
      <c r="X287" s="66"/>
      <c r="Y287" s="66"/>
      <c r="Z287" s="66"/>
      <c r="AA287" s="66"/>
      <c r="AB287" s="66"/>
      <c r="AC287" s="66"/>
      <c r="AD287" s="66"/>
      <c r="AE287" s="66"/>
    </row>
    <row r="288">
      <c r="A288" s="13">
        <f t="shared" si="1"/>
        <v>287</v>
      </c>
      <c r="B288" s="75" t="s">
        <v>1505</v>
      </c>
      <c r="C288" s="70" t="s">
        <v>1506</v>
      </c>
      <c r="D288" s="16" t="s">
        <v>19</v>
      </c>
      <c r="E288" s="70" t="s">
        <v>1507</v>
      </c>
      <c r="F288" s="16">
        <v>1967.0</v>
      </c>
      <c r="G288" s="16" t="s">
        <v>21</v>
      </c>
      <c r="H288" s="26" t="s">
        <v>22</v>
      </c>
      <c r="I288" s="17">
        <v>46177.0</v>
      </c>
      <c r="J288" s="16" t="s">
        <v>23</v>
      </c>
      <c r="K288" s="16"/>
      <c r="L288" s="18">
        <v>0.2916666666666667</v>
      </c>
      <c r="M288" s="18">
        <v>0.9166666666666666</v>
      </c>
      <c r="N288" s="71" t="s">
        <v>1508</v>
      </c>
      <c r="O288" s="72" t="str">
        <f>IFERROR(__xludf.DUMMYFUNCTION("REGEXEXTRACT(N288,""^-?[0-9.]+"")"),"-7.302823534216228")</f>
        <v>-7.302823534216228</v>
      </c>
      <c r="P288" s="73" t="str">
        <f>IFERROR(__xludf.DUMMYFUNCTION("REGEXEXTRACT(N288,"",\s*(-?[0-9.]+)"")"),"112.73201107979453")</f>
        <v>112.73201107979453</v>
      </c>
      <c r="Q288" s="74" t="s">
        <v>1509</v>
      </c>
      <c r="R288" s="26"/>
      <c r="S288" s="26"/>
      <c r="T288" s="26"/>
      <c r="U288" s="26"/>
      <c r="V288" s="26"/>
      <c r="W288" s="26"/>
      <c r="X288" s="26"/>
      <c r="Y288" s="26"/>
      <c r="Z288" s="26"/>
      <c r="AA288" s="26"/>
      <c r="AB288" s="26"/>
      <c r="AC288" s="26"/>
      <c r="AD288" s="26"/>
      <c r="AE288" s="26"/>
    </row>
    <row r="289">
      <c r="A289" s="13">
        <f t="shared" si="1"/>
        <v>288</v>
      </c>
      <c r="B289" s="7" t="s">
        <v>1510</v>
      </c>
      <c r="C289" s="7" t="s">
        <v>1511</v>
      </c>
      <c r="D289" s="7" t="s">
        <v>34</v>
      </c>
      <c r="E289" s="7" t="s">
        <v>1512</v>
      </c>
      <c r="F289" s="7">
        <v>91.0</v>
      </c>
      <c r="G289" s="7" t="s">
        <v>21</v>
      </c>
      <c r="H289" s="26" t="s">
        <v>22</v>
      </c>
      <c r="I289" s="8">
        <v>46177.0</v>
      </c>
      <c r="J289" s="16" t="s">
        <v>23</v>
      </c>
      <c r="K289" s="7"/>
      <c r="L289" s="10">
        <v>0.3333333333333333</v>
      </c>
      <c r="M289" s="10">
        <v>0.8333333333333334</v>
      </c>
      <c r="N289" s="7" t="s">
        <v>1513</v>
      </c>
      <c r="O289" s="67">
        <v>-7.2404722E7</v>
      </c>
      <c r="P289" s="67">
        <v>1.127487752E9</v>
      </c>
      <c r="Q289" s="68" t="s">
        <v>1514</v>
      </c>
      <c r="R289" s="66"/>
      <c r="S289" s="66"/>
      <c r="T289" s="66"/>
      <c r="U289" s="66"/>
      <c r="V289" s="66"/>
      <c r="W289" s="66"/>
      <c r="X289" s="66"/>
      <c r="Y289" s="66"/>
      <c r="Z289" s="66"/>
      <c r="AA289" s="66"/>
      <c r="AB289" s="66"/>
      <c r="AC289" s="66"/>
      <c r="AD289" s="66"/>
      <c r="AE289" s="66"/>
    </row>
    <row r="290">
      <c r="A290" s="13">
        <f t="shared" si="1"/>
        <v>289</v>
      </c>
      <c r="B290" s="7" t="s">
        <v>1515</v>
      </c>
      <c r="C290" s="7" t="s">
        <v>1516</v>
      </c>
      <c r="D290" s="7" t="s">
        <v>34</v>
      </c>
      <c r="E290" s="7" t="s">
        <v>1517</v>
      </c>
      <c r="F290" s="7">
        <v>503.0</v>
      </c>
      <c r="G290" s="7" t="s">
        <v>21</v>
      </c>
      <c r="H290" s="26" t="s">
        <v>22</v>
      </c>
      <c r="I290" s="8">
        <v>46238.0</v>
      </c>
      <c r="J290" s="16" t="s">
        <v>23</v>
      </c>
      <c r="K290" s="7"/>
      <c r="L290" s="10">
        <v>0.4166666666666667</v>
      </c>
      <c r="M290" s="10">
        <v>0.875</v>
      </c>
      <c r="N290" s="7" t="s">
        <v>1518</v>
      </c>
      <c r="O290" s="67">
        <v>-7.2907828E7</v>
      </c>
      <c r="P290" s="67">
        <v>1.126740784E9</v>
      </c>
      <c r="Q290" s="68" t="s">
        <v>1519</v>
      </c>
      <c r="R290" s="66"/>
      <c r="S290" s="66"/>
      <c r="T290" s="66"/>
      <c r="U290" s="66"/>
      <c r="V290" s="66"/>
      <c r="W290" s="66"/>
      <c r="X290" s="66"/>
      <c r="Y290" s="66"/>
      <c r="Z290" s="66"/>
      <c r="AA290" s="66"/>
      <c r="AB290" s="66"/>
      <c r="AC290" s="66"/>
      <c r="AD290" s="66"/>
      <c r="AE290" s="66"/>
    </row>
    <row r="291">
      <c r="A291" s="13">
        <f t="shared" si="1"/>
        <v>290</v>
      </c>
      <c r="B291" s="7" t="s">
        <v>1520</v>
      </c>
      <c r="C291" s="7" t="s">
        <v>1521</v>
      </c>
      <c r="D291" s="7" t="s">
        <v>46</v>
      </c>
      <c r="E291" s="7" t="s">
        <v>1522</v>
      </c>
      <c r="F291" s="7">
        <v>403.0</v>
      </c>
      <c r="G291" s="7" t="s">
        <v>21</v>
      </c>
      <c r="H291" s="66"/>
      <c r="I291" s="8">
        <v>46146.0</v>
      </c>
      <c r="J291" s="16" t="s">
        <v>23</v>
      </c>
      <c r="K291" s="7"/>
      <c r="L291" s="10">
        <v>0.0</v>
      </c>
      <c r="M291" s="10">
        <v>0.9993055555555556</v>
      </c>
      <c r="N291" s="7" t="s">
        <v>1523</v>
      </c>
      <c r="O291" s="67">
        <v>-7255299.0</v>
      </c>
      <c r="P291" s="67">
        <v>1.127432214E9</v>
      </c>
      <c r="Q291" s="68" t="s">
        <v>1524</v>
      </c>
      <c r="R291" s="66"/>
      <c r="S291" s="66"/>
      <c r="T291" s="66"/>
      <c r="U291" s="66"/>
      <c r="V291" s="66"/>
      <c r="W291" s="66"/>
      <c r="X291" s="66"/>
      <c r="Y291" s="66"/>
      <c r="Z291" s="66"/>
      <c r="AA291" s="66"/>
      <c r="AB291" s="66"/>
      <c r="AC291" s="66"/>
      <c r="AD291" s="66"/>
      <c r="AE291" s="66"/>
    </row>
    <row r="292">
      <c r="A292" s="13">
        <f t="shared" si="1"/>
        <v>291</v>
      </c>
      <c r="B292" s="7" t="s">
        <v>1525</v>
      </c>
      <c r="C292" s="7" t="s">
        <v>1526</v>
      </c>
      <c r="D292" s="7" t="s">
        <v>34</v>
      </c>
      <c r="E292" s="7" t="s">
        <v>1527</v>
      </c>
      <c r="F292" s="7">
        <v>41.0</v>
      </c>
      <c r="G292" s="7" t="s">
        <v>21</v>
      </c>
      <c r="H292" s="7" t="s">
        <v>36</v>
      </c>
      <c r="I292" s="8">
        <v>46269.0</v>
      </c>
      <c r="J292" s="15" t="s">
        <v>65</v>
      </c>
      <c r="K292" s="7" t="s">
        <v>66</v>
      </c>
      <c r="L292" s="10">
        <v>0.5416666666666666</v>
      </c>
      <c r="M292" s="10">
        <v>0.9166666666666666</v>
      </c>
      <c r="N292" s="7" t="s">
        <v>1528</v>
      </c>
      <c r="O292" s="67">
        <v>-7.2682919E7</v>
      </c>
      <c r="P292" s="67">
        <v>1.127711725E9</v>
      </c>
      <c r="Q292" s="68" t="s">
        <v>1529</v>
      </c>
      <c r="R292" s="66"/>
      <c r="S292" s="66"/>
      <c r="T292" s="66"/>
      <c r="U292" s="66"/>
      <c r="V292" s="66"/>
      <c r="W292" s="66"/>
      <c r="X292" s="66"/>
      <c r="Y292" s="66"/>
      <c r="Z292" s="66"/>
      <c r="AA292" s="66"/>
      <c r="AB292" s="66"/>
      <c r="AC292" s="66"/>
      <c r="AD292" s="66"/>
      <c r="AE292" s="66"/>
    </row>
    <row r="293">
      <c r="A293" s="13">
        <f t="shared" si="1"/>
        <v>292</v>
      </c>
      <c r="B293" s="7" t="s">
        <v>1530</v>
      </c>
      <c r="C293" s="7" t="s">
        <v>1531</v>
      </c>
      <c r="D293" s="7" t="s">
        <v>19</v>
      </c>
      <c r="E293" s="7" t="s">
        <v>1532</v>
      </c>
      <c r="F293" s="7">
        <v>66.0</v>
      </c>
      <c r="G293" s="7" t="s">
        <v>21</v>
      </c>
      <c r="H293" s="26" t="s">
        <v>22</v>
      </c>
      <c r="I293" s="7" t="s">
        <v>314</v>
      </c>
      <c r="J293" s="16" t="s">
        <v>23</v>
      </c>
      <c r="K293" s="7"/>
      <c r="L293" s="10">
        <v>0.2916666666666667</v>
      </c>
      <c r="M293" s="10">
        <v>0.875</v>
      </c>
      <c r="N293" s="7" t="s">
        <v>1533</v>
      </c>
      <c r="O293" s="67">
        <v>-7278275.0</v>
      </c>
      <c r="P293" s="67">
        <v>1.127314453E9</v>
      </c>
      <c r="Q293" s="68" t="s">
        <v>1534</v>
      </c>
      <c r="R293" s="66"/>
      <c r="S293" s="66"/>
      <c r="T293" s="66"/>
      <c r="U293" s="66"/>
      <c r="V293" s="66"/>
      <c r="W293" s="66"/>
      <c r="X293" s="66"/>
      <c r="Y293" s="66"/>
      <c r="Z293" s="66"/>
      <c r="AA293" s="66"/>
      <c r="AB293" s="66"/>
      <c r="AC293" s="66"/>
      <c r="AD293" s="66"/>
      <c r="AE293" s="66"/>
    </row>
    <row r="294">
      <c r="A294" s="13">
        <f t="shared" si="1"/>
        <v>293</v>
      </c>
      <c r="B294" s="7" t="s">
        <v>1535</v>
      </c>
      <c r="C294" s="7" t="s">
        <v>1536</v>
      </c>
      <c r="D294" s="7" t="s">
        <v>34</v>
      </c>
      <c r="E294" s="7" t="s">
        <v>1537</v>
      </c>
      <c r="F294" s="7">
        <v>167.0</v>
      </c>
      <c r="G294" s="7" t="s">
        <v>21</v>
      </c>
      <c r="H294" s="26" t="s">
        <v>22</v>
      </c>
      <c r="I294" s="8">
        <v>46238.0</v>
      </c>
      <c r="J294" s="16" t="s">
        <v>23</v>
      </c>
      <c r="K294" s="7"/>
      <c r="L294" s="10">
        <v>0.25</v>
      </c>
      <c r="M294" s="10">
        <v>0.9166666666666666</v>
      </c>
      <c r="N294" s="7" t="s">
        <v>1538</v>
      </c>
      <c r="O294" s="67">
        <v>-7.2886365E7</v>
      </c>
      <c r="P294" s="67">
        <v>1.126763465E9</v>
      </c>
      <c r="Q294" s="68" t="s">
        <v>1539</v>
      </c>
      <c r="R294" s="66"/>
      <c r="S294" s="66"/>
      <c r="T294" s="66"/>
      <c r="U294" s="66"/>
      <c r="V294" s="66"/>
      <c r="W294" s="66"/>
      <c r="X294" s="66"/>
      <c r="Y294" s="66"/>
      <c r="Z294" s="66"/>
      <c r="AA294" s="66"/>
      <c r="AB294" s="66"/>
      <c r="AC294" s="66"/>
      <c r="AD294" s="66"/>
      <c r="AE294" s="66"/>
    </row>
    <row r="295">
      <c r="A295" s="13">
        <f t="shared" si="1"/>
        <v>294</v>
      </c>
      <c r="B295" s="7" t="s">
        <v>1540</v>
      </c>
      <c r="C295" s="7" t="s">
        <v>1541</v>
      </c>
      <c r="D295" s="7" t="s">
        <v>34</v>
      </c>
      <c r="E295" s="7" t="s">
        <v>1542</v>
      </c>
      <c r="F295" s="7">
        <v>49.0</v>
      </c>
      <c r="G295" s="7" t="s">
        <v>21</v>
      </c>
      <c r="H295" s="26" t="s">
        <v>22</v>
      </c>
      <c r="I295" s="8">
        <v>46238.0</v>
      </c>
      <c r="J295" s="16" t="s">
        <v>23</v>
      </c>
      <c r="K295" s="7"/>
      <c r="L295" s="10">
        <v>0.7916666666666666</v>
      </c>
      <c r="M295" s="10">
        <v>0.0</v>
      </c>
      <c r="N295" s="7" t="s">
        <v>1543</v>
      </c>
      <c r="O295" s="67">
        <v>-7.2596372E7</v>
      </c>
      <c r="P295" s="67">
        <v>1.127392767E9</v>
      </c>
      <c r="Q295" s="68" t="s">
        <v>1544</v>
      </c>
      <c r="R295" s="66"/>
      <c r="S295" s="66"/>
      <c r="T295" s="66"/>
      <c r="U295" s="66"/>
      <c r="V295" s="66"/>
      <c r="W295" s="66"/>
      <c r="X295" s="66"/>
      <c r="Y295" s="66"/>
      <c r="Z295" s="66"/>
      <c r="AA295" s="66"/>
      <c r="AB295" s="66"/>
      <c r="AC295" s="66"/>
      <c r="AD295" s="66"/>
      <c r="AE295" s="66"/>
    </row>
    <row r="296">
      <c r="A296" s="13">
        <f t="shared" si="1"/>
        <v>295</v>
      </c>
      <c r="B296" s="7" t="s">
        <v>1545</v>
      </c>
      <c r="C296" s="7" t="s">
        <v>1546</v>
      </c>
      <c r="D296" s="7" t="s">
        <v>19</v>
      </c>
      <c r="E296" s="7" t="s">
        <v>1547</v>
      </c>
      <c r="F296" s="7">
        <v>1446.0</v>
      </c>
      <c r="G296" s="7" t="s">
        <v>21</v>
      </c>
      <c r="H296" s="26" t="s">
        <v>22</v>
      </c>
      <c r="I296" s="8">
        <v>46177.0</v>
      </c>
      <c r="J296" s="16" t="s">
        <v>23</v>
      </c>
      <c r="K296" s="7"/>
      <c r="L296" s="10">
        <v>0.4583333333333333</v>
      </c>
      <c r="M296" s="10">
        <v>0.875</v>
      </c>
      <c r="N296" s="7" t="s">
        <v>1548</v>
      </c>
      <c r="O296" s="67">
        <v>-7.3423267E7</v>
      </c>
      <c r="P296" s="67">
        <v>1.12724097E8</v>
      </c>
      <c r="Q296" s="68" t="s">
        <v>1549</v>
      </c>
      <c r="R296" s="66"/>
      <c r="S296" s="66"/>
      <c r="T296" s="66"/>
      <c r="U296" s="66"/>
      <c r="V296" s="66"/>
      <c r="W296" s="66"/>
      <c r="X296" s="66"/>
      <c r="Y296" s="66"/>
      <c r="Z296" s="66"/>
      <c r="AA296" s="66"/>
      <c r="AB296" s="66"/>
      <c r="AC296" s="66"/>
      <c r="AD296" s="66"/>
      <c r="AE296" s="66"/>
    </row>
    <row r="297">
      <c r="A297" s="13">
        <f t="shared" si="1"/>
        <v>296</v>
      </c>
      <c r="B297" s="7" t="s">
        <v>1550</v>
      </c>
      <c r="C297" s="7" t="s">
        <v>1551</v>
      </c>
      <c r="D297" s="7" t="s">
        <v>46</v>
      </c>
      <c r="E297" s="7" t="s">
        <v>1552</v>
      </c>
      <c r="F297" s="7">
        <v>15.0</v>
      </c>
      <c r="G297" s="7" t="s">
        <v>21</v>
      </c>
      <c r="H297" s="66"/>
      <c r="I297" s="8">
        <v>46146.0</v>
      </c>
      <c r="J297" s="16" t="s">
        <v>23</v>
      </c>
      <c r="K297" s="7"/>
      <c r="L297" s="10">
        <v>0.0</v>
      </c>
      <c r="M297" s="10">
        <v>0.9993055555555556</v>
      </c>
      <c r="N297" s="7" t="s">
        <v>1553</v>
      </c>
      <c r="O297" s="67">
        <v>-7.2945069E7</v>
      </c>
      <c r="P297" s="67">
        <v>1.128026249E9</v>
      </c>
      <c r="Q297" s="68" t="s">
        <v>1554</v>
      </c>
      <c r="R297" s="66"/>
      <c r="S297" s="66"/>
      <c r="T297" s="66"/>
      <c r="U297" s="66"/>
      <c r="V297" s="66"/>
      <c r="W297" s="66"/>
      <c r="X297" s="66"/>
      <c r="Y297" s="66"/>
      <c r="Z297" s="66"/>
      <c r="AA297" s="66"/>
      <c r="AB297" s="66"/>
      <c r="AC297" s="66"/>
      <c r="AD297" s="66"/>
      <c r="AE297" s="66"/>
    </row>
    <row r="298">
      <c r="A298" s="13">
        <f t="shared" si="1"/>
        <v>297</v>
      </c>
      <c r="B298" s="28" t="s">
        <v>1555</v>
      </c>
      <c r="C298" s="28" t="s">
        <v>1556</v>
      </c>
      <c r="D298" s="28" t="s">
        <v>46</v>
      </c>
      <c r="E298" s="28" t="s">
        <v>1557</v>
      </c>
      <c r="F298" s="28">
        <v>1376.0</v>
      </c>
      <c r="G298" s="28" t="s">
        <v>21</v>
      </c>
      <c r="H298" s="28">
        <v>5000.0</v>
      </c>
      <c r="I298" s="29">
        <v>46238.0</v>
      </c>
      <c r="J298" s="28" t="s">
        <v>388</v>
      </c>
      <c r="K298" s="28" t="s">
        <v>59</v>
      </c>
      <c r="L298" s="31">
        <v>0.3333333333333333</v>
      </c>
      <c r="M298" s="31">
        <v>0.875</v>
      </c>
      <c r="N298" s="32" t="s">
        <v>1558</v>
      </c>
      <c r="O298" s="33" t="s">
        <v>1559</v>
      </c>
      <c r="P298" s="34" t="s">
        <v>1560</v>
      </c>
      <c r="Q298" s="69" t="s">
        <v>1459</v>
      </c>
      <c r="R298" s="26"/>
      <c r="S298" s="26"/>
      <c r="T298" s="26"/>
      <c r="U298" s="26"/>
      <c r="V298" s="26"/>
      <c r="W298" s="26"/>
      <c r="X298" s="26"/>
      <c r="Y298" s="26"/>
      <c r="Z298" s="26"/>
      <c r="AA298" s="26"/>
      <c r="AB298" s="26"/>
      <c r="AC298" s="26"/>
      <c r="AD298" s="26"/>
      <c r="AE298" s="26"/>
    </row>
    <row r="299">
      <c r="A299" s="13">
        <f t="shared" si="1"/>
        <v>298</v>
      </c>
      <c r="B299" s="7" t="s">
        <v>1561</v>
      </c>
      <c r="C299" s="7" t="s">
        <v>1562</v>
      </c>
      <c r="D299" s="7" t="s">
        <v>34</v>
      </c>
      <c r="E299" s="7" t="s">
        <v>1563</v>
      </c>
      <c r="F299" s="7">
        <v>576.0</v>
      </c>
      <c r="G299" s="7" t="s">
        <v>21</v>
      </c>
      <c r="H299" s="26" t="s">
        <v>22</v>
      </c>
      <c r="I299" s="7" t="s">
        <v>485</v>
      </c>
      <c r="J299" s="16" t="s">
        <v>23</v>
      </c>
      <c r="K299" s="7"/>
      <c r="L299" s="10">
        <v>0.3333333333333333</v>
      </c>
      <c r="M299" s="10">
        <v>0.875</v>
      </c>
      <c r="N299" s="7" t="s">
        <v>1564</v>
      </c>
      <c r="O299" s="67">
        <v>-7291566.0</v>
      </c>
      <c r="P299" s="67">
        <v>1.127339316E9</v>
      </c>
      <c r="Q299" s="68" t="s">
        <v>1565</v>
      </c>
      <c r="R299" s="66"/>
      <c r="S299" s="66"/>
      <c r="T299" s="66"/>
      <c r="U299" s="66"/>
      <c r="V299" s="66"/>
      <c r="W299" s="66"/>
      <c r="X299" s="66"/>
      <c r="Y299" s="66"/>
      <c r="Z299" s="66"/>
      <c r="AA299" s="66"/>
      <c r="AB299" s="66"/>
      <c r="AC299" s="66"/>
      <c r="AD299" s="66"/>
      <c r="AE299" s="66"/>
    </row>
    <row r="300">
      <c r="A300" s="13">
        <f t="shared" si="1"/>
        <v>299</v>
      </c>
      <c r="B300" s="7" t="s">
        <v>1566</v>
      </c>
      <c r="C300" s="7" t="s">
        <v>1567</v>
      </c>
      <c r="D300" s="7" t="s">
        <v>34</v>
      </c>
      <c r="E300" s="7" t="s">
        <v>1568</v>
      </c>
      <c r="F300" s="7">
        <v>160.0</v>
      </c>
      <c r="G300" s="7" t="s">
        <v>21</v>
      </c>
      <c r="H300" s="7" t="s">
        <v>36</v>
      </c>
      <c r="I300" s="8">
        <v>46207.0</v>
      </c>
      <c r="J300" s="16" t="s">
        <v>23</v>
      </c>
      <c r="K300" s="7"/>
      <c r="L300" s="10">
        <v>0.5</v>
      </c>
      <c r="M300" s="10">
        <v>0.875</v>
      </c>
      <c r="N300" s="7" t="s">
        <v>1569</v>
      </c>
      <c r="O300" s="67">
        <v>-7.2749618E7</v>
      </c>
      <c r="P300" s="67">
        <v>1.127626265E9</v>
      </c>
      <c r="Q300" s="68" t="s">
        <v>1570</v>
      </c>
      <c r="R300" s="66"/>
      <c r="S300" s="66"/>
      <c r="T300" s="66"/>
      <c r="U300" s="66"/>
      <c r="V300" s="66"/>
      <c r="W300" s="66"/>
      <c r="X300" s="66"/>
      <c r="Y300" s="66"/>
      <c r="Z300" s="66"/>
      <c r="AA300" s="66"/>
      <c r="AB300" s="66"/>
      <c r="AC300" s="66"/>
      <c r="AD300" s="66"/>
      <c r="AE300" s="66"/>
    </row>
    <row r="301">
      <c r="A301" s="13">
        <f t="shared" si="1"/>
        <v>300</v>
      </c>
      <c r="B301" s="7" t="s">
        <v>1571</v>
      </c>
      <c r="C301" s="7" t="s">
        <v>1572</v>
      </c>
      <c r="D301" s="7" t="s">
        <v>34</v>
      </c>
      <c r="E301" s="7" t="s">
        <v>1573</v>
      </c>
      <c r="F301" s="7">
        <v>151.0</v>
      </c>
      <c r="G301" s="7" t="s">
        <v>21</v>
      </c>
      <c r="H301" s="7">
        <v>150000.0</v>
      </c>
      <c r="I301" s="8">
        <v>46238.0</v>
      </c>
      <c r="J301" s="16" t="s">
        <v>23</v>
      </c>
      <c r="K301" s="7"/>
      <c r="L301" s="10">
        <v>0.25</v>
      </c>
      <c r="M301" s="10">
        <v>0.9166666666666666</v>
      </c>
      <c r="N301" s="7" t="s">
        <v>1574</v>
      </c>
      <c r="O301" s="67">
        <v>-7.2756043E7</v>
      </c>
      <c r="P301" s="67">
        <v>1.128042503E9</v>
      </c>
      <c r="Q301" s="68" t="s">
        <v>1575</v>
      </c>
      <c r="R301" s="66"/>
      <c r="S301" s="66"/>
      <c r="T301" s="66"/>
      <c r="U301" s="66"/>
      <c r="V301" s="66"/>
      <c r="W301" s="66"/>
      <c r="X301" s="66"/>
      <c r="Y301" s="66"/>
      <c r="Z301" s="66"/>
      <c r="AA301" s="66"/>
      <c r="AB301" s="66"/>
      <c r="AC301" s="66"/>
      <c r="AD301" s="66"/>
      <c r="AE301" s="66"/>
    </row>
    <row r="302">
      <c r="A302" s="13">
        <f t="shared" si="1"/>
        <v>301</v>
      </c>
      <c r="B302" s="7" t="s">
        <v>1576</v>
      </c>
      <c r="C302" s="7" t="s">
        <v>1577</v>
      </c>
      <c r="D302" s="7" t="s">
        <v>1401</v>
      </c>
      <c r="E302" s="7" t="s">
        <v>1578</v>
      </c>
      <c r="F302" s="7">
        <v>318.0</v>
      </c>
      <c r="G302" s="7" t="s">
        <v>21</v>
      </c>
      <c r="H302" s="26" t="s">
        <v>22</v>
      </c>
      <c r="I302" s="8">
        <v>46207.0</v>
      </c>
      <c r="J302" s="16" t="s">
        <v>23</v>
      </c>
      <c r="K302" s="7"/>
      <c r="L302" s="10">
        <v>0.2916666666666667</v>
      </c>
      <c r="M302" s="10">
        <v>0.7916666666666666</v>
      </c>
      <c r="N302" s="7" t="s">
        <v>1579</v>
      </c>
      <c r="O302" s="67">
        <v>-7283174.0</v>
      </c>
      <c r="P302" s="67">
        <v>1.126581025E9</v>
      </c>
      <c r="Q302" s="68" t="s">
        <v>1580</v>
      </c>
      <c r="R302" s="66"/>
      <c r="S302" s="66"/>
      <c r="T302" s="66"/>
      <c r="U302" s="66"/>
      <c r="V302" s="66"/>
      <c r="W302" s="66"/>
      <c r="X302" s="66"/>
      <c r="Y302" s="66"/>
      <c r="Z302" s="66"/>
      <c r="AA302" s="66"/>
      <c r="AB302" s="66"/>
      <c r="AC302" s="66"/>
      <c r="AD302" s="66"/>
      <c r="AE302" s="66"/>
    </row>
    <row r="303">
      <c r="A303" s="13">
        <f t="shared" si="1"/>
        <v>302</v>
      </c>
      <c r="B303" s="7" t="s">
        <v>1581</v>
      </c>
      <c r="C303" s="7" t="s">
        <v>1582</v>
      </c>
      <c r="D303" s="7" t="s">
        <v>34</v>
      </c>
      <c r="E303" s="7" t="s">
        <v>1583</v>
      </c>
      <c r="F303" s="7">
        <v>8900.0</v>
      </c>
      <c r="G303" s="7" t="s">
        <v>21</v>
      </c>
      <c r="H303" s="26" t="s">
        <v>22</v>
      </c>
      <c r="I303" s="8">
        <v>46116.0</v>
      </c>
      <c r="J303" s="16" t="s">
        <v>23</v>
      </c>
      <c r="K303" s="7"/>
      <c r="L303" s="10">
        <v>0.375</v>
      </c>
      <c r="M303" s="10">
        <v>0.125</v>
      </c>
      <c r="N303" s="7" t="s">
        <v>1584</v>
      </c>
      <c r="O303" s="67">
        <v>-7.2918496E7</v>
      </c>
      <c r="P303" s="67">
        <v>1.127401047E9</v>
      </c>
      <c r="Q303" s="68" t="s">
        <v>1585</v>
      </c>
      <c r="R303" s="66"/>
      <c r="S303" s="66"/>
      <c r="T303" s="66"/>
      <c r="U303" s="66"/>
      <c r="V303" s="66"/>
      <c r="W303" s="66"/>
      <c r="X303" s="66"/>
      <c r="Y303" s="66"/>
      <c r="Z303" s="66"/>
      <c r="AA303" s="66"/>
      <c r="AB303" s="66"/>
      <c r="AC303" s="66"/>
      <c r="AD303" s="66"/>
      <c r="AE303" s="66"/>
    </row>
    <row r="304">
      <c r="A304" s="13">
        <f t="shared" si="1"/>
        <v>303</v>
      </c>
      <c r="B304" s="7" t="s">
        <v>1586</v>
      </c>
      <c r="C304" s="7" t="s">
        <v>1587</v>
      </c>
      <c r="D304" s="7" t="s">
        <v>1401</v>
      </c>
      <c r="E304" s="7" t="s">
        <v>1588</v>
      </c>
      <c r="F304" s="7">
        <v>562.0</v>
      </c>
      <c r="G304" s="7" t="s">
        <v>21</v>
      </c>
      <c r="H304" s="7">
        <v>250000.0</v>
      </c>
      <c r="I304" s="8">
        <v>46146.0</v>
      </c>
      <c r="J304" s="16" t="s">
        <v>23</v>
      </c>
      <c r="K304" s="7"/>
      <c r="L304" s="10">
        <v>0.25</v>
      </c>
      <c r="M304" s="10">
        <v>0.9583333333333334</v>
      </c>
      <c r="N304" s="7" t="s">
        <v>1589</v>
      </c>
      <c r="O304" s="67">
        <v>-7262976.0</v>
      </c>
      <c r="P304" s="67">
        <v>1.127380948E9</v>
      </c>
      <c r="Q304" s="68" t="s">
        <v>1590</v>
      </c>
      <c r="R304" s="66"/>
      <c r="S304" s="66"/>
      <c r="T304" s="66"/>
      <c r="U304" s="66"/>
      <c r="V304" s="66"/>
      <c r="W304" s="66"/>
      <c r="X304" s="66"/>
      <c r="Y304" s="66"/>
      <c r="Z304" s="66"/>
      <c r="AA304" s="66"/>
      <c r="AB304" s="66"/>
      <c r="AC304" s="66"/>
      <c r="AD304" s="66"/>
      <c r="AE304" s="66"/>
    </row>
    <row r="305">
      <c r="A305" s="13">
        <f t="shared" si="1"/>
        <v>304</v>
      </c>
      <c r="B305" s="7" t="s">
        <v>1591</v>
      </c>
      <c r="C305" s="7" t="s">
        <v>1592</v>
      </c>
      <c r="D305" s="7" t="s">
        <v>34</v>
      </c>
      <c r="E305" s="7" t="s">
        <v>1593</v>
      </c>
      <c r="F305" s="7">
        <v>284.0</v>
      </c>
      <c r="G305" s="7" t="s">
        <v>21</v>
      </c>
      <c r="H305" s="7" t="s">
        <v>36</v>
      </c>
      <c r="I305" s="8">
        <v>46177.0</v>
      </c>
      <c r="J305" s="15" t="s">
        <v>388</v>
      </c>
      <c r="K305" s="7"/>
      <c r="L305" s="10">
        <v>0.4166666666666667</v>
      </c>
      <c r="M305" s="10">
        <v>0.9583333333333334</v>
      </c>
      <c r="N305" s="7" t="s">
        <v>1594</v>
      </c>
      <c r="O305" s="67">
        <v>-7.3033703E7</v>
      </c>
      <c r="P305" s="67">
        <v>1.127498347E9</v>
      </c>
      <c r="Q305" s="68" t="s">
        <v>1595</v>
      </c>
      <c r="R305" s="66"/>
      <c r="S305" s="66"/>
      <c r="T305" s="66"/>
      <c r="U305" s="66"/>
      <c r="V305" s="66"/>
      <c r="W305" s="66"/>
      <c r="X305" s="66"/>
      <c r="Y305" s="66"/>
      <c r="Z305" s="66"/>
      <c r="AA305" s="66"/>
      <c r="AB305" s="66"/>
      <c r="AC305" s="66"/>
      <c r="AD305" s="66"/>
      <c r="AE305" s="66"/>
    </row>
    <row r="306">
      <c r="A306" s="13">
        <f t="shared" si="1"/>
        <v>305</v>
      </c>
      <c r="B306" s="7" t="s">
        <v>1596</v>
      </c>
      <c r="C306" s="7" t="s">
        <v>1597</v>
      </c>
      <c r="D306" s="7" t="s">
        <v>34</v>
      </c>
      <c r="E306" s="7" t="s">
        <v>1598</v>
      </c>
      <c r="F306" s="7">
        <v>1864.0</v>
      </c>
      <c r="G306" s="7" t="s">
        <v>21</v>
      </c>
      <c r="H306" s="26" t="s">
        <v>22</v>
      </c>
      <c r="I306" s="8">
        <v>46026.0</v>
      </c>
      <c r="J306" s="16" t="s">
        <v>23</v>
      </c>
      <c r="K306" s="7"/>
      <c r="L306" s="10">
        <v>0.2916666666666667</v>
      </c>
      <c r="M306" s="10">
        <v>0.6458333333333334</v>
      </c>
      <c r="N306" s="7" t="s">
        <v>1599</v>
      </c>
      <c r="O306" s="67">
        <v>-7.2722468E7</v>
      </c>
      <c r="P306" s="67">
        <v>1.127479611E9</v>
      </c>
      <c r="Q306" s="68" t="s">
        <v>1600</v>
      </c>
      <c r="R306" s="66"/>
      <c r="S306" s="66"/>
      <c r="T306" s="66"/>
      <c r="U306" s="66"/>
      <c r="V306" s="66"/>
      <c r="W306" s="66"/>
      <c r="X306" s="66"/>
      <c r="Y306" s="66"/>
      <c r="Z306" s="66"/>
      <c r="AA306" s="66"/>
      <c r="AB306" s="66"/>
      <c r="AC306" s="66"/>
      <c r="AD306" s="66"/>
      <c r="AE306" s="66"/>
    </row>
    <row r="307">
      <c r="A307" s="13">
        <f t="shared" si="1"/>
        <v>306</v>
      </c>
      <c r="B307" s="7" t="s">
        <v>1601</v>
      </c>
      <c r="C307" s="7" t="s">
        <v>1602</v>
      </c>
      <c r="D307" s="7" t="s">
        <v>34</v>
      </c>
      <c r="E307" s="7" t="s">
        <v>1603</v>
      </c>
      <c r="F307" s="7">
        <v>22.0</v>
      </c>
      <c r="G307" s="7" t="s">
        <v>21</v>
      </c>
      <c r="H307" s="7" t="s">
        <v>36</v>
      </c>
      <c r="I307" s="8">
        <v>46207.0</v>
      </c>
      <c r="J307" s="16" t="s">
        <v>23</v>
      </c>
      <c r="K307" s="7"/>
      <c r="L307" s="10">
        <v>0.0</v>
      </c>
      <c r="M307" s="10">
        <v>0.9993055555555556</v>
      </c>
      <c r="N307" s="7" t="s">
        <v>1604</v>
      </c>
      <c r="O307" s="67">
        <v>-7287597.0</v>
      </c>
      <c r="P307" s="67">
        <v>1.127636441E9</v>
      </c>
      <c r="Q307" s="68" t="s">
        <v>1605</v>
      </c>
      <c r="R307" s="66"/>
      <c r="S307" s="66"/>
      <c r="T307" s="66"/>
      <c r="U307" s="66"/>
      <c r="V307" s="66"/>
      <c r="W307" s="66"/>
      <c r="X307" s="66"/>
      <c r="Y307" s="66"/>
      <c r="Z307" s="66"/>
      <c r="AA307" s="66"/>
      <c r="AB307" s="66"/>
      <c r="AC307" s="66"/>
      <c r="AD307" s="66"/>
      <c r="AE307" s="66"/>
    </row>
    <row r="308">
      <c r="A308" s="13">
        <f t="shared" si="1"/>
        <v>307</v>
      </c>
      <c r="B308" s="7" t="s">
        <v>1606</v>
      </c>
      <c r="C308" s="7" t="s">
        <v>1607</v>
      </c>
      <c r="D308" s="7" t="s">
        <v>34</v>
      </c>
      <c r="E308" s="7" t="s">
        <v>1608</v>
      </c>
      <c r="F308" s="7">
        <v>15.0</v>
      </c>
      <c r="G308" s="7" t="s">
        <v>21</v>
      </c>
      <c r="H308" s="7" t="s">
        <v>36</v>
      </c>
      <c r="I308" s="7">
        <v>5.0</v>
      </c>
      <c r="J308" s="7" t="s">
        <v>65</v>
      </c>
      <c r="K308" s="7" t="s">
        <v>66</v>
      </c>
      <c r="L308" s="10">
        <v>0.4166666666666667</v>
      </c>
      <c r="M308" s="10">
        <v>0.875</v>
      </c>
      <c r="N308" s="7" t="s">
        <v>1609</v>
      </c>
      <c r="O308" s="67">
        <v>-7.2600551E7</v>
      </c>
      <c r="P308" s="67">
        <v>1.127371985E9</v>
      </c>
      <c r="Q308" s="68" t="s">
        <v>1610</v>
      </c>
      <c r="R308" s="66"/>
      <c r="S308" s="66"/>
      <c r="T308" s="66"/>
      <c r="U308" s="66"/>
      <c r="V308" s="66"/>
      <c r="W308" s="66"/>
      <c r="X308" s="66"/>
      <c r="Y308" s="66"/>
      <c r="Z308" s="66"/>
      <c r="AA308" s="66"/>
      <c r="AB308" s="66"/>
      <c r="AC308" s="66"/>
      <c r="AD308" s="66"/>
      <c r="AE308" s="66"/>
    </row>
    <row r="309">
      <c r="A309" s="13">
        <f t="shared" si="1"/>
        <v>308</v>
      </c>
      <c r="B309" s="7" t="s">
        <v>1611</v>
      </c>
      <c r="C309" s="7" t="s">
        <v>1612</v>
      </c>
      <c r="D309" s="7" t="s">
        <v>34</v>
      </c>
      <c r="E309" s="7" t="s">
        <v>1613</v>
      </c>
      <c r="F309" s="7">
        <v>1249.0</v>
      </c>
      <c r="G309" s="7" t="s">
        <v>21</v>
      </c>
      <c r="H309" s="26" t="s">
        <v>22</v>
      </c>
      <c r="I309" s="8">
        <v>46146.0</v>
      </c>
      <c r="J309" s="16" t="s">
        <v>23</v>
      </c>
      <c r="K309" s="7"/>
      <c r="L309" s="10">
        <v>0.375</v>
      </c>
      <c r="M309" s="10">
        <v>0.9375</v>
      </c>
      <c r="N309" s="7" t="s">
        <v>1614</v>
      </c>
      <c r="O309" s="67">
        <v>-7.3276464E7</v>
      </c>
      <c r="P309" s="67">
        <v>1.12733565E8</v>
      </c>
      <c r="Q309" s="68" t="s">
        <v>1615</v>
      </c>
      <c r="R309" s="66"/>
      <c r="S309" s="66"/>
      <c r="T309" s="66"/>
      <c r="U309" s="66"/>
      <c r="V309" s="66"/>
      <c r="W309" s="66"/>
      <c r="X309" s="66"/>
      <c r="Y309" s="66"/>
      <c r="Z309" s="66"/>
      <c r="AA309" s="66"/>
      <c r="AB309" s="66"/>
      <c r="AC309" s="66"/>
      <c r="AD309" s="66"/>
      <c r="AE309" s="66"/>
    </row>
    <row r="310">
      <c r="A310" s="13">
        <f t="shared" si="1"/>
        <v>309</v>
      </c>
      <c r="B310" s="7" t="s">
        <v>1616</v>
      </c>
      <c r="C310" s="7" t="s">
        <v>1617</v>
      </c>
      <c r="D310" s="7" t="s">
        <v>46</v>
      </c>
      <c r="E310" s="7" t="s">
        <v>1618</v>
      </c>
      <c r="F310" s="7">
        <v>84.0</v>
      </c>
      <c r="G310" s="7" t="s">
        <v>21</v>
      </c>
      <c r="H310" s="66"/>
      <c r="I310" s="8">
        <v>46085.0</v>
      </c>
      <c r="J310" s="16" t="s">
        <v>23</v>
      </c>
      <c r="K310" s="7"/>
      <c r="L310" s="10">
        <v>0.0</v>
      </c>
      <c r="M310" s="10">
        <v>0.9993055555555556</v>
      </c>
      <c r="N310" s="7" t="s">
        <v>1619</v>
      </c>
      <c r="O310" s="67">
        <v>-7.2371504E7</v>
      </c>
      <c r="P310" s="67">
        <v>1.127343491E9</v>
      </c>
      <c r="Q310" s="68" t="s">
        <v>1620</v>
      </c>
      <c r="R310" s="66"/>
      <c r="S310" s="66"/>
      <c r="T310" s="66"/>
      <c r="U310" s="66"/>
      <c r="V310" s="66"/>
      <c r="W310" s="66"/>
      <c r="X310" s="66"/>
      <c r="Y310" s="66"/>
      <c r="Z310" s="66"/>
      <c r="AA310" s="66"/>
      <c r="AB310" s="66"/>
      <c r="AC310" s="66"/>
      <c r="AD310" s="66"/>
      <c r="AE310" s="66"/>
    </row>
    <row r="311">
      <c r="A311" s="13">
        <f t="shared" si="1"/>
        <v>310</v>
      </c>
      <c r="B311" s="7" t="s">
        <v>1621</v>
      </c>
      <c r="C311" s="7" t="s">
        <v>1622</v>
      </c>
      <c r="D311" s="7" t="s">
        <v>34</v>
      </c>
      <c r="E311" s="7" t="s">
        <v>1623</v>
      </c>
      <c r="F311" s="7">
        <v>25.0</v>
      </c>
      <c r="G311" s="7" t="s">
        <v>21</v>
      </c>
      <c r="H311" s="7" t="s">
        <v>36</v>
      </c>
      <c r="I311" s="8">
        <v>46207.0</v>
      </c>
      <c r="J311" s="16" t="s">
        <v>23</v>
      </c>
      <c r="K311" s="7"/>
      <c r="L311" s="10">
        <v>0.375</v>
      </c>
      <c r="M311" s="10">
        <v>0.875</v>
      </c>
      <c r="N311" s="7" t="s">
        <v>1624</v>
      </c>
      <c r="O311" s="67">
        <v>-7.2567686E7</v>
      </c>
      <c r="P311" s="67">
        <v>1.127376015E9</v>
      </c>
      <c r="Q311" s="68" t="s">
        <v>1625</v>
      </c>
      <c r="R311" s="66"/>
      <c r="S311" s="66"/>
      <c r="T311" s="66"/>
      <c r="U311" s="66"/>
      <c r="V311" s="66"/>
      <c r="W311" s="66"/>
      <c r="X311" s="66"/>
      <c r="Y311" s="66"/>
      <c r="Z311" s="66"/>
      <c r="AA311" s="66"/>
      <c r="AB311" s="66"/>
      <c r="AC311" s="66"/>
      <c r="AD311" s="66"/>
      <c r="AE311" s="66"/>
    </row>
    <row r="312">
      <c r="A312" s="13">
        <f t="shared" si="1"/>
        <v>311</v>
      </c>
      <c r="B312" s="7" t="s">
        <v>1626</v>
      </c>
      <c r="C312" s="7" t="s">
        <v>1627</v>
      </c>
      <c r="D312" s="7" t="s">
        <v>34</v>
      </c>
      <c r="E312" s="7" t="s">
        <v>1628</v>
      </c>
      <c r="F312" s="7">
        <v>954.0</v>
      </c>
      <c r="G312" s="7" t="s">
        <v>21</v>
      </c>
      <c r="H312" s="26" t="s">
        <v>22</v>
      </c>
      <c r="I312" s="8">
        <v>46085.0</v>
      </c>
      <c r="J312" s="16" t="s">
        <v>23</v>
      </c>
      <c r="K312" s="7"/>
      <c r="L312" s="10">
        <v>0.3333333333333333</v>
      </c>
      <c r="M312" s="10">
        <v>0.8541666666666666</v>
      </c>
      <c r="N312" s="7" t="s">
        <v>1629</v>
      </c>
      <c r="O312" s="67">
        <v>-7329177.0</v>
      </c>
      <c r="P312" s="67">
        <v>1.127462533E9</v>
      </c>
      <c r="Q312" s="68" t="s">
        <v>1630</v>
      </c>
      <c r="R312" s="66"/>
      <c r="S312" s="66"/>
      <c r="T312" s="66"/>
      <c r="U312" s="66"/>
      <c r="V312" s="66"/>
      <c r="W312" s="66"/>
      <c r="X312" s="66"/>
      <c r="Y312" s="66"/>
      <c r="Z312" s="66"/>
      <c r="AA312" s="66"/>
      <c r="AB312" s="66"/>
      <c r="AC312" s="66"/>
      <c r="AD312" s="66"/>
      <c r="AE312" s="66"/>
    </row>
    <row r="313">
      <c r="A313" s="13">
        <f t="shared" si="1"/>
        <v>312</v>
      </c>
      <c r="B313" s="7" t="s">
        <v>1631</v>
      </c>
      <c r="C313" s="7" t="s">
        <v>1632</v>
      </c>
      <c r="D313" s="7" t="s">
        <v>46</v>
      </c>
      <c r="E313" s="7" t="s">
        <v>1633</v>
      </c>
      <c r="F313" s="7">
        <v>4.0</v>
      </c>
      <c r="G313" s="7" t="s">
        <v>21</v>
      </c>
      <c r="H313" s="66"/>
      <c r="I313" s="7">
        <v>4.0</v>
      </c>
      <c r="J313" s="16" t="s">
        <v>23</v>
      </c>
      <c r="K313" s="7"/>
      <c r="L313" s="10">
        <v>0.0</v>
      </c>
      <c r="M313" s="10">
        <v>0.9993055555555556</v>
      </c>
      <c r="N313" s="7" t="s">
        <v>1634</v>
      </c>
      <c r="O313" s="67">
        <v>-7.3077843E7</v>
      </c>
      <c r="P313" s="67">
        <v>1.128160651E9</v>
      </c>
      <c r="Q313" s="68" t="s">
        <v>1635</v>
      </c>
      <c r="R313" s="66"/>
      <c r="S313" s="66"/>
      <c r="T313" s="66"/>
      <c r="U313" s="66"/>
      <c r="V313" s="66"/>
      <c r="W313" s="66"/>
      <c r="X313" s="66"/>
      <c r="Y313" s="66"/>
      <c r="Z313" s="66"/>
      <c r="AA313" s="66"/>
      <c r="AB313" s="66"/>
      <c r="AC313" s="66"/>
      <c r="AD313" s="66"/>
      <c r="AE313" s="66"/>
    </row>
    <row r="314">
      <c r="A314" s="13">
        <f t="shared" si="1"/>
        <v>313</v>
      </c>
      <c r="B314" s="7" t="s">
        <v>1636</v>
      </c>
      <c r="C314" s="7" t="s">
        <v>1637</v>
      </c>
      <c r="D314" s="7" t="s">
        <v>34</v>
      </c>
      <c r="E314" s="7" t="s">
        <v>1638</v>
      </c>
      <c r="F314" s="7">
        <v>16.0</v>
      </c>
      <c r="G314" s="7" t="s">
        <v>21</v>
      </c>
      <c r="H314" s="7" t="s">
        <v>36</v>
      </c>
      <c r="I314" s="8">
        <v>46238.0</v>
      </c>
      <c r="J314" s="16" t="s">
        <v>23</v>
      </c>
      <c r="K314" s="7"/>
      <c r="L314" s="10">
        <v>0.0</v>
      </c>
      <c r="M314" s="10">
        <v>0.9993055555555556</v>
      </c>
      <c r="N314" s="7" t="s">
        <v>1639</v>
      </c>
      <c r="O314" s="67">
        <v>-7.3007829E7</v>
      </c>
      <c r="P314" s="67">
        <v>1.127373966E9</v>
      </c>
      <c r="Q314" s="68" t="s">
        <v>1640</v>
      </c>
      <c r="R314" s="66"/>
      <c r="S314" s="66"/>
      <c r="T314" s="66"/>
      <c r="U314" s="66"/>
      <c r="V314" s="66"/>
      <c r="W314" s="66"/>
      <c r="X314" s="66"/>
      <c r="Y314" s="66"/>
      <c r="Z314" s="66"/>
      <c r="AA314" s="66"/>
      <c r="AB314" s="66"/>
      <c r="AC314" s="66"/>
      <c r="AD314" s="66"/>
      <c r="AE314" s="66"/>
    </row>
    <row r="315">
      <c r="A315" s="13">
        <f t="shared" si="1"/>
        <v>314</v>
      </c>
      <c r="B315" s="7" t="s">
        <v>1641</v>
      </c>
      <c r="C315" s="7" t="s">
        <v>1642</v>
      </c>
      <c r="D315" s="7" t="s">
        <v>46</v>
      </c>
      <c r="E315" s="7" t="s">
        <v>1643</v>
      </c>
      <c r="F315" s="7">
        <v>1037.0</v>
      </c>
      <c r="G315" s="7" t="s">
        <v>21</v>
      </c>
      <c r="H315" s="66"/>
      <c r="I315" s="8">
        <v>46057.0</v>
      </c>
      <c r="J315" s="16" t="s">
        <v>23</v>
      </c>
      <c r="K315" s="7"/>
      <c r="L315" s="10">
        <v>0.3333333333333333</v>
      </c>
      <c r="M315" s="10">
        <v>0.6666666666666666</v>
      </c>
      <c r="N315" s="7" t="s">
        <v>1644</v>
      </c>
      <c r="O315" s="67">
        <v>-7.2352346E7</v>
      </c>
      <c r="P315" s="67">
        <v>1.126207765E9</v>
      </c>
      <c r="Q315" s="68" t="s">
        <v>1645</v>
      </c>
      <c r="R315" s="66"/>
      <c r="S315" s="66"/>
      <c r="T315" s="66"/>
      <c r="U315" s="66"/>
      <c r="V315" s="66"/>
      <c r="W315" s="66"/>
      <c r="X315" s="66"/>
      <c r="Y315" s="66"/>
      <c r="Z315" s="66"/>
      <c r="AA315" s="66"/>
      <c r="AB315" s="66"/>
      <c r="AC315" s="66"/>
      <c r="AD315" s="66"/>
      <c r="AE315" s="66"/>
    </row>
    <row r="316">
      <c r="A316" s="13">
        <f t="shared" si="1"/>
        <v>315</v>
      </c>
      <c r="B316" s="7" t="s">
        <v>1646</v>
      </c>
      <c r="C316" s="7" t="s">
        <v>1647</v>
      </c>
      <c r="D316" s="7" t="s">
        <v>1401</v>
      </c>
      <c r="E316" s="7" t="s">
        <v>1648</v>
      </c>
      <c r="F316" s="7">
        <v>221.0</v>
      </c>
      <c r="G316" s="7" t="s">
        <v>21</v>
      </c>
      <c r="H316" s="7" t="s">
        <v>22</v>
      </c>
      <c r="I316" s="8">
        <v>46269.0</v>
      </c>
      <c r="J316" s="16" t="s">
        <v>23</v>
      </c>
      <c r="K316" s="7"/>
      <c r="L316" s="10">
        <v>0.2916666666666667</v>
      </c>
      <c r="M316" s="10">
        <v>0.9166666666666666</v>
      </c>
      <c r="N316" s="7" t="s">
        <v>1649</v>
      </c>
      <c r="O316" s="67">
        <v>-7.2873325E7</v>
      </c>
      <c r="P316" s="67">
        <v>1.12655854E8</v>
      </c>
      <c r="Q316" s="68" t="s">
        <v>1650</v>
      </c>
      <c r="R316" s="66"/>
      <c r="S316" s="66"/>
      <c r="T316" s="66"/>
      <c r="U316" s="66"/>
      <c r="V316" s="66"/>
      <c r="W316" s="66"/>
      <c r="X316" s="66"/>
      <c r="Y316" s="66"/>
      <c r="Z316" s="66"/>
      <c r="AA316" s="66"/>
      <c r="AB316" s="66"/>
      <c r="AC316" s="66"/>
      <c r="AD316" s="66"/>
      <c r="AE316" s="66"/>
    </row>
    <row r="317">
      <c r="A317" s="13">
        <f t="shared" si="1"/>
        <v>316</v>
      </c>
      <c r="B317" s="7" t="s">
        <v>1651</v>
      </c>
      <c r="C317" s="7" t="s">
        <v>1652</v>
      </c>
      <c r="D317" s="7" t="s">
        <v>34</v>
      </c>
      <c r="E317" s="7" t="s">
        <v>1653</v>
      </c>
      <c r="F317" s="7">
        <v>89.0</v>
      </c>
      <c r="G317" s="7" t="s">
        <v>21</v>
      </c>
      <c r="H317" s="7" t="s">
        <v>36</v>
      </c>
      <c r="I317" s="8">
        <v>46269.0</v>
      </c>
      <c r="J317" s="16" t="s">
        <v>23</v>
      </c>
      <c r="K317" s="7"/>
      <c r="L317" s="10">
        <v>0.75</v>
      </c>
      <c r="M317" s="10">
        <v>0.9375</v>
      </c>
      <c r="N317" s="7" t="s">
        <v>1654</v>
      </c>
      <c r="O317" s="67">
        <v>-7.2947962E7</v>
      </c>
      <c r="P317" s="67">
        <v>1.127461299E9</v>
      </c>
      <c r="Q317" s="68" t="s">
        <v>1655</v>
      </c>
      <c r="R317" s="66"/>
      <c r="S317" s="66"/>
      <c r="T317" s="66"/>
      <c r="U317" s="66"/>
      <c r="V317" s="66"/>
      <c r="W317" s="66"/>
      <c r="X317" s="66"/>
      <c r="Y317" s="66"/>
      <c r="Z317" s="66"/>
      <c r="AA317" s="66"/>
      <c r="AB317" s="66"/>
      <c r="AC317" s="66"/>
      <c r="AD317" s="66"/>
      <c r="AE317" s="66"/>
    </row>
    <row r="318">
      <c r="A318" s="13">
        <f t="shared" si="1"/>
        <v>317</v>
      </c>
      <c r="B318" s="7" t="s">
        <v>1656</v>
      </c>
      <c r="C318" s="7" t="s">
        <v>1657</v>
      </c>
      <c r="D318" s="7" t="s">
        <v>34</v>
      </c>
      <c r="E318" s="7" t="s">
        <v>1658</v>
      </c>
      <c r="F318" s="7">
        <v>826.0</v>
      </c>
      <c r="G318" s="7" t="s">
        <v>21</v>
      </c>
      <c r="H318" s="7" t="s">
        <v>36</v>
      </c>
      <c r="I318" s="8">
        <v>46207.0</v>
      </c>
      <c r="J318" s="52" t="s">
        <v>23</v>
      </c>
      <c r="K318" s="7"/>
      <c r="L318" s="10">
        <v>0.0</v>
      </c>
      <c r="M318" s="10">
        <v>0.9993055555555556</v>
      </c>
      <c r="N318" s="7" t="s">
        <v>1659</v>
      </c>
      <c r="O318" s="67">
        <v>-7300215.0</v>
      </c>
      <c r="P318" s="67">
        <v>1.127729171E9</v>
      </c>
      <c r="Q318" s="68" t="s">
        <v>1660</v>
      </c>
      <c r="R318" s="66"/>
      <c r="S318" s="66"/>
      <c r="T318" s="66"/>
      <c r="U318" s="66"/>
      <c r="V318" s="66"/>
      <c r="W318" s="66"/>
      <c r="X318" s="66"/>
      <c r="Y318" s="66"/>
      <c r="Z318" s="66"/>
      <c r="AA318" s="66"/>
      <c r="AB318" s="66"/>
      <c r="AC318" s="66"/>
      <c r="AD318" s="66"/>
      <c r="AE318" s="66"/>
    </row>
    <row r="319">
      <c r="A319" s="13">
        <f t="shared" si="1"/>
        <v>318</v>
      </c>
      <c r="B319" s="7" t="s">
        <v>1661</v>
      </c>
      <c r="C319" s="7" t="s">
        <v>1662</v>
      </c>
      <c r="D319" s="7" t="s">
        <v>34</v>
      </c>
      <c r="E319" s="7" t="s">
        <v>1663</v>
      </c>
      <c r="F319" s="7">
        <v>257.0</v>
      </c>
      <c r="G319" s="7" t="s">
        <v>21</v>
      </c>
      <c r="H319" s="7" t="s">
        <v>36</v>
      </c>
      <c r="I319" s="8">
        <v>46207.0</v>
      </c>
      <c r="J319" s="52" t="s">
        <v>23</v>
      </c>
      <c r="K319" s="7"/>
      <c r="L319" s="10">
        <v>0.3541666666666667</v>
      </c>
      <c r="M319" s="10">
        <v>0.7083333333333334</v>
      </c>
      <c r="N319" s="7" t="s">
        <v>1664</v>
      </c>
      <c r="O319" s="67">
        <v>-7.2861422E7</v>
      </c>
      <c r="P319" s="67">
        <v>1.127601868E9</v>
      </c>
      <c r="Q319" s="68" t="s">
        <v>1665</v>
      </c>
      <c r="R319" s="66"/>
      <c r="S319" s="66"/>
      <c r="T319" s="66"/>
      <c r="U319" s="66"/>
      <c r="V319" s="66"/>
      <c r="W319" s="66"/>
      <c r="X319" s="66"/>
      <c r="Y319" s="66"/>
      <c r="Z319" s="66"/>
      <c r="AA319" s="66"/>
      <c r="AB319" s="66"/>
      <c r="AC319" s="66"/>
      <c r="AD319" s="66"/>
      <c r="AE319" s="66"/>
    </row>
    <row r="320">
      <c r="A320" s="13">
        <f t="shared" si="1"/>
        <v>319</v>
      </c>
      <c r="B320" s="7" t="s">
        <v>1666</v>
      </c>
      <c r="C320" s="7" t="s">
        <v>1667</v>
      </c>
      <c r="D320" s="7" t="s">
        <v>34</v>
      </c>
      <c r="E320" s="7" t="s">
        <v>1668</v>
      </c>
      <c r="F320" s="7">
        <v>62.0</v>
      </c>
      <c r="G320" s="7" t="s">
        <v>21</v>
      </c>
      <c r="H320" s="7" t="s">
        <v>22</v>
      </c>
      <c r="I320" s="8">
        <v>46177.0</v>
      </c>
      <c r="J320" s="52" t="s">
        <v>23</v>
      </c>
      <c r="K320" s="7"/>
      <c r="L320" s="10">
        <v>0.20833333333333334</v>
      </c>
      <c r="M320" s="10">
        <v>0.5</v>
      </c>
      <c r="N320" s="7" t="s">
        <v>1669</v>
      </c>
      <c r="O320" s="67">
        <v>-7.2721005E7</v>
      </c>
      <c r="P320" s="67">
        <v>1.127279788E9</v>
      </c>
      <c r="Q320" s="68" t="s">
        <v>1670</v>
      </c>
      <c r="R320" s="66"/>
      <c r="S320" s="66"/>
      <c r="T320" s="66"/>
      <c r="U320" s="66"/>
      <c r="V320" s="66"/>
      <c r="W320" s="66"/>
      <c r="X320" s="66"/>
      <c r="Y320" s="66"/>
      <c r="Z320" s="66"/>
      <c r="AA320" s="66"/>
      <c r="AB320" s="66"/>
      <c r="AC320" s="66"/>
      <c r="AD320" s="66"/>
      <c r="AE320" s="66"/>
    </row>
    <row r="321">
      <c r="A321" s="13">
        <f t="shared" si="1"/>
        <v>320</v>
      </c>
      <c r="B321" s="7" t="s">
        <v>1671</v>
      </c>
      <c r="C321" s="28" t="s">
        <v>1672</v>
      </c>
      <c r="D321" s="28" t="s">
        <v>46</v>
      </c>
      <c r="E321" s="28" t="s">
        <v>1673</v>
      </c>
      <c r="F321" s="28">
        <v>8950.0</v>
      </c>
      <c r="G321" s="28" t="s">
        <v>21</v>
      </c>
      <c r="H321" s="28">
        <v>0.0</v>
      </c>
      <c r="I321" s="29">
        <v>46207.0</v>
      </c>
      <c r="J321" s="52" t="s">
        <v>23</v>
      </c>
      <c r="K321" s="30"/>
      <c r="L321" s="31">
        <v>0.0</v>
      </c>
      <c r="M321" s="31">
        <v>0.9993055555555556</v>
      </c>
      <c r="N321" s="48" t="s">
        <v>1674</v>
      </c>
      <c r="O321" s="33" t="s">
        <v>1675</v>
      </c>
      <c r="P321" s="34" t="s">
        <v>1676</v>
      </c>
      <c r="Q321" s="68" t="s">
        <v>1677</v>
      </c>
      <c r="R321" s="66"/>
      <c r="S321" s="66"/>
      <c r="T321" s="66"/>
      <c r="U321" s="66"/>
      <c r="V321" s="66"/>
      <c r="W321" s="66"/>
      <c r="X321" s="66"/>
      <c r="Y321" s="66"/>
      <c r="Z321" s="66"/>
      <c r="AA321" s="66"/>
      <c r="AB321" s="66"/>
      <c r="AC321" s="66"/>
      <c r="AD321" s="66"/>
      <c r="AE321" s="66"/>
    </row>
    <row r="322">
      <c r="A322" s="13">
        <f t="shared" si="1"/>
        <v>321</v>
      </c>
      <c r="B322" s="7" t="s">
        <v>1678</v>
      </c>
      <c r="C322" s="7" t="s">
        <v>1679</v>
      </c>
      <c r="D322" s="7" t="s">
        <v>1401</v>
      </c>
      <c r="E322" s="7" t="s">
        <v>1680</v>
      </c>
      <c r="F322" s="7">
        <v>3260.0</v>
      </c>
      <c r="G322" s="7" t="s">
        <v>21</v>
      </c>
      <c r="H322" s="7" t="s">
        <v>22</v>
      </c>
      <c r="I322" s="8">
        <v>46057.0</v>
      </c>
      <c r="J322" s="52" t="s">
        <v>23</v>
      </c>
      <c r="K322" s="7"/>
      <c r="L322" s="10">
        <v>0.4166666666666667</v>
      </c>
      <c r="M322" s="10">
        <v>0.9166666666666666</v>
      </c>
      <c r="N322" s="7" t="s">
        <v>1681</v>
      </c>
      <c r="O322" s="67">
        <v>-7.2702897E7</v>
      </c>
      <c r="P322" s="67">
        <v>1.127986384E9</v>
      </c>
      <c r="Q322" s="68" t="s">
        <v>1682</v>
      </c>
      <c r="R322" s="66"/>
      <c r="S322" s="66"/>
      <c r="T322" s="66"/>
      <c r="U322" s="66"/>
      <c r="V322" s="66"/>
      <c r="W322" s="66"/>
      <c r="X322" s="66"/>
      <c r="Y322" s="66"/>
      <c r="Z322" s="66"/>
      <c r="AA322" s="66"/>
      <c r="AB322" s="66"/>
      <c r="AC322" s="66"/>
      <c r="AD322" s="66"/>
      <c r="AE322" s="66"/>
    </row>
    <row r="323">
      <c r="A323" s="13">
        <f t="shared" si="1"/>
        <v>322</v>
      </c>
      <c r="B323" s="7" t="s">
        <v>1683</v>
      </c>
      <c r="C323" s="7" t="s">
        <v>1684</v>
      </c>
      <c r="D323" s="7" t="s">
        <v>34</v>
      </c>
      <c r="E323" s="7" t="s">
        <v>1685</v>
      </c>
      <c r="F323" s="7">
        <v>10138.0</v>
      </c>
      <c r="G323" s="7" t="s">
        <v>21</v>
      </c>
      <c r="H323" s="7" t="s">
        <v>22</v>
      </c>
      <c r="I323" s="8">
        <v>46146.0</v>
      </c>
      <c r="J323" s="52" t="s">
        <v>23</v>
      </c>
      <c r="K323" s="7"/>
      <c r="L323" s="10">
        <v>0.375</v>
      </c>
      <c r="M323" s="10">
        <v>0.9166666666666666</v>
      </c>
      <c r="N323" s="7" t="s">
        <v>1686</v>
      </c>
      <c r="O323" s="67">
        <v>-7258743.0</v>
      </c>
      <c r="P323" s="67">
        <v>1.127502734E9</v>
      </c>
      <c r="Q323" s="68" t="s">
        <v>1687</v>
      </c>
      <c r="R323" s="66"/>
      <c r="S323" s="66"/>
      <c r="T323" s="66"/>
      <c r="U323" s="66"/>
      <c r="V323" s="66"/>
      <c r="W323" s="66"/>
      <c r="X323" s="66"/>
      <c r="Y323" s="66"/>
      <c r="Z323" s="66"/>
      <c r="AA323" s="66"/>
      <c r="AB323" s="66"/>
      <c r="AC323" s="66"/>
      <c r="AD323" s="66"/>
      <c r="AE323" s="66"/>
    </row>
    <row r="324">
      <c r="A324" s="13">
        <f t="shared" si="1"/>
        <v>323</v>
      </c>
      <c r="B324" s="7" t="s">
        <v>1688</v>
      </c>
      <c r="C324" s="7" t="s">
        <v>1689</v>
      </c>
      <c r="D324" s="7" t="s">
        <v>34</v>
      </c>
      <c r="E324" s="7" t="s">
        <v>1690</v>
      </c>
      <c r="F324" s="7">
        <v>147.0</v>
      </c>
      <c r="G324" s="7" t="s">
        <v>21</v>
      </c>
      <c r="H324" s="7" t="s">
        <v>36</v>
      </c>
      <c r="I324" s="8">
        <v>46207.0</v>
      </c>
      <c r="J324" s="52" t="s">
        <v>23</v>
      </c>
      <c r="K324" s="7"/>
      <c r="L324" s="10">
        <v>0.25</v>
      </c>
      <c r="M324" s="10">
        <v>0.875</v>
      </c>
      <c r="N324" s="7" t="s">
        <v>1691</v>
      </c>
      <c r="O324" s="67">
        <v>-7.2591037E7</v>
      </c>
      <c r="P324" s="67">
        <v>1.127304809E9</v>
      </c>
      <c r="Q324" s="68" t="s">
        <v>1692</v>
      </c>
      <c r="R324" s="66"/>
      <c r="S324" s="66"/>
      <c r="T324" s="66"/>
      <c r="U324" s="66"/>
      <c r="V324" s="66"/>
      <c r="W324" s="66"/>
      <c r="X324" s="66"/>
      <c r="Y324" s="66"/>
      <c r="Z324" s="66"/>
      <c r="AA324" s="66"/>
      <c r="AB324" s="66"/>
      <c r="AC324" s="66"/>
      <c r="AD324" s="66"/>
      <c r="AE324" s="66"/>
    </row>
    <row r="325">
      <c r="A325" s="13">
        <f t="shared" si="1"/>
        <v>324</v>
      </c>
      <c r="B325" s="7" t="s">
        <v>1693</v>
      </c>
      <c r="C325" s="7" t="s">
        <v>1694</v>
      </c>
      <c r="D325" s="7" t="s">
        <v>46</v>
      </c>
      <c r="E325" s="7" t="s">
        <v>1695</v>
      </c>
      <c r="F325" s="7">
        <v>7673.0</v>
      </c>
      <c r="G325" s="7" t="s">
        <v>21</v>
      </c>
      <c r="H325" s="7">
        <v>0.0</v>
      </c>
      <c r="I325" s="8">
        <v>46207.0</v>
      </c>
      <c r="J325" s="52" t="s">
        <v>23</v>
      </c>
      <c r="K325" s="7"/>
      <c r="L325" s="10">
        <v>0.0</v>
      </c>
      <c r="M325" s="10">
        <v>0.9993055555555556</v>
      </c>
      <c r="N325" s="7" t="s">
        <v>1696</v>
      </c>
      <c r="O325" s="67">
        <v>-7.2960492E7</v>
      </c>
      <c r="P325" s="67">
        <v>1.127387012E9</v>
      </c>
      <c r="Q325" s="68" t="s">
        <v>1697</v>
      </c>
      <c r="R325" s="66"/>
      <c r="S325" s="66"/>
      <c r="T325" s="66"/>
      <c r="U325" s="66"/>
      <c r="V325" s="66"/>
      <c r="W325" s="66"/>
      <c r="X325" s="66"/>
      <c r="Y325" s="66"/>
      <c r="Z325" s="66"/>
      <c r="AA325" s="66"/>
      <c r="AB325" s="66"/>
      <c r="AC325" s="66"/>
      <c r="AD325" s="66"/>
      <c r="AE325" s="66"/>
    </row>
    <row r="326">
      <c r="A326" s="13">
        <f t="shared" si="1"/>
        <v>325</v>
      </c>
      <c r="B326" s="7" t="s">
        <v>1698</v>
      </c>
      <c r="C326" s="7" t="s">
        <v>1699</v>
      </c>
      <c r="D326" s="7" t="s">
        <v>1401</v>
      </c>
      <c r="E326" s="7" t="s">
        <v>1700</v>
      </c>
      <c r="F326" s="7">
        <v>449.0</v>
      </c>
      <c r="G326" s="7" t="s">
        <v>21</v>
      </c>
      <c r="H326" s="7" t="s">
        <v>1173</v>
      </c>
      <c r="I326" s="8">
        <v>46177.0</v>
      </c>
      <c r="J326" s="52" t="s">
        <v>23</v>
      </c>
      <c r="K326" s="7"/>
      <c r="L326" s="10">
        <v>0.375</v>
      </c>
      <c r="M326" s="10">
        <v>0.9166666666666666</v>
      </c>
      <c r="N326" s="7" t="s">
        <v>1701</v>
      </c>
      <c r="O326" s="67">
        <v>-7.2896458E7</v>
      </c>
      <c r="P326" s="67">
        <v>1.127348815E9</v>
      </c>
      <c r="Q326" s="68" t="s">
        <v>1702</v>
      </c>
      <c r="R326" s="66"/>
      <c r="S326" s="66"/>
      <c r="T326" s="66"/>
      <c r="U326" s="66"/>
      <c r="V326" s="66"/>
      <c r="W326" s="66"/>
      <c r="X326" s="66"/>
      <c r="Y326" s="66"/>
      <c r="Z326" s="66"/>
      <c r="AA326" s="66"/>
      <c r="AB326" s="66"/>
      <c r="AC326" s="66"/>
      <c r="AD326" s="66"/>
      <c r="AE326" s="66"/>
    </row>
    <row r="327">
      <c r="A327" s="13">
        <f t="shared" si="1"/>
        <v>326</v>
      </c>
      <c r="B327" s="7" t="s">
        <v>1703</v>
      </c>
      <c r="C327" s="7" t="s">
        <v>1704</v>
      </c>
      <c r="D327" s="7" t="s">
        <v>46</v>
      </c>
      <c r="E327" s="7" t="s">
        <v>1705</v>
      </c>
      <c r="F327" s="7">
        <v>494.0</v>
      </c>
      <c r="G327" s="7" t="s">
        <v>21</v>
      </c>
      <c r="H327" s="7">
        <v>5000.0</v>
      </c>
      <c r="I327" s="8">
        <v>46238.0</v>
      </c>
      <c r="J327" s="52" t="s">
        <v>388</v>
      </c>
      <c r="K327" s="7" t="s">
        <v>59</v>
      </c>
      <c r="L327" s="10">
        <v>0.3333333333333333</v>
      </c>
      <c r="M327" s="10">
        <v>0.625</v>
      </c>
      <c r="N327" s="7" t="s">
        <v>1706</v>
      </c>
      <c r="O327" s="67">
        <v>-7.2506354E7</v>
      </c>
      <c r="P327" s="67">
        <v>1.127537695E9</v>
      </c>
      <c r="Q327" s="68" t="s">
        <v>1707</v>
      </c>
      <c r="R327" s="66"/>
      <c r="S327" s="66"/>
      <c r="T327" s="66"/>
      <c r="U327" s="66"/>
      <c r="V327" s="66"/>
      <c r="W327" s="66"/>
      <c r="X327" s="66"/>
      <c r="Y327" s="66"/>
      <c r="Z327" s="66"/>
      <c r="AA327" s="66"/>
      <c r="AB327" s="66"/>
      <c r="AC327" s="66"/>
      <c r="AD327" s="66"/>
      <c r="AE327" s="66"/>
    </row>
    <row r="328">
      <c r="A328" s="13">
        <f t="shared" si="1"/>
        <v>327</v>
      </c>
      <c r="B328" s="7" t="s">
        <v>1708</v>
      </c>
      <c r="C328" s="7" t="s">
        <v>1709</v>
      </c>
      <c r="D328" s="7" t="s">
        <v>34</v>
      </c>
      <c r="E328" s="7" t="s">
        <v>1710</v>
      </c>
      <c r="F328" s="7">
        <v>3892.0</v>
      </c>
      <c r="G328" s="7" t="s">
        <v>21</v>
      </c>
      <c r="H328" s="7" t="s">
        <v>22</v>
      </c>
      <c r="I328" s="8">
        <v>46177.0</v>
      </c>
      <c r="J328" s="52" t="s">
        <v>388</v>
      </c>
      <c r="K328" s="7" t="s">
        <v>59</v>
      </c>
      <c r="L328" s="10">
        <v>0.4583333333333333</v>
      </c>
      <c r="M328" s="10">
        <v>0.875</v>
      </c>
      <c r="N328" s="7" t="s">
        <v>1711</v>
      </c>
      <c r="O328" s="67">
        <v>-7259215.0</v>
      </c>
      <c r="P328" s="67">
        <v>1.127316017E9</v>
      </c>
      <c r="Q328" s="68" t="s">
        <v>1712</v>
      </c>
      <c r="R328" s="66"/>
      <c r="S328" s="66"/>
      <c r="T328" s="66"/>
      <c r="U328" s="66"/>
      <c r="V328" s="66"/>
      <c r="W328" s="66"/>
      <c r="X328" s="66"/>
      <c r="Y328" s="66"/>
      <c r="Z328" s="66"/>
      <c r="AA328" s="66"/>
      <c r="AB328" s="66"/>
      <c r="AC328" s="66"/>
      <c r="AD328" s="66"/>
      <c r="AE328" s="66"/>
    </row>
    <row r="329">
      <c r="A329" s="13">
        <f t="shared" si="1"/>
        <v>328</v>
      </c>
      <c r="B329" s="7" t="s">
        <v>1713</v>
      </c>
      <c r="C329" s="7" t="s">
        <v>1714</v>
      </c>
      <c r="D329" s="7" t="s">
        <v>34</v>
      </c>
      <c r="E329" s="7" t="s">
        <v>1715</v>
      </c>
      <c r="F329" s="7">
        <v>1257.0</v>
      </c>
      <c r="G329" s="7" t="s">
        <v>21</v>
      </c>
      <c r="H329" s="7" t="s">
        <v>36</v>
      </c>
      <c r="I329" s="8">
        <v>46146.0</v>
      </c>
      <c r="J329" s="52" t="s">
        <v>23</v>
      </c>
      <c r="K329" s="7"/>
      <c r="L329" s="10">
        <v>0.375</v>
      </c>
      <c r="M329" s="10">
        <v>0.7083333333333334</v>
      </c>
      <c r="N329" s="7" t="s">
        <v>1716</v>
      </c>
      <c r="O329" s="67">
        <v>-7.2710167E7</v>
      </c>
      <c r="P329" s="67">
        <v>1.127459099E9</v>
      </c>
      <c r="Q329" s="68" t="s">
        <v>1717</v>
      </c>
      <c r="R329" s="66"/>
      <c r="S329" s="66"/>
      <c r="T329" s="66"/>
      <c r="U329" s="66"/>
      <c r="V329" s="66"/>
      <c r="W329" s="66"/>
      <c r="X329" s="66"/>
      <c r="Y329" s="66"/>
      <c r="Z329" s="66"/>
      <c r="AA329" s="66"/>
      <c r="AB329" s="66"/>
      <c r="AC329" s="66"/>
      <c r="AD329" s="66"/>
      <c r="AE329" s="66"/>
    </row>
    <row r="330">
      <c r="A330" s="13">
        <f t="shared" si="1"/>
        <v>329</v>
      </c>
      <c r="B330" s="7" t="s">
        <v>1718</v>
      </c>
      <c r="C330" s="7" t="s">
        <v>1719</v>
      </c>
      <c r="D330" s="7" t="s">
        <v>34</v>
      </c>
      <c r="E330" s="7" t="s">
        <v>1720</v>
      </c>
      <c r="F330" s="7">
        <v>2902.0</v>
      </c>
      <c r="G330" s="7" t="s">
        <v>21</v>
      </c>
      <c r="H330" s="7" t="s">
        <v>22</v>
      </c>
      <c r="I330" s="8">
        <v>46146.0</v>
      </c>
      <c r="J330" s="52" t="s">
        <v>23</v>
      </c>
      <c r="K330" s="7"/>
      <c r="L330" s="10">
        <v>0.4166666666666667</v>
      </c>
      <c r="M330" s="10">
        <v>0.9166666666666666</v>
      </c>
      <c r="N330" s="7" t="s">
        <v>1721</v>
      </c>
      <c r="O330" s="67">
        <v>-7.2705095E7</v>
      </c>
      <c r="P330" s="67">
        <v>1.127199703E9</v>
      </c>
      <c r="Q330" s="68" t="s">
        <v>1722</v>
      </c>
      <c r="R330" s="66"/>
      <c r="S330" s="66"/>
      <c r="T330" s="66"/>
      <c r="U330" s="66"/>
      <c r="V330" s="66"/>
      <c r="W330" s="66"/>
      <c r="X330" s="66"/>
      <c r="Y330" s="66"/>
      <c r="Z330" s="66"/>
      <c r="AA330" s="66"/>
      <c r="AB330" s="66"/>
      <c r="AC330" s="66"/>
      <c r="AD330" s="66"/>
      <c r="AE330" s="66"/>
    </row>
    <row r="331">
      <c r="A331" s="13">
        <f t="shared" si="1"/>
        <v>330</v>
      </c>
      <c r="B331" s="7" t="s">
        <v>1723</v>
      </c>
      <c r="C331" s="7" t="s">
        <v>1724</v>
      </c>
      <c r="D331" s="7" t="s">
        <v>34</v>
      </c>
      <c r="E331" s="7" t="s">
        <v>1725</v>
      </c>
      <c r="F331" s="7">
        <v>312.0</v>
      </c>
      <c r="G331" s="7" t="s">
        <v>21</v>
      </c>
      <c r="H331" s="7">
        <v>250000.0</v>
      </c>
      <c r="I331" s="7">
        <v>5.0</v>
      </c>
      <c r="J331" s="52" t="s">
        <v>23</v>
      </c>
      <c r="K331" s="7"/>
      <c r="L331" s="10">
        <v>0.5</v>
      </c>
      <c r="M331" s="10">
        <v>0.875</v>
      </c>
      <c r="N331" s="7" t="s">
        <v>1726</v>
      </c>
      <c r="O331" s="67">
        <v>-7.2849831E7</v>
      </c>
      <c r="P331" s="67">
        <v>1.126961677E9</v>
      </c>
      <c r="Q331" s="68" t="s">
        <v>1727</v>
      </c>
      <c r="R331" s="66"/>
      <c r="S331" s="66"/>
      <c r="T331" s="66"/>
      <c r="U331" s="66"/>
      <c r="V331" s="66"/>
      <c r="W331" s="66"/>
      <c r="X331" s="66"/>
      <c r="Y331" s="66"/>
      <c r="Z331" s="66"/>
      <c r="AA331" s="66"/>
      <c r="AB331" s="66"/>
      <c r="AC331" s="66"/>
      <c r="AD331" s="66"/>
      <c r="AE331" s="66"/>
    </row>
    <row r="332">
      <c r="A332" s="13">
        <f t="shared" si="1"/>
        <v>331</v>
      </c>
      <c r="B332" s="7" t="s">
        <v>1728</v>
      </c>
      <c r="C332" s="7" t="s">
        <v>1729</v>
      </c>
      <c r="D332" s="7" t="s">
        <v>34</v>
      </c>
      <c r="E332" s="7" t="s">
        <v>1730</v>
      </c>
      <c r="F332" s="7">
        <v>1442.0</v>
      </c>
      <c r="G332" s="7" t="s">
        <v>21</v>
      </c>
      <c r="H332" s="7" t="s">
        <v>72</v>
      </c>
      <c r="I332" s="8">
        <v>46146.0</v>
      </c>
      <c r="J332" s="52" t="s">
        <v>23</v>
      </c>
      <c r="K332" s="7"/>
      <c r="L332" s="10">
        <v>0.375</v>
      </c>
      <c r="M332" s="10">
        <v>0.875</v>
      </c>
      <c r="N332" s="7" t="s">
        <v>1731</v>
      </c>
      <c r="O332" s="67">
        <v>-7.2600771E7</v>
      </c>
      <c r="P332" s="67">
        <v>1.127449758E9</v>
      </c>
      <c r="Q332" s="68" t="s">
        <v>1732</v>
      </c>
      <c r="R332" s="66"/>
      <c r="S332" s="66"/>
      <c r="T332" s="66"/>
      <c r="U332" s="66"/>
      <c r="V332" s="66"/>
      <c r="W332" s="66"/>
      <c r="X332" s="66"/>
      <c r="Y332" s="66"/>
      <c r="Z332" s="66"/>
      <c r="AA332" s="66"/>
      <c r="AB332" s="66"/>
      <c r="AC332" s="66"/>
      <c r="AD332" s="66"/>
      <c r="AE332" s="66"/>
    </row>
    <row r="333">
      <c r="A333" s="13">
        <f t="shared" si="1"/>
        <v>332</v>
      </c>
      <c r="B333" s="7" t="s">
        <v>1733</v>
      </c>
      <c r="C333" s="7" t="s">
        <v>1734</v>
      </c>
      <c r="D333" s="7" t="s">
        <v>34</v>
      </c>
      <c r="E333" s="7" t="s">
        <v>1735</v>
      </c>
      <c r="F333" s="7">
        <v>44.0</v>
      </c>
      <c r="G333" s="7" t="s">
        <v>21</v>
      </c>
      <c r="H333" s="7" t="s">
        <v>1736</v>
      </c>
      <c r="I333" s="8">
        <v>46146.0</v>
      </c>
      <c r="J333" s="52" t="s">
        <v>23</v>
      </c>
      <c r="K333" s="7"/>
      <c r="L333" s="10">
        <v>0.6770833333333334</v>
      </c>
      <c r="M333" s="10">
        <v>0.9583333333333334</v>
      </c>
      <c r="N333" s="7" t="s">
        <v>1737</v>
      </c>
      <c r="O333" s="67">
        <v>-7.3057304E7</v>
      </c>
      <c r="P333" s="67">
        <v>1.126755197E9</v>
      </c>
      <c r="Q333" s="68" t="s">
        <v>1738</v>
      </c>
      <c r="R333" s="66"/>
      <c r="S333" s="66"/>
      <c r="T333" s="66"/>
      <c r="U333" s="66"/>
      <c r="V333" s="66"/>
      <c r="W333" s="66"/>
      <c r="X333" s="66"/>
      <c r="Y333" s="66"/>
      <c r="Z333" s="66"/>
      <c r="AA333" s="66"/>
      <c r="AB333" s="66"/>
      <c r="AC333" s="66"/>
      <c r="AD333" s="66"/>
      <c r="AE333" s="66"/>
    </row>
    <row r="334">
      <c r="A334" s="13">
        <f t="shared" si="1"/>
        <v>333</v>
      </c>
      <c r="B334" s="52" t="s">
        <v>1739</v>
      </c>
      <c r="C334" s="52" t="s">
        <v>1740</v>
      </c>
      <c r="D334" s="52" t="s">
        <v>19</v>
      </c>
      <c r="E334" s="52" t="s">
        <v>1741</v>
      </c>
      <c r="F334" s="52">
        <v>2031.0</v>
      </c>
      <c r="G334" s="52" t="s">
        <v>21</v>
      </c>
      <c r="H334" s="52" t="s">
        <v>72</v>
      </c>
      <c r="I334" s="76">
        <v>46116.0</v>
      </c>
      <c r="J334" s="52" t="s">
        <v>23</v>
      </c>
      <c r="K334" s="52"/>
      <c r="L334" s="77">
        <v>0.375</v>
      </c>
      <c r="M334" s="77">
        <v>0.9583333333333334</v>
      </c>
      <c r="N334" s="48" t="s">
        <v>1742</v>
      </c>
      <c r="O334" s="33" t="s">
        <v>1743</v>
      </c>
      <c r="P334" s="34" t="s">
        <v>1744</v>
      </c>
      <c r="Q334" s="78" t="s">
        <v>1745</v>
      </c>
      <c r="R334" s="66"/>
      <c r="S334" s="66"/>
      <c r="T334" s="66"/>
      <c r="U334" s="66"/>
      <c r="V334" s="66"/>
      <c r="W334" s="66"/>
      <c r="X334" s="66"/>
      <c r="Y334" s="66"/>
      <c r="Z334" s="66"/>
      <c r="AA334" s="66"/>
      <c r="AB334" s="66"/>
      <c r="AC334" s="66"/>
      <c r="AD334" s="66"/>
      <c r="AE334" s="66"/>
    </row>
    <row r="335">
      <c r="A335" s="13">
        <f t="shared" si="1"/>
        <v>334</v>
      </c>
      <c r="B335" s="7" t="s">
        <v>1746</v>
      </c>
      <c r="C335" s="7" t="s">
        <v>1747</v>
      </c>
      <c r="D335" s="7" t="s">
        <v>34</v>
      </c>
      <c r="E335" s="7" t="s">
        <v>1748</v>
      </c>
      <c r="F335" s="7">
        <v>1010.0</v>
      </c>
      <c r="G335" s="7" t="s">
        <v>21</v>
      </c>
      <c r="H335" s="7" t="s">
        <v>36</v>
      </c>
      <c r="I335" s="8">
        <v>46177.0</v>
      </c>
      <c r="J335" s="52" t="s">
        <v>23</v>
      </c>
      <c r="K335" s="7"/>
      <c r="L335" s="10">
        <v>0.4166666666666667</v>
      </c>
      <c r="M335" s="10">
        <v>0.7916666666666666</v>
      </c>
      <c r="N335" s="7" t="s">
        <v>1749</v>
      </c>
      <c r="O335" s="67">
        <v>-7.2809598E7</v>
      </c>
      <c r="P335" s="67">
        <v>1.127109435E9</v>
      </c>
      <c r="Q335" s="68" t="s">
        <v>1750</v>
      </c>
      <c r="R335" s="66"/>
      <c r="S335" s="66"/>
      <c r="T335" s="66"/>
      <c r="U335" s="66"/>
      <c r="V335" s="66"/>
      <c r="W335" s="66"/>
      <c r="X335" s="66"/>
      <c r="Y335" s="66"/>
      <c r="Z335" s="66"/>
      <c r="AA335" s="66"/>
      <c r="AB335" s="66"/>
      <c r="AC335" s="66"/>
      <c r="AD335" s="66"/>
      <c r="AE335" s="66"/>
    </row>
    <row r="336">
      <c r="A336" s="13">
        <f t="shared" si="1"/>
        <v>335</v>
      </c>
      <c r="B336" s="7" t="s">
        <v>1751</v>
      </c>
      <c r="C336" s="7" t="s">
        <v>1752</v>
      </c>
      <c r="D336" s="7" t="s">
        <v>34</v>
      </c>
      <c r="E336" s="7" t="s">
        <v>1753</v>
      </c>
      <c r="F336" s="7">
        <v>16.0</v>
      </c>
      <c r="G336" s="7" t="s">
        <v>21</v>
      </c>
      <c r="H336" s="7" t="s">
        <v>36</v>
      </c>
      <c r="I336" s="8">
        <v>46177.0</v>
      </c>
      <c r="J336" s="52" t="s">
        <v>65</v>
      </c>
      <c r="K336" s="7"/>
      <c r="L336" s="10">
        <v>0.2916666666666667</v>
      </c>
      <c r="M336" s="10">
        <v>0.75</v>
      </c>
      <c r="N336" s="7" t="s">
        <v>1754</v>
      </c>
      <c r="O336" s="67">
        <v>-7.2982602E7</v>
      </c>
      <c r="P336" s="67">
        <v>1.126344974E9</v>
      </c>
      <c r="Q336" s="68" t="s">
        <v>1755</v>
      </c>
      <c r="R336" s="66"/>
      <c r="S336" s="66"/>
      <c r="T336" s="66"/>
      <c r="U336" s="66"/>
      <c r="V336" s="66"/>
      <c r="W336" s="66"/>
      <c r="X336" s="66"/>
      <c r="Y336" s="66"/>
      <c r="Z336" s="66"/>
      <c r="AA336" s="66"/>
      <c r="AB336" s="66"/>
      <c r="AC336" s="66"/>
      <c r="AD336" s="66"/>
      <c r="AE336" s="66"/>
    </row>
    <row r="337">
      <c r="A337" s="13">
        <f t="shared" si="1"/>
        <v>336</v>
      </c>
      <c r="B337" s="7" t="s">
        <v>1756</v>
      </c>
      <c r="C337" s="7" t="s">
        <v>1757</v>
      </c>
      <c r="D337" s="7" t="s">
        <v>34</v>
      </c>
      <c r="E337" s="7" t="s">
        <v>1758</v>
      </c>
      <c r="F337" s="7">
        <v>9.0</v>
      </c>
      <c r="G337" s="7" t="s">
        <v>21</v>
      </c>
      <c r="H337" s="7" t="s">
        <v>22</v>
      </c>
      <c r="I337" s="8">
        <v>46085.0</v>
      </c>
      <c r="J337" s="52" t="s">
        <v>23</v>
      </c>
      <c r="K337" s="7"/>
      <c r="L337" s="10">
        <v>0.375</v>
      </c>
      <c r="M337" s="10">
        <v>0.8333333333333334</v>
      </c>
      <c r="N337" s="7" t="s">
        <v>1759</v>
      </c>
      <c r="O337" s="67">
        <v>-7.2263367E7</v>
      </c>
      <c r="P337" s="67">
        <v>1.127308383E9</v>
      </c>
      <c r="Q337" s="68" t="s">
        <v>1760</v>
      </c>
      <c r="R337" s="66"/>
      <c r="S337" s="66"/>
      <c r="T337" s="66"/>
      <c r="U337" s="66"/>
      <c r="V337" s="66"/>
      <c r="W337" s="66"/>
      <c r="X337" s="66"/>
      <c r="Y337" s="66"/>
      <c r="Z337" s="66"/>
      <c r="AA337" s="66"/>
      <c r="AB337" s="66"/>
      <c r="AC337" s="66"/>
      <c r="AD337" s="66"/>
      <c r="AE337" s="66"/>
    </row>
    <row r="338">
      <c r="A338" s="13">
        <f t="shared" si="1"/>
        <v>337</v>
      </c>
      <c r="B338" s="7" t="s">
        <v>1761</v>
      </c>
      <c r="C338" s="7" t="s">
        <v>1762</v>
      </c>
      <c r="D338" s="7" t="s">
        <v>34</v>
      </c>
      <c r="E338" s="7" t="s">
        <v>1763</v>
      </c>
      <c r="F338" s="7">
        <v>1825.0</v>
      </c>
      <c r="G338" s="7" t="s">
        <v>21</v>
      </c>
      <c r="H338" s="7" t="s">
        <v>22</v>
      </c>
      <c r="I338" s="8">
        <v>46116.0</v>
      </c>
      <c r="J338" s="52" t="s">
        <v>23</v>
      </c>
      <c r="K338" s="7"/>
      <c r="L338" s="10">
        <v>0.6666666666666666</v>
      </c>
      <c r="M338" s="10">
        <v>0.9583333333333334</v>
      </c>
      <c r="N338" s="7" t="s">
        <v>1764</v>
      </c>
      <c r="O338" s="67">
        <v>-7.2786158E7</v>
      </c>
      <c r="P338" s="67">
        <v>1.127433738E9</v>
      </c>
      <c r="Q338" s="68" t="s">
        <v>1765</v>
      </c>
      <c r="R338" s="66"/>
      <c r="S338" s="66"/>
      <c r="T338" s="66"/>
      <c r="U338" s="66"/>
      <c r="V338" s="66"/>
      <c r="W338" s="66"/>
      <c r="X338" s="66"/>
      <c r="Y338" s="66"/>
      <c r="Z338" s="66"/>
      <c r="AA338" s="66"/>
      <c r="AB338" s="66"/>
      <c r="AC338" s="66"/>
      <c r="AD338" s="66"/>
      <c r="AE338" s="66"/>
    </row>
    <row r="339">
      <c r="A339" s="13">
        <f t="shared" si="1"/>
        <v>338</v>
      </c>
      <c r="B339" s="7" t="s">
        <v>1766</v>
      </c>
      <c r="C339" s="7" t="s">
        <v>1767</v>
      </c>
      <c r="D339" s="7" t="s">
        <v>34</v>
      </c>
      <c r="E339" s="7" t="s">
        <v>1768</v>
      </c>
      <c r="F339" s="7">
        <v>461.0</v>
      </c>
      <c r="G339" s="7" t="s">
        <v>21</v>
      </c>
      <c r="H339" s="7" t="s">
        <v>22</v>
      </c>
      <c r="I339" s="8">
        <v>46116.0</v>
      </c>
      <c r="J339" s="52" t="s">
        <v>23</v>
      </c>
      <c r="K339" s="7"/>
      <c r="L339" s="10">
        <v>0.4166666666666667</v>
      </c>
      <c r="M339" s="10">
        <v>0.8958333333333334</v>
      </c>
      <c r="N339" s="7" t="s">
        <v>1769</v>
      </c>
      <c r="O339" s="67">
        <v>-7.2823057E7</v>
      </c>
      <c r="P339" s="67">
        <v>1.127762625E9</v>
      </c>
      <c r="Q339" s="68" t="s">
        <v>1770</v>
      </c>
      <c r="R339" s="66"/>
      <c r="S339" s="66"/>
      <c r="T339" s="66"/>
      <c r="U339" s="66"/>
      <c r="V339" s="66"/>
      <c r="W339" s="66"/>
      <c r="X339" s="66"/>
      <c r="Y339" s="66"/>
      <c r="Z339" s="66"/>
      <c r="AA339" s="66"/>
      <c r="AB339" s="66"/>
      <c r="AC339" s="66"/>
      <c r="AD339" s="66"/>
      <c r="AE339" s="66"/>
    </row>
    <row r="340">
      <c r="A340" s="13">
        <f t="shared" si="1"/>
        <v>339</v>
      </c>
      <c r="B340" s="7" t="s">
        <v>1771</v>
      </c>
      <c r="C340" s="7" t="s">
        <v>1772</v>
      </c>
      <c r="D340" s="7" t="s">
        <v>34</v>
      </c>
      <c r="E340" s="7" t="s">
        <v>1773</v>
      </c>
      <c r="F340" s="7">
        <v>311.0</v>
      </c>
      <c r="G340" s="7" t="s">
        <v>21</v>
      </c>
      <c r="H340" s="7" t="s">
        <v>22</v>
      </c>
      <c r="I340" s="8">
        <v>46177.0</v>
      </c>
      <c r="J340" s="52" t="s">
        <v>23</v>
      </c>
      <c r="K340" s="7"/>
      <c r="L340" s="10">
        <v>0.5208333333333334</v>
      </c>
      <c r="M340" s="10">
        <v>0.875</v>
      </c>
      <c r="N340" s="7" t="s">
        <v>1774</v>
      </c>
      <c r="O340" s="67">
        <v>-7.2901395E7</v>
      </c>
      <c r="P340" s="67">
        <v>1.127750973E9</v>
      </c>
      <c r="Q340" s="68" t="s">
        <v>1775</v>
      </c>
      <c r="R340" s="66"/>
      <c r="S340" s="66"/>
      <c r="T340" s="66"/>
      <c r="U340" s="66"/>
      <c r="V340" s="66"/>
      <c r="W340" s="66"/>
      <c r="X340" s="66"/>
      <c r="Y340" s="66"/>
      <c r="Z340" s="66"/>
      <c r="AA340" s="66"/>
      <c r="AB340" s="66"/>
      <c r="AC340" s="66"/>
      <c r="AD340" s="66"/>
      <c r="AE340" s="66"/>
    </row>
    <row r="341">
      <c r="A341" s="13">
        <f t="shared" si="1"/>
        <v>340</v>
      </c>
      <c r="B341" s="7" t="s">
        <v>1776</v>
      </c>
      <c r="C341" s="7" t="s">
        <v>1777</v>
      </c>
      <c r="D341" s="7" t="s">
        <v>34</v>
      </c>
      <c r="E341" s="7" t="s">
        <v>1778</v>
      </c>
      <c r="F341" s="7">
        <v>256.0</v>
      </c>
      <c r="G341" s="7" t="s">
        <v>21</v>
      </c>
      <c r="H341" s="7" t="s">
        <v>1386</v>
      </c>
      <c r="I341" s="8">
        <v>46085.0</v>
      </c>
      <c r="J341" s="52" t="s">
        <v>23</v>
      </c>
      <c r="K341" s="7"/>
      <c r="L341" s="10">
        <v>0.4375</v>
      </c>
      <c r="M341" s="10">
        <v>0.9583333333333334</v>
      </c>
      <c r="N341" s="7" t="s">
        <v>1779</v>
      </c>
      <c r="O341" s="67">
        <v>-7.2459183E7</v>
      </c>
      <c r="P341" s="67">
        <v>1.127339189E9</v>
      </c>
      <c r="Q341" s="68" t="s">
        <v>1780</v>
      </c>
      <c r="R341" s="66"/>
      <c r="S341" s="66"/>
      <c r="T341" s="66"/>
      <c r="U341" s="66"/>
      <c r="V341" s="66"/>
      <c r="W341" s="66"/>
      <c r="X341" s="66"/>
      <c r="Y341" s="66"/>
      <c r="Z341" s="66"/>
      <c r="AA341" s="66"/>
      <c r="AB341" s="66"/>
      <c r="AC341" s="66"/>
      <c r="AD341" s="66"/>
      <c r="AE341" s="66"/>
    </row>
    <row r="342">
      <c r="A342" s="13">
        <f t="shared" si="1"/>
        <v>341</v>
      </c>
      <c r="B342" s="16" t="s">
        <v>1781</v>
      </c>
      <c r="C342" s="15" t="s">
        <v>1782</v>
      </c>
      <c r="D342" s="7" t="s">
        <v>34</v>
      </c>
      <c r="E342" s="15" t="s">
        <v>1783</v>
      </c>
      <c r="F342" s="16">
        <v>3093.0</v>
      </c>
      <c r="G342" s="16" t="s">
        <v>21</v>
      </c>
      <c r="H342" s="26" t="s">
        <v>22</v>
      </c>
      <c r="I342" s="17">
        <v>46026.0</v>
      </c>
      <c r="J342" s="16" t="s">
        <v>23</v>
      </c>
      <c r="K342" s="16"/>
      <c r="L342" s="18">
        <v>0.3333333333333333</v>
      </c>
      <c r="M342" s="18">
        <v>0.9993055555555556</v>
      </c>
      <c r="N342" s="71" t="s">
        <v>1784</v>
      </c>
      <c r="O342" s="72" t="str">
        <f>IFERROR(__xludf.DUMMYFUNCTION("REGEXEXTRACT(N342,""^-?[0-9.]+"")"),"-7.240394534348085")</f>
        <v>-7.240394534348085</v>
      </c>
      <c r="P342" s="73" t="str">
        <f>IFERROR(__xludf.DUMMYFUNCTION("REGEXEXTRACT(N342,"",\s*(-?[0-9.]+)"")"),"112.74364299325413")</f>
        <v>112.74364299325413</v>
      </c>
      <c r="Q342" s="74" t="s">
        <v>1785</v>
      </c>
      <c r="R342" s="26"/>
      <c r="S342" s="26"/>
      <c r="T342" s="26"/>
      <c r="U342" s="26"/>
      <c r="V342" s="26"/>
      <c r="W342" s="26"/>
      <c r="X342" s="26"/>
      <c r="Y342" s="26"/>
      <c r="Z342" s="26"/>
      <c r="AA342" s="26"/>
      <c r="AB342" s="26"/>
      <c r="AC342" s="26"/>
      <c r="AD342" s="26"/>
      <c r="AE342" s="26"/>
    </row>
    <row r="343">
      <c r="A343" s="13">
        <f t="shared" si="1"/>
        <v>342</v>
      </c>
      <c r="B343" s="7" t="s">
        <v>1786</v>
      </c>
      <c r="C343" s="7" t="s">
        <v>1787</v>
      </c>
      <c r="D343" s="7" t="s">
        <v>34</v>
      </c>
      <c r="E343" s="7" t="s">
        <v>1788</v>
      </c>
      <c r="F343" s="7">
        <v>140.0</v>
      </c>
      <c r="G343" s="7" t="s">
        <v>21</v>
      </c>
      <c r="H343" s="7" t="s">
        <v>36</v>
      </c>
      <c r="I343" s="8">
        <v>46207.0</v>
      </c>
      <c r="J343" s="16" t="s">
        <v>23</v>
      </c>
      <c r="K343" s="7"/>
      <c r="L343" s="10">
        <v>0.25</v>
      </c>
      <c r="M343" s="10">
        <v>0.5416666666666666</v>
      </c>
      <c r="N343" s="7" t="s">
        <v>1789</v>
      </c>
      <c r="O343" s="67">
        <v>-7.2527298E7</v>
      </c>
      <c r="P343" s="67">
        <v>1.127450101E9</v>
      </c>
      <c r="Q343" s="68" t="s">
        <v>1790</v>
      </c>
      <c r="R343" s="66"/>
      <c r="S343" s="66"/>
      <c r="T343" s="66"/>
      <c r="U343" s="66"/>
      <c r="V343" s="66"/>
      <c r="W343" s="66"/>
      <c r="X343" s="66"/>
      <c r="Y343" s="66"/>
      <c r="Z343" s="66"/>
      <c r="AA343" s="66"/>
      <c r="AB343" s="66"/>
      <c r="AC343" s="66"/>
      <c r="AD343" s="66"/>
      <c r="AE343" s="66"/>
    </row>
    <row r="344">
      <c r="A344" s="13">
        <f t="shared" si="1"/>
        <v>343</v>
      </c>
      <c r="B344" s="7" t="s">
        <v>1791</v>
      </c>
      <c r="C344" s="7" t="s">
        <v>1792</v>
      </c>
      <c r="D344" s="7" t="s">
        <v>34</v>
      </c>
      <c r="E344" s="7" t="s">
        <v>1793</v>
      </c>
      <c r="F344" s="7">
        <v>683.0</v>
      </c>
      <c r="G344" s="7" t="s">
        <v>21</v>
      </c>
      <c r="H344" s="7" t="s">
        <v>22</v>
      </c>
      <c r="I344" s="8">
        <v>46116.0</v>
      </c>
      <c r="J344" s="16" t="s">
        <v>23</v>
      </c>
      <c r="K344" s="7"/>
      <c r="L344" s="10">
        <v>0.6666666666666666</v>
      </c>
      <c r="M344" s="10">
        <v>0.9791666666666666</v>
      </c>
      <c r="N344" s="7" t="s">
        <v>1794</v>
      </c>
      <c r="O344" s="67">
        <v>-7.3107822E7</v>
      </c>
      <c r="P344" s="67">
        <v>1.127674218E9</v>
      </c>
      <c r="Q344" s="68" t="s">
        <v>1795</v>
      </c>
      <c r="R344" s="66"/>
      <c r="S344" s="66"/>
      <c r="T344" s="66"/>
      <c r="U344" s="66"/>
      <c r="V344" s="66"/>
      <c r="W344" s="66"/>
      <c r="X344" s="66"/>
      <c r="Y344" s="66"/>
      <c r="Z344" s="66"/>
      <c r="AA344" s="66"/>
      <c r="AB344" s="66"/>
      <c r="AC344" s="66"/>
      <c r="AD344" s="66"/>
      <c r="AE344" s="66"/>
    </row>
    <row r="345">
      <c r="A345" s="13">
        <f t="shared" si="1"/>
        <v>344</v>
      </c>
      <c r="B345" s="7" t="s">
        <v>1796</v>
      </c>
      <c r="C345" s="7" t="s">
        <v>1797</v>
      </c>
      <c r="D345" s="7" t="s">
        <v>34</v>
      </c>
      <c r="E345" s="7" t="s">
        <v>1798</v>
      </c>
      <c r="F345" s="7">
        <v>170.0</v>
      </c>
      <c r="G345" s="7" t="s">
        <v>21</v>
      </c>
      <c r="H345" s="7" t="s">
        <v>36</v>
      </c>
      <c r="I345" s="8">
        <v>46057.0</v>
      </c>
      <c r="J345" s="16" t="s">
        <v>23</v>
      </c>
      <c r="K345" s="7"/>
      <c r="L345" s="10">
        <v>0.3333333333333333</v>
      </c>
      <c r="M345" s="10">
        <v>0.9993055555555556</v>
      </c>
      <c r="N345" s="7" t="s">
        <v>1799</v>
      </c>
      <c r="O345" s="67">
        <v>-7.2643434E7</v>
      </c>
      <c r="P345" s="67">
        <v>1.126970826E9</v>
      </c>
      <c r="Q345" s="68" t="s">
        <v>1800</v>
      </c>
      <c r="R345" s="66"/>
      <c r="S345" s="66"/>
      <c r="T345" s="66"/>
      <c r="U345" s="66"/>
      <c r="V345" s="66"/>
      <c r="W345" s="66"/>
      <c r="X345" s="66"/>
      <c r="Y345" s="66"/>
      <c r="Z345" s="66"/>
      <c r="AA345" s="66"/>
      <c r="AB345" s="66"/>
      <c r="AC345" s="66"/>
      <c r="AD345" s="66"/>
      <c r="AE345" s="66"/>
    </row>
    <row r="346">
      <c r="A346" s="13">
        <f t="shared" si="1"/>
        <v>345</v>
      </c>
      <c r="B346" s="7" t="s">
        <v>1801</v>
      </c>
      <c r="C346" s="7" t="s">
        <v>1802</v>
      </c>
      <c r="D346" s="7" t="s">
        <v>34</v>
      </c>
      <c r="E346" s="7" t="s">
        <v>1803</v>
      </c>
      <c r="F346" s="7">
        <v>205.0</v>
      </c>
      <c r="G346" s="7" t="s">
        <v>21</v>
      </c>
      <c r="H346" s="52" t="s">
        <v>72</v>
      </c>
      <c r="I346" s="8">
        <v>46207.0</v>
      </c>
      <c r="J346" s="16" t="s">
        <v>23</v>
      </c>
      <c r="K346" s="7"/>
      <c r="L346" s="10">
        <v>0.4583333333333333</v>
      </c>
      <c r="M346" s="10">
        <v>0.875</v>
      </c>
      <c r="N346" s="7" t="s">
        <v>1804</v>
      </c>
      <c r="O346" s="67">
        <v>-7.2755925E7</v>
      </c>
      <c r="P346" s="67">
        <v>1.126459812E9</v>
      </c>
      <c r="Q346" s="68" t="s">
        <v>1805</v>
      </c>
      <c r="R346" s="66"/>
      <c r="S346" s="66"/>
      <c r="T346" s="66"/>
      <c r="U346" s="66"/>
      <c r="V346" s="66"/>
      <c r="W346" s="66"/>
      <c r="X346" s="66"/>
      <c r="Y346" s="66"/>
      <c r="Z346" s="66"/>
      <c r="AA346" s="66"/>
      <c r="AB346" s="66"/>
      <c r="AC346" s="66"/>
      <c r="AD346" s="66"/>
      <c r="AE346" s="66"/>
    </row>
    <row r="347">
      <c r="A347" s="13">
        <f t="shared" si="1"/>
        <v>346</v>
      </c>
      <c r="B347" s="7" t="s">
        <v>1806</v>
      </c>
      <c r="C347" s="7" t="s">
        <v>1807</v>
      </c>
      <c r="D347" s="7" t="s">
        <v>19</v>
      </c>
      <c r="E347" s="7" t="s">
        <v>1808</v>
      </c>
      <c r="F347" s="7">
        <v>619.0</v>
      </c>
      <c r="G347" s="7" t="s">
        <v>21</v>
      </c>
      <c r="H347" s="7" t="s">
        <v>22</v>
      </c>
      <c r="I347" s="8">
        <v>46026.0</v>
      </c>
      <c r="J347" s="16" t="s">
        <v>23</v>
      </c>
      <c r="K347" s="7"/>
      <c r="L347" s="10">
        <v>0.375</v>
      </c>
      <c r="M347" s="10">
        <v>0.9993055555555556</v>
      </c>
      <c r="N347" s="7" t="s">
        <v>1809</v>
      </c>
      <c r="O347" s="67">
        <v>-7.3320121E7</v>
      </c>
      <c r="P347" s="67">
        <v>1.127840762E9</v>
      </c>
      <c r="Q347" s="68" t="s">
        <v>1810</v>
      </c>
      <c r="R347" s="66"/>
      <c r="S347" s="66"/>
      <c r="T347" s="66"/>
      <c r="U347" s="66"/>
      <c r="V347" s="66"/>
      <c r="W347" s="66"/>
      <c r="X347" s="66"/>
      <c r="Y347" s="66"/>
      <c r="Z347" s="66"/>
      <c r="AA347" s="66"/>
      <c r="AB347" s="66"/>
      <c r="AC347" s="66"/>
      <c r="AD347" s="66"/>
      <c r="AE347" s="66"/>
    </row>
    <row r="348">
      <c r="A348" s="13">
        <f t="shared" si="1"/>
        <v>347</v>
      </c>
      <c r="B348" s="7" t="s">
        <v>1811</v>
      </c>
      <c r="C348" s="7" t="s">
        <v>1812</v>
      </c>
      <c r="D348" s="7" t="s">
        <v>34</v>
      </c>
      <c r="E348" s="7" t="s">
        <v>1813</v>
      </c>
      <c r="F348" s="7">
        <v>51.0</v>
      </c>
      <c r="G348" s="7" t="s">
        <v>21</v>
      </c>
      <c r="H348" s="7" t="s">
        <v>36</v>
      </c>
      <c r="I348" s="8">
        <v>46238.0</v>
      </c>
      <c r="J348" s="16" t="s">
        <v>23</v>
      </c>
      <c r="K348" s="7"/>
      <c r="L348" s="10">
        <v>0.4375</v>
      </c>
      <c r="M348" s="10">
        <v>0.9166666666666666</v>
      </c>
      <c r="N348" s="7" t="s">
        <v>1814</v>
      </c>
      <c r="O348" s="67">
        <v>-7.2670486E7</v>
      </c>
      <c r="P348" s="67">
        <v>1.127495918E9</v>
      </c>
      <c r="Q348" s="68" t="s">
        <v>1815</v>
      </c>
      <c r="R348" s="66"/>
      <c r="S348" s="66"/>
      <c r="T348" s="66"/>
      <c r="U348" s="66"/>
      <c r="V348" s="66"/>
      <c r="W348" s="66"/>
      <c r="X348" s="66"/>
      <c r="Y348" s="66"/>
      <c r="Z348" s="66"/>
      <c r="AA348" s="66"/>
      <c r="AB348" s="66"/>
      <c r="AC348" s="66"/>
      <c r="AD348" s="66"/>
      <c r="AE348" s="66"/>
    </row>
    <row r="349">
      <c r="A349" s="13">
        <f t="shared" si="1"/>
        <v>348</v>
      </c>
      <c r="B349" s="7" t="s">
        <v>1816</v>
      </c>
      <c r="C349" s="7" t="s">
        <v>1817</v>
      </c>
      <c r="D349" s="7" t="s">
        <v>34</v>
      </c>
      <c r="E349" s="7" t="s">
        <v>1818</v>
      </c>
      <c r="F349" s="7">
        <v>1495.0</v>
      </c>
      <c r="G349" s="7" t="s">
        <v>21</v>
      </c>
      <c r="H349" s="52" t="s">
        <v>72</v>
      </c>
      <c r="I349" s="8">
        <v>46057.0</v>
      </c>
      <c r="J349" s="16" t="s">
        <v>23</v>
      </c>
      <c r="K349" s="7"/>
      <c r="L349" s="10">
        <v>0.4166666666666667</v>
      </c>
      <c r="M349" s="10">
        <v>0.875</v>
      </c>
      <c r="N349" s="7" t="s">
        <v>1819</v>
      </c>
      <c r="O349" s="67">
        <v>-7.3053905E7</v>
      </c>
      <c r="P349" s="67">
        <v>1.126613282E9</v>
      </c>
      <c r="Q349" s="68" t="s">
        <v>1820</v>
      </c>
      <c r="R349" s="66"/>
      <c r="S349" s="66"/>
      <c r="T349" s="66"/>
      <c r="U349" s="66"/>
      <c r="V349" s="66"/>
      <c r="W349" s="66"/>
      <c r="X349" s="66"/>
      <c r="Y349" s="66"/>
      <c r="Z349" s="66"/>
      <c r="AA349" s="66"/>
      <c r="AB349" s="66"/>
      <c r="AC349" s="66"/>
      <c r="AD349" s="66"/>
      <c r="AE349" s="66"/>
    </row>
    <row r="350">
      <c r="A350" s="13">
        <f t="shared" si="1"/>
        <v>349</v>
      </c>
      <c r="B350" s="7" t="s">
        <v>1821</v>
      </c>
      <c r="C350" s="7" t="s">
        <v>1822</v>
      </c>
      <c r="D350" s="7" t="s">
        <v>34</v>
      </c>
      <c r="E350" s="7" t="s">
        <v>1823</v>
      </c>
      <c r="F350" s="7">
        <v>1751.0</v>
      </c>
      <c r="G350" s="7" t="s">
        <v>21</v>
      </c>
      <c r="H350" s="7" t="s">
        <v>22</v>
      </c>
      <c r="I350" s="8">
        <v>46085.0</v>
      </c>
      <c r="J350" s="16" t="s">
        <v>23</v>
      </c>
      <c r="K350" s="7"/>
      <c r="L350" s="10">
        <v>0.5</v>
      </c>
      <c r="M350" s="10">
        <v>0.875</v>
      </c>
      <c r="N350" s="7" t="s">
        <v>1824</v>
      </c>
      <c r="O350" s="67">
        <v>-7.2585592E7</v>
      </c>
      <c r="P350" s="67">
        <v>1.127426142E9</v>
      </c>
      <c r="Q350" s="68" t="s">
        <v>1825</v>
      </c>
      <c r="R350" s="66"/>
      <c r="S350" s="66"/>
      <c r="T350" s="66"/>
      <c r="U350" s="66"/>
      <c r="V350" s="66"/>
      <c r="W350" s="66"/>
      <c r="X350" s="66"/>
      <c r="Y350" s="66"/>
      <c r="Z350" s="66"/>
      <c r="AA350" s="66"/>
      <c r="AB350" s="66"/>
      <c r="AC350" s="66"/>
      <c r="AD350" s="66"/>
      <c r="AE350" s="66"/>
    </row>
    <row r="351">
      <c r="A351" s="13">
        <f t="shared" si="1"/>
        <v>350</v>
      </c>
      <c r="B351" s="7" t="s">
        <v>1826</v>
      </c>
      <c r="C351" s="7" t="s">
        <v>1827</v>
      </c>
      <c r="D351" s="7" t="s">
        <v>34</v>
      </c>
      <c r="E351" s="7" t="s">
        <v>1828</v>
      </c>
      <c r="F351" s="7">
        <v>55.0</v>
      </c>
      <c r="G351" s="7" t="s">
        <v>21</v>
      </c>
      <c r="H351" s="7" t="s">
        <v>22</v>
      </c>
      <c r="I351" s="8">
        <v>46269.0</v>
      </c>
      <c r="J351" s="15" t="s">
        <v>65</v>
      </c>
      <c r="K351" s="7" t="s">
        <v>66</v>
      </c>
      <c r="L351" s="10">
        <v>0.75</v>
      </c>
      <c r="M351" s="10">
        <v>0.9791666666666666</v>
      </c>
      <c r="N351" s="7" t="s">
        <v>1829</v>
      </c>
      <c r="O351" s="67">
        <v>-7.2838798E7</v>
      </c>
      <c r="P351" s="67">
        <v>1.126930989E9</v>
      </c>
      <c r="Q351" s="68" t="s">
        <v>1830</v>
      </c>
      <c r="R351" s="66"/>
      <c r="S351" s="66"/>
      <c r="T351" s="66"/>
      <c r="U351" s="66"/>
      <c r="V351" s="66"/>
      <c r="W351" s="66"/>
      <c r="X351" s="66"/>
      <c r="Y351" s="66"/>
      <c r="Z351" s="66"/>
      <c r="AA351" s="66"/>
      <c r="AB351" s="66"/>
      <c r="AC351" s="66"/>
      <c r="AD351" s="66"/>
      <c r="AE351" s="66"/>
    </row>
    <row r="352">
      <c r="A352" s="13">
        <f t="shared" si="1"/>
        <v>351</v>
      </c>
      <c r="B352" s="7" t="s">
        <v>1831</v>
      </c>
      <c r="C352" s="7" t="s">
        <v>1832</v>
      </c>
      <c r="D352" s="7" t="s">
        <v>34</v>
      </c>
      <c r="E352" s="7" t="s">
        <v>1833</v>
      </c>
      <c r="F352" s="7">
        <v>33.0</v>
      </c>
      <c r="G352" s="7" t="s">
        <v>21</v>
      </c>
      <c r="H352" s="7" t="s">
        <v>36</v>
      </c>
      <c r="I352" s="7">
        <v>5.0</v>
      </c>
      <c r="J352" s="15" t="s">
        <v>388</v>
      </c>
      <c r="K352" s="7" t="s">
        <v>59</v>
      </c>
      <c r="L352" s="10">
        <v>0.0</v>
      </c>
      <c r="M352" s="10">
        <v>0.16666666666666666</v>
      </c>
      <c r="N352" s="7" t="s">
        <v>1834</v>
      </c>
      <c r="O352" s="67">
        <v>-7.2652778E7</v>
      </c>
      <c r="P352" s="67">
        <v>1127425.0</v>
      </c>
      <c r="Q352" s="68" t="s">
        <v>1835</v>
      </c>
      <c r="R352" s="66"/>
      <c r="S352" s="66"/>
      <c r="T352" s="66"/>
      <c r="U352" s="66"/>
      <c r="V352" s="66"/>
      <c r="W352" s="66"/>
      <c r="X352" s="66"/>
      <c r="Y352" s="66"/>
      <c r="Z352" s="66"/>
      <c r="AA352" s="66"/>
      <c r="AB352" s="66"/>
      <c r="AC352" s="66"/>
      <c r="AD352" s="66"/>
      <c r="AE352" s="66"/>
    </row>
    <row r="353">
      <c r="A353" s="13">
        <f t="shared" si="1"/>
        <v>352</v>
      </c>
      <c r="B353" s="7" t="s">
        <v>1836</v>
      </c>
      <c r="C353" s="7" t="s">
        <v>1837</v>
      </c>
      <c r="D353" s="7" t="s">
        <v>34</v>
      </c>
      <c r="E353" s="7" t="s">
        <v>1838</v>
      </c>
      <c r="F353" s="7">
        <v>397.0</v>
      </c>
      <c r="G353" s="7" t="s">
        <v>21</v>
      </c>
      <c r="H353" s="7" t="s">
        <v>22</v>
      </c>
      <c r="I353" s="8">
        <v>46146.0</v>
      </c>
      <c r="J353" s="15" t="s">
        <v>388</v>
      </c>
      <c r="K353" s="7" t="s">
        <v>59</v>
      </c>
      <c r="L353" s="10">
        <v>0.2916666666666667</v>
      </c>
      <c r="M353" s="10">
        <v>0.8333333333333334</v>
      </c>
      <c r="N353" s="7" t="s">
        <v>1839</v>
      </c>
      <c r="O353" s="67">
        <v>-7.2785359E7</v>
      </c>
      <c r="P353" s="67">
        <v>1.127319792E9</v>
      </c>
      <c r="Q353" s="68" t="s">
        <v>1840</v>
      </c>
      <c r="R353" s="66"/>
      <c r="S353" s="66"/>
      <c r="T353" s="66"/>
      <c r="U353" s="66"/>
      <c r="V353" s="66"/>
      <c r="W353" s="66"/>
      <c r="X353" s="66"/>
      <c r="Y353" s="66"/>
      <c r="Z353" s="66"/>
      <c r="AA353" s="66"/>
      <c r="AB353" s="66"/>
      <c r="AC353" s="66"/>
      <c r="AD353" s="66"/>
      <c r="AE353" s="66"/>
    </row>
    <row r="354">
      <c r="A354" s="13">
        <f t="shared" si="1"/>
        <v>353</v>
      </c>
      <c r="B354" s="7" t="s">
        <v>1841</v>
      </c>
      <c r="C354" s="7" t="s">
        <v>1842</v>
      </c>
      <c r="D354" s="7" t="s">
        <v>46</v>
      </c>
      <c r="E354" s="7" t="s">
        <v>1843</v>
      </c>
      <c r="F354" s="7">
        <v>3678.0</v>
      </c>
      <c r="G354" s="7" t="s">
        <v>21</v>
      </c>
      <c r="H354" s="7">
        <v>15000.0</v>
      </c>
      <c r="I354" s="8">
        <v>46085.0</v>
      </c>
      <c r="J354" s="16" t="s">
        <v>23</v>
      </c>
      <c r="K354" s="7"/>
      <c r="L354" s="10">
        <v>0.2916666666666667</v>
      </c>
      <c r="M354" s="10">
        <v>0.6666666666666666</v>
      </c>
      <c r="N354" s="7" t="s">
        <v>1844</v>
      </c>
      <c r="O354" s="67">
        <v>-7.2380652E7</v>
      </c>
      <c r="P354" s="67">
        <v>1.127956011E9</v>
      </c>
      <c r="Q354" s="68" t="s">
        <v>1845</v>
      </c>
      <c r="R354" s="66"/>
      <c r="S354" s="66"/>
      <c r="T354" s="66"/>
      <c r="U354" s="66"/>
      <c r="V354" s="66"/>
      <c r="W354" s="66"/>
      <c r="X354" s="66"/>
      <c r="Y354" s="66"/>
      <c r="Z354" s="66"/>
      <c r="AA354" s="66"/>
      <c r="AB354" s="66"/>
      <c r="AC354" s="66"/>
      <c r="AD354" s="66"/>
      <c r="AE354" s="66"/>
    </row>
    <row r="355">
      <c r="A355" s="13">
        <f t="shared" si="1"/>
        <v>354</v>
      </c>
      <c r="B355" s="7" t="s">
        <v>1846</v>
      </c>
      <c r="C355" s="7" t="s">
        <v>1847</v>
      </c>
      <c r="D355" s="7" t="s">
        <v>34</v>
      </c>
      <c r="E355" s="7" t="s">
        <v>1848</v>
      </c>
      <c r="F355" s="7">
        <v>197.0</v>
      </c>
      <c r="G355" s="7" t="s">
        <v>21</v>
      </c>
      <c r="H355" s="7" t="s">
        <v>36</v>
      </c>
      <c r="I355" s="8">
        <v>46177.0</v>
      </c>
      <c r="J355" s="15" t="s">
        <v>65</v>
      </c>
      <c r="K355" s="7" t="s">
        <v>66</v>
      </c>
      <c r="L355" s="10">
        <v>0.4583333333333333</v>
      </c>
      <c r="M355" s="10">
        <v>0.7083333333333334</v>
      </c>
      <c r="N355" s="7" t="s">
        <v>1849</v>
      </c>
      <c r="O355" s="67">
        <v>-7.2599169E7</v>
      </c>
      <c r="P355" s="67">
        <v>1.12750682E8</v>
      </c>
      <c r="Q355" s="68" t="s">
        <v>1850</v>
      </c>
      <c r="R355" s="66"/>
      <c r="S355" s="66"/>
      <c r="T355" s="66"/>
      <c r="U355" s="66"/>
      <c r="V355" s="66"/>
      <c r="W355" s="66"/>
      <c r="X355" s="66"/>
      <c r="Y355" s="66"/>
      <c r="Z355" s="66"/>
      <c r="AA355" s="66"/>
      <c r="AB355" s="66"/>
      <c r="AC355" s="66"/>
      <c r="AD355" s="66"/>
      <c r="AE355" s="66"/>
    </row>
    <row r="356">
      <c r="A356" s="13">
        <f t="shared" si="1"/>
        <v>355</v>
      </c>
      <c r="B356" s="28" t="s">
        <v>1851</v>
      </c>
      <c r="C356" s="28" t="s">
        <v>1852</v>
      </c>
      <c r="D356" s="28" t="s">
        <v>34</v>
      </c>
      <c r="E356" s="28" t="s">
        <v>1853</v>
      </c>
      <c r="F356" s="28">
        <v>23574.0</v>
      </c>
      <c r="G356" s="28" t="s">
        <v>21</v>
      </c>
      <c r="H356" s="28" t="s">
        <v>22</v>
      </c>
      <c r="I356" s="29">
        <v>46146.0</v>
      </c>
      <c r="J356" s="28" t="s">
        <v>23</v>
      </c>
      <c r="K356" s="30"/>
      <c r="L356" s="31">
        <v>0.25</v>
      </c>
      <c r="M356" s="31">
        <v>0.08333333333333333</v>
      </c>
      <c r="N356" s="32" t="s">
        <v>1854</v>
      </c>
      <c r="O356" s="33" t="s">
        <v>1855</v>
      </c>
      <c r="P356" s="34" t="s">
        <v>1856</v>
      </c>
      <c r="Q356" s="68" t="s">
        <v>1857</v>
      </c>
      <c r="R356" s="66"/>
      <c r="S356" s="66"/>
      <c r="T356" s="66"/>
      <c r="U356" s="66"/>
      <c r="V356" s="66"/>
      <c r="W356" s="66"/>
      <c r="X356" s="66"/>
      <c r="Y356" s="66"/>
      <c r="Z356" s="66"/>
      <c r="AA356" s="66"/>
      <c r="AB356" s="66"/>
      <c r="AC356" s="66"/>
      <c r="AD356" s="66"/>
      <c r="AE356" s="66"/>
    </row>
    <row r="357">
      <c r="A357" s="13">
        <f t="shared" si="1"/>
        <v>356</v>
      </c>
      <c r="B357" s="7" t="s">
        <v>1858</v>
      </c>
      <c r="C357" s="7" t="s">
        <v>1859</v>
      </c>
      <c r="D357" s="28" t="s">
        <v>34</v>
      </c>
      <c r="E357" s="7" t="s">
        <v>1860</v>
      </c>
      <c r="F357" s="7">
        <v>82.0</v>
      </c>
      <c r="G357" s="7" t="s">
        <v>21</v>
      </c>
      <c r="H357" s="7" t="s">
        <v>36</v>
      </c>
      <c r="I357" s="8">
        <v>46177.0</v>
      </c>
      <c r="J357" s="28" t="s">
        <v>23</v>
      </c>
      <c r="K357" s="7"/>
      <c r="L357" s="10">
        <v>0.0</v>
      </c>
      <c r="M357" s="10">
        <v>0.9993055555555556</v>
      </c>
      <c r="N357" s="7" t="s">
        <v>1861</v>
      </c>
      <c r="O357" s="67">
        <v>-7.2782833E7</v>
      </c>
      <c r="P357" s="67">
        <v>1.12714501E8</v>
      </c>
      <c r="Q357" s="68" t="s">
        <v>1862</v>
      </c>
      <c r="R357" s="66"/>
      <c r="S357" s="66"/>
      <c r="T357" s="66"/>
      <c r="U357" s="66"/>
      <c r="V357" s="66"/>
      <c r="W357" s="66"/>
      <c r="X357" s="66"/>
      <c r="Y357" s="66"/>
      <c r="Z357" s="66"/>
      <c r="AA357" s="66"/>
      <c r="AB357" s="66"/>
      <c r="AC357" s="66"/>
      <c r="AD357" s="66"/>
      <c r="AE357" s="66"/>
    </row>
    <row r="358">
      <c r="A358" s="13">
        <f t="shared" si="1"/>
        <v>357</v>
      </c>
      <c r="B358" s="7" t="s">
        <v>1863</v>
      </c>
      <c r="C358" s="7" t="s">
        <v>1864</v>
      </c>
      <c r="D358" s="7" t="s">
        <v>1401</v>
      </c>
      <c r="E358" s="7" t="s">
        <v>1865</v>
      </c>
      <c r="F358" s="7">
        <v>1548.0</v>
      </c>
      <c r="G358" s="7" t="s">
        <v>21</v>
      </c>
      <c r="H358" s="7" t="s">
        <v>221</v>
      </c>
      <c r="I358" s="8">
        <v>46177.0</v>
      </c>
      <c r="J358" s="28" t="s">
        <v>23</v>
      </c>
      <c r="K358" s="7"/>
      <c r="L358" s="10">
        <v>0.3333333333333333</v>
      </c>
      <c r="M358" s="10">
        <v>0.9166666666666666</v>
      </c>
      <c r="N358" s="7" t="s">
        <v>1866</v>
      </c>
      <c r="O358" s="67">
        <v>-7.3204521E7</v>
      </c>
      <c r="P358" s="67">
        <v>1.127806905E9</v>
      </c>
      <c r="Q358" s="68" t="s">
        <v>1867</v>
      </c>
      <c r="R358" s="66"/>
      <c r="S358" s="66"/>
      <c r="T358" s="66"/>
      <c r="U358" s="66"/>
      <c r="V358" s="66"/>
      <c r="W358" s="66"/>
      <c r="X358" s="66"/>
      <c r="Y358" s="66"/>
      <c r="Z358" s="66"/>
      <c r="AA358" s="66"/>
      <c r="AB358" s="66"/>
      <c r="AC358" s="66"/>
      <c r="AD358" s="66"/>
      <c r="AE358" s="66"/>
    </row>
    <row r="359">
      <c r="A359" s="13">
        <f t="shared" si="1"/>
        <v>358</v>
      </c>
      <c r="B359" s="7" t="s">
        <v>1868</v>
      </c>
      <c r="C359" s="7" t="s">
        <v>1869</v>
      </c>
      <c r="D359" s="7" t="s">
        <v>34</v>
      </c>
      <c r="E359" s="7" t="s">
        <v>1870</v>
      </c>
      <c r="F359" s="7">
        <v>540.0</v>
      </c>
      <c r="G359" s="7" t="s">
        <v>21</v>
      </c>
      <c r="H359" s="7" t="s">
        <v>22</v>
      </c>
      <c r="I359" s="8">
        <v>46177.0</v>
      </c>
      <c r="J359" s="28" t="s">
        <v>23</v>
      </c>
      <c r="K359" s="7"/>
      <c r="L359" s="10">
        <v>0.20833333333333334</v>
      </c>
      <c r="M359" s="10">
        <v>0.9166666666666666</v>
      </c>
      <c r="N359" s="7" t="s">
        <v>1871</v>
      </c>
      <c r="O359" s="67">
        <v>-7.2681114E7</v>
      </c>
      <c r="P359" s="67">
        <v>1.127134857E9</v>
      </c>
      <c r="Q359" s="68" t="s">
        <v>1872</v>
      </c>
      <c r="R359" s="66"/>
      <c r="S359" s="66"/>
      <c r="T359" s="66"/>
      <c r="U359" s="66"/>
      <c r="V359" s="66"/>
      <c r="W359" s="66"/>
      <c r="X359" s="66"/>
      <c r="Y359" s="66"/>
      <c r="Z359" s="66"/>
      <c r="AA359" s="66"/>
      <c r="AB359" s="66"/>
      <c r="AC359" s="66"/>
      <c r="AD359" s="66"/>
      <c r="AE359" s="66"/>
    </row>
    <row r="360">
      <c r="A360" s="13">
        <f t="shared" si="1"/>
        <v>359</v>
      </c>
      <c r="B360" s="7" t="s">
        <v>1873</v>
      </c>
      <c r="C360" s="7" t="s">
        <v>1874</v>
      </c>
      <c r="D360" s="7" t="s">
        <v>34</v>
      </c>
      <c r="E360" s="7" t="s">
        <v>1875</v>
      </c>
      <c r="F360" s="7">
        <v>131.0</v>
      </c>
      <c r="G360" s="7" t="s">
        <v>21</v>
      </c>
      <c r="H360" s="7" t="s">
        <v>36</v>
      </c>
      <c r="I360" s="8">
        <v>46177.0</v>
      </c>
      <c r="J360" s="28" t="s">
        <v>23</v>
      </c>
      <c r="K360" s="7"/>
      <c r="L360" s="10">
        <v>0.4166666666666667</v>
      </c>
      <c r="M360" s="10">
        <v>0.875</v>
      </c>
      <c r="N360" s="7" t="s">
        <v>1876</v>
      </c>
      <c r="O360" s="67">
        <v>-7.2860144E7</v>
      </c>
      <c r="P360" s="67">
        <v>1.127757481E9</v>
      </c>
      <c r="Q360" s="68" t="s">
        <v>1877</v>
      </c>
      <c r="R360" s="66"/>
      <c r="S360" s="66"/>
      <c r="T360" s="66"/>
      <c r="U360" s="66"/>
      <c r="V360" s="66"/>
      <c r="W360" s="66"/>
      <c r="X360" s="66"/>
      <c r="Y360" s="66"/>
      <c r="Z360" s="66"/>
      <c r="AA360" s="66"/>
      <c r="AB360" s="66"/>
      <c r="AC360" s="66"/>
      <c r="AD360" s="66"/>
      <c r="AE360" s="66"/>
    </row>
    <row r="361">
      <c r="A361" s="13">
        <f t="shared" si="1"/>
        <v>360</v>
      </c>
      <c r="B361" s="7" t="s">
        <v>1878</v>
      </c>
      <c r="C361" s="7" t="s">
        <v>1879</v>
      </c>
      <c r="D361" s="7" t="s">
        <v>19</v>
      </c>
      <c r="E361" s="7" t="s">
        <v>1880</v>
      </c>
      <c r="F361" s="7">
        <v>229.0</v>
      </c>
      <c r="G361" s="7" t="s">
        <v>21</v>
      </c>
      <c r="H361" s="28" t="s">
        <v>22</v>
      </c>
      <c r="I361" s="8">
        <v>46269.0</v>
      </c>
      <c r="J361" s="28" t="s">
        <v>23</v>
      </c>
      <c r="K361" s="7"/>
      <c r="L361" s="10">
        <v>0.4583333333333333</v>
      </c>
      <c r="M361" s="10">
        <v>0.9583333333333334</v>
      </c>
      <c r="N361" s="7" t="s">
        <v>1881</v>
      </c>
      <c r="O361" s="67">
        <v>-7258356.0</v>
      </c>
      <c r="P361" s="67">
        <v>1.127487797E9</v>
      </c>
      <c r="Q361" s="68" t="s">
        <v>1882</v>
      </c>
      <c r="R361" s="66"/>
      <c r="S361" s="66"/>
      <c r="T361" s="66"/>
      <c r="U361" s="66"/>
      <c r="V361" s="66"/>
      <c r="W361" s="66"/>
      <c r="X361" s="66"/>
      <c r="Y361" s="66"/>
      <c r="Z361" s="66"/>
      <c r="AA361" s="66"/>
      <c r="AB361" s="66"/>
      <c r="AC361" s="66"/>
      <c r="AD361" s="66"/>
      <c r="AE361" s="66"/>
    </row>
    <row r="362">
      <c r="A362" s="13">
        <f t="shared" si="1"/>
        <v>361</v>
      </c>
      <c r="B362" s="7" t="s">
        <v>1883</v>
      </c>
      <c r="C362" s="7" t="s">
        <v>1884</v>
      </c>
      <c r="D362" s="7" t="s">
        <v>34</v>
      </c>
      <c r="E362" s="7" t="s">
        <v>1885</v>
      </c>
      <c r="F362" s="7">
        <v>984.0</v>
      </c>
      <c r="G362" s="7" t="s">
        <v>21</v>
      </c>
      <c r="H362" s="7" t="s">
        <v>36</v>
      </c>
      <c r="I362" s="8">
        <v>46177.0</v>
      </c>
      <c r="J362" s="28" t="s">
        <v>23</v>
      </c>
      <c r="K362" s="7"/>
      <c r="L362" s="10">
        <v>0.2916666666666667</v>
      </c>
      <c r="M362" s="10">
        <v>0.875</v>
      </c>
      <c r="N362" s="7" t="s">
        <v>1886</v>
      </c>
      <c r="O362" s="67">
        <v>-7.2810419E7</v>
      </c>
      <c r="P362" s="67">
        <v>1.1271209E7</v>
      </c>
      <c r="Q362" s="68" t="s">
        <v>1887</v>
      </c>
      <c r="R362" s="66"/>
      <c r="S362" s="66"/>
      <c r="T362" s="66"/>
      <c r="U362" s="66"/>
      <c r="V362" s="66"/>
      <c r="W362" s="66"/>
      <c r="X362" s="66"/>
      <c r="Y362" s="66"/>
      <c r="Z362" s="66"/>
      <c r="AA362" s="66"/>
      <c r="AB362" s="66"/>
      <c r="AC362" s="66"/>
      <c r="AD362" s="66"/>
      <c r="AE362" s="66"/>
    </row>
    <row r="363">
      <c r="A363" s="13">
        <f t="shared" si="1"/>
        <v>362</v>
      </c>
      <c r="B363" s="7" t="s">
        <v>1888</v>
      </c>
      <c r="C363" s="7" t="s">
        <v>1889</v>
      </c>
      <c r="D363" s="7" t="s">
        <v>34</v>
      </c>
      <c r="E363" s="7" t="s">
        <v>1890</v>
      </c>
      <c r="F363" s="7">
        <v>51.0</v>
      </c>
      <c r="G363" s="7" t="s">
        <v>21</v>
      </c>
      <c r="H363" s="28" t="s">
        <v>22</v>
      </c>
      <c r="I363" s="8">
        <v>46146.0</v>
      </c>
      <c r="J363" s="28" t="s">
        <v>23</v>
      </c>
      <c r="K363" s="7"/>
      <c r="L363" s="10">
        <v>0.0</v>
      </c>
      <c r="M363" s="10">
        <v>0.9993055555555556</v>
      </c>
      <c r="N363" s="7" t="s">
        <v>1891</v>
      </c>
      <c r="O363" s="67">
        <v>-7243881.0</v>
      </c>
      <c r="P363" s="67">
        <v>1.1273663E7</v>
      </c>
      <c r="Q363" s="68" t="s">
        <v>1892</v>
      </c>
      <c r="R363" s="66"/>
      <c r="S363" s="66"/>
      <c r="T363" s="66"/>
      <c r="U363" s="66"/>
      <c r="V363" s="66"/>
      <c r="W363" s="66"/>
      <c r="X363" s="66"/>
      <c r="Y363" s="66"/>
      <c r="Z363" s="66"/>
      <c r="AA363" s="66"/>
      <c r="AB363" s="66"/>
      <c r="AC363" s="66"/>
      <c r="AD363" s="66"/>
      <c r="AE363" s="66"/>
    </row>
    <row r="364">
      <c r="A364" s="13">
        <f t="shared" si="1"/>
        <v>363</v>
      </c>
      <c r="B364" s="7" t="s">
        <v>1893</v>
      </c>
      <c r="C364" s="7" t="s">
        <v>1894</v>
      </c>
      <c r="D364" s="7" t="s">
        <v>34</v>
      </c>
      <c r="E364" s="7" t="s">
        <v>1895</v>
      </c>
      <c r="F364" s="7">
        <v>751.0</v>
      </c>
      <c r="G364" s="7" t="s">
        <v>21</v>
      </c>
      <c r="H364" s="7" t="s">
        <v>649</v>
      </c>
      <c r="I364" s="8">
        <v>46269.0</v>
      </c>
      <c r="J364" s="28" t="s">
        <v>23</v>
      </c>
      <c r="K364" s="7"/>
      <c r="L364" s="10">
        <v>0.4583333333333333</v>
      </c>
      <c r="M364" s="10">
        <v>0.9166666666666666</v>
      </c>
      <c r="N364" s="7" t="s">
        <v>1896</v>
      </c>
      <c r="O364" s="67">
        <v>-7.2822095E7</v>
      </c>
      <c r="P364" s="67">
        <v>1.127068828E9</v>
      </c>
      <c r="Q364" s="68" t="s">
        <v>1897</v>
      </c>
      <c r="R364" s="66"/>
      <c r="S364" s="66"/>
      <c r="T364" s="66"/>
      <c r="U364" s="66"/>
      <c r="V364" s="66"/>
      <c r="W364" s="66"/>
      <c r="X364" s="66"/>
      <c r="Y364" s="66"/>
      <c r="Z364" s="66"/>
      <c r="AA364" s="66"/>
      <c r="AB364" s="66"/>
      <c r="AC364" s="66"/>
      <c r="AD364" s="66"/>
      <c r="AE364" s="66"/>
    </row>
    <row r="365">
      <c r="A365" s="13">
        <f t="shared" si="1"/>
        <v>364</v>
      </c>
      <c r="B365" s="7" t="s">
        <v>1898</v>
      </c>
      <c r="C365" s="7" t="s">
        <v>1899</v>
      </c>
      <c r="D365" s="7" t="s">
        <v>34</v>
      </c>
      <c r="E365" s="7" t="s">
        <v>1900</v>
      </c>
      <c r="F365" s="7">
        <v>1541.0</v>
      </c>
      <c r="G365" s="7" t="s">
        <v>21</v>
      </c>
      <c r="H365" s="7" t="s">
        <v>36</v>
      </c>
      <c r="I365" s="8">
        <v>46116.0</v>
      </c>
      <c r="J365" s="28" t="s">
        <v>23</v>
      </c>
      <c r="K365" s="7"/>
      <c r="L365" s="10">
        <v>0.3333333333333333</v>
      </c>
      <c r="M365" s="10">
        <v>0.9166666666666666</v>
      </c>
      <c r="N365" s="7" t="s">
        <v>1901</v>
      </c>
      <c r="O365" s="67">
        <v>-7.3066403E7</v>
      </c>
      <c r="P365" s="67">
        <v>1.127146159E9</v>
      </c>
      <c r="Q365" s="68" t="s">
        <v>1902</v>
      </c>
      <c r="R365" s="66"/>
      <c r="S365" s="66"/>
      <c r="T365" s="66"/>
      <c r="U365" s="66"/>
      <c r="V365" s="66"/>
      <c r="W365" s="66"/>
      <c r="X365" s="66"/>
      <c r="Y365" s="66"/>
      <c r="Z365" s="66"/>
      <c r="AA365" s="66"/>
      <c r="AB365" s="66"/>
      <c r="AC365" s="66"/>
      <c r="AD365" s="66"/>
      <c r="AE365" s="66"/>
    </row>
    <row r="366">
      <c r="A366" s="13">
        <f t="shared" si="1"/>
        <v>365</v>
      </c>
      <c r="B366" s="7" t="s">
        <v>1903</v>
      </c>
      <c r="C366" s="7" t="s">
        <v>1904</v>
      </c>
      <c r="D366" s="7" t="s">
        <v>46</v>
      </c>
      <c r="E366" s="7" t="s">
        <v>1905</v>
      </c>
      <c r="F366" s="7">
        <v>21.0</v>
      </c>
      <c r="G366" s="7" t="s">
        <v>21</v>
      </c>
      <c r="H366" s="7">
        <v>0.0</v>
      </c>
      <c r="I366" s="8">
        <v>46085.0</v>
      </c>
      <c r="J366" s="28" t="s">
        <v>23</v>
      </c>
      <c r="K366" s="7"/>
      <c r="L366" s="10">
        <v>0.0</v>
      </c>
      <c r="M366" s="10">
        <v>0.9993055555555556</v>
      </c>
      <c r="N366" s="7" t="s">
        <v>1906</v>
      </c>
      <c r="O366" s="67">
        <v>-7.2884801E7</v>
      </c>
      <c r="P366" s="67">
        <v>1.127449226E9</v>
      </c>
      <c r="Q366" s="68" t="s">
        <v>1907</v>
      </c>
      <c r="R366" s="66"/>
      <c r="S366" s="66"/>
      <c r="T366" s="66"/>
      <c r="U366" s="66"/>
      <c r="V366" s="66"/>
      <c r="W366" s="66"/>
      <c r="X366" s="66"/>
      <c r="Y366" s="66"/>
      <c r="Z366" s="66"/>
      <c r="AA366" s="66"/>
      <c r="AB366" s="66"/>
      <c r="AC366" s="66"/>
      <c r="AD366" s="66"/>
      <c r="AE366" s="66"/>
    </row>
    <row r="367">
      <c r="A367" s="13">
        <f t="shared" si="1"/>
        <v>366</v>
      </c>
      <c r="B367" s="7" t="s">
        <v>1908</v>
      </c>
      <c r="C367" s="7" t="s">
        <v>1909</v>
      </c>
      <c r="D367" s="7" t="s">
        <v>34</v>
      </c>
      <c r="E367" s="7" t="s">
        <v>1910</v>
      </c>
      <c r="F367" s="7">
        <v>9942.0</v>
      </c>
      <c r="G367" s="7" t="s">
        <v>21</v>
      </c>
      <c r="H367" s="7" t="s">
        <v>221</v>
      </c>
      <c r="I367" s="8">
        <v>46057.0</v>
      </c>
      <c r="J367" s="28" t="s">
        <v>23</v>
      </c>
      <c r="K367" s="7"/>
      <c r="L367" s="10">
        <v>0.3333333333333333</v>
      </c>
      <c r="M367" s="10">
        <v>0.125</v>
      </c>
      <c r="N367" s="7" t="s">
        <v>1911</v>
      </c>
      <c r="O367" s="67">
        <v>-7.2590943E7</v>
      </c>
      <c r="P367" s="67">
        <v>1.127352172E9</v>
      </c>
      <c r="Q367" s="68" t="s">
        <v>1912</v>
      </c>
      <c r="R367" s="66"/>
      <c r="S367" s="66"/>
      <c r="T367" s="66"/>
      <c r="U367" s="66"/>
      <c r="V367" s="66"/>
      <c r="W367" s="66"/>
      <c r="X367" s="66"/>
      <c r="Y367" s="66"/>
      <c r="Z367" s="66"/>
      <c r="AA367" s="66"/>
      <c r="AB367" s="66"/>
      <c r="AC367" s="66"/>
      <c r="AD367" s="66"/>
      <c r="AE367" s="66"/>
    </row>
    <row r="368">
      <c r="A368" s="13">
        <f t="shared" si="1"/>
        <v>367</v>
      </c>
      <c r="B368" s="7" t="s">
        <v>1913</v>
      </c>
      <c r="C368" s="7" t="s">
        <v>1914</v>
      </c>
      <c r="D368" s="7" t="s">
        <v>46</v>
      </c>
      <c r="E368" s="7" t="s">
        <v>1915</v>
      </c>
      <c r="F368" s="7">
        <v>455.0</v>
      </c>
      <c r="G368" s="7" t="s">
        <v>21</v>
      </c>
      <c r="H368" s="7">
        <v>5000.0</v>
      </c>
      <c r="I368" s="8">
        <v>46146.0</v>
      </c>
      <c r="J368" s="28" t="s">
        <v>23</v>
      </c>
      <c r="K368" s="7"/>
      <c r="L368" s="10">
        <v>0.3333333333333333</v>
      </c>
      <c r="M368" s="10">
        <v>0.6666666666666666</v>
      </c>
      <c r="N368" s="7" t="s">
        <v>1916</v>
      </c>
      <c r="O368" s="67">
        <v>-7.3065335E7</v>
      </c>
      <c r="P368" s="67">
        <v>1.126384352E9</v>
      </c>
      <c r="Q368" s="68" t="s">
        <v>1917</v>
      </c>
      <c r="R368" s="66"/>
      <c r="S368" s="66"/>
      <c r="T368" s="66"/>
      <c r="U368" s="66"/>
      <c r="V368" s="66"/>
      <c r="W368" s="66"/>
      <c r="X368" s="66"/>
      <c r="Y368" s="66"/>
      <c r="Z368" s="66"/>
      <c r="AA368" s="66"/>
      <c r="AB368" s="66"/>
      <c r="AC368" s="66"/>
      <c r="AD368" s="66"/>
      <c r="AE368" s="66"/>
    </row>
    <row r="369">
      <c r="A369" s="13">
        <f t="shared" si="1"/>
        <v>368</v>
      </c>
      <c r="B369" s="7" t="s">
        <v>1918</v>
      </c>
      <c r="C369" s="7" t="s">
        <v>1919</v>
      </c>
      <c r="D369" s="7" t="s">
        <v>34</v>
      </c>
      <c r="E369" s="7" t="s">
        <v>1920</v>
      </c>
      <c r="F369" s="7">
        <v>1989.0</v>
      </c>
      <c r="G369" s="7" t="s">
        <v>21</v>
      </c>
      <c r="H369" s="7" t="s">
        <v>36</v>
      </c>
      <c r="I369" s="8">
        <v>46207.0</v>
      </c>
      <c r="J369" s="28" t="s">
        <v>23</v>
      </c>
      <c r="K369" s="7"/>
      <c r="L369" s="10">
        <v>0.2916666666666667</v>
      </c>
      <c r="M369" s="10">
        <v>0.9166666666666666</v>
      </c>
      <c r="N369" s="7" t="s">
        <v>1921</v>
      </c>
      <c r="O369" s="67">
        <v>-7276653.0</v>
      </c>
      <c r="P369" s="67">
        <v>1.12757084E8</v>
      </c>
      <c r="Q369" s="68" t="s">
        <v>1922</v>
      </c>
      <c r="R369" s="66"/>
      <c r="S369" s="66"/>
      <c r="T369" s="66"/>
      <c r="U369" s="66"/>
      <c r="V369" s="66"/>
      <c r="W369" s="66"/>
      <c r="X369" s="66"/>
      <c r="Y369" s="66"/>
      <c r="Z369" s="66"/>
      <c r="AA369" s="66"/>
      <c r="AB369" s="66"/>
      <c r="AC369" s="66"/>
      <c r="AD369" s="66"/>
      <c r="AE369" s="66"/>
    </row>
    <row r="370">
      <c r="A370" s="13">
        <f t="shared" si="1"/>
        <v>369</v>
      </c>
      <c r="B370" s="7" t="s">
        <v>1923</v>
      </c>
      <c r="C370" s="7" t="s">
        <v>1822</v>
      </c>
      <c r="D370" s="7" t="s">
        <v>34</v>
      </c>
      <c r="E370" s="7" t="s">
        <v>1823</v>
      </c>
      <c r="F370" s="7">
        <v>466.0</v>
      </c>
      <c r="G370" s="7" t="s">
        <v>21</v>
      </c>
      <c r="H370" s="7" t="s">
        <v>36</v>
      </c>
      <c r="I370" s="8">
        <v>46146.0</v>
      </c>
      <c r="J370" s="28" t="s">
        <v>23</v>
      </c>
      <c r="K370" s="7"/>
      <c r="L370" s="10">
        <v>0.4166666666666667</v>
      </c>
      <c r="M370" s="10">
        <v>0.8333333333333334</v>
      </c>
      <c r="N370" s="7" t="s">
        <v>1924</v>
      </c>
      <c r="O370" s="67">
        <v>-7.2736224E7</v>
      </c>
      <c r="P370" s="67">
        <v>1.127531454E9</v>
      </c>
      <c r="Q370" s="68" t="s">
        <v>1925</v>
      </c>
      <c r="R370" s="66"/>
      <c r="S370" s="66"/>
      <c r="T370" s="66"/>
      <c r="U370" s="66"/>
      <c r="V370" s="66"/>
      <c r="W370" s="66"/>
      <c r="X370" s="66"/>
      <c r="Y370" s="66"/>
      <c r="Z370" s="66"/>
      <c r="AA370" s="66"/>
      <c r="AB370" s="66"/>
      <c r="AC370" s="66"/>
      <c r="AD370" s="66"/>
      <c r="AE370" s="66"/>
    </row>
    <row r="371">
      <c r="A371" s="13">
        <f t="shared" si="1"/>
        <v>370</v>
      </c>
      <c r="B371" s="7" t="s">
        <v>1926</v>
      </c>
      <c r="C371" s="7" t="s">
        <v>1927</v>
      </c>
      <c r="D371" s="7" t="s">
        <v>34</v>
      </c>
      <c r="E371" s="7" t="s">
        <v>1928</v>
      </c>
      <c r="F371" s="7">
        <v>18.0</v>
      </c>
      <c r="G371" s="7" t="s">
        <v>21</v>
      </c>
      <c r="H371" s="7" t="s">
        <v>36</v>
      </c>
      <c r="I371" s="7">
        <v>5.0</v>
      </c>
      <c r="J371" s="28" t="s">
        <v>23</v>
      </c>
      <c r="K371" s="7"/>
      <c r="L371" s="10">
        <v>0.25</v>
      </c>
      <c r="M371" s="10">
        <v>0.9583333333333334</v>
      </c>
      <c r="N371" s="7" t="s">
        <v>1929</v>
      </c>
      <c r="O371" s="67">
        <v>-7.3096635E7</v>
      </c>
      <c r="P371" s="67">
        <v>1.127327652E9</v>
      </c>
      <c r="Q371" s="68" t="s">
        <v>1930</v>
      </c>
      <c r="R371" s="66"/>
      <c r="S371" s="66"/>
      <c r="T371" s="66"/>
      <c r="U371" s="66"/>
      <c r="V371" s="66"/>
      <c r="W371" s="66"/>
      <c r="X371" s="66"/>
      <c r="Y371" s="66"/>
      <c r="Z371" s="66"/>
      <c r="AA371" s="66"/>
      <c r="AB371" s="66"/>
      <c r="AC371" s="66"/>
      <c r="AD371" s="66"/>
      <c r="AE371" s="66"/>
    </row>
    <row r="372">
      <c r="A372" s="13">
        <f t="shared" si="1"/>
        <v>371</v>
      </c>
      <c r="B372" s="7" t="s">
        <v>1931</v>
      </c>
      <c r="C372" s="7" t="s">
        <v>1932</v>
      </c>
      <c r="D372" s="7" t="s">
        <v>34</v>
      </c>
      <c r="E372" s="7" t="s">
        <v>1933</v>
      </c>
      <c r="F372" s="7">
        <v>3279.0</v>
      </c>
      <c r="G372" s="7" t="s">
        <v>21</v>
      </c>
      <c r="H372" s="7" t="s">
        <v>36</v>
      </c>
      <c r="I372" s="8">
        <v>46177.0</v>
      </c>
      <c r="J372" s="28" t="s">
        <v>23</v>
      </c>
      <c r="K372" s="7"/>
      <c r="L372" s="10">
        <v>0.0</v>
      </c>
      <c r="M372" s="10">
        <v>0.9993055555555556</v>
      </c>
      <c r="N372" s="7" t="s">
        <v>1934</v>
      </c>
      <c r="O372" s="67">
        <v>-7.2664351E7</v>
      </c>
      <c r="P372" s="67">
        <v>1.127518896E9</v>
      </c>
      <c r="Q372" s="68" t="s">
        <v>1935</v>
      </c>
      <c r="R372" s="66"/>
      <c r="S372" s="66"/>
      <c r="T372" s="66"/>
      <c r="U372" s="66"/>
      <c r="V372" s="66"/>
      <c r="W372" s="66"/>
      <c r="X372" s="66"/>
      <c r="Y372" s="66"/>
      <c r="Z372" s="66"/>
      <c r="AA372" s="66"/>
      <c r="AB372" s="66"/>
      <c r="AC372" s="66"/>
      <c r="AD372" s="66"/>
      <c r="AE372" s="66"/>
    </row>
    <row r="373">
      <c r="A373" s="13">
        <f t="shared" si="1"/>
        <v>372</v>
      </c>
      <c r="B373" s="7" t="s">
        <v>1936</v>
      </c>
      <c r="C373" s="7" t="s">
        <v>1937</v>
      </c>
      <c r="D373" s="7" t="s">
        <v>34</v>
      </c>
      <c r="E373" s="7" t="s">
        <v>1938</v>
      </c>
      <c r="F373" s="7">
        <v>12.0</v>
      </c>
      <c r="G373" s="7" t="s">
        <v>21</v>
      </c>
      <c r="H373" s="7" t="s">
        <v>1939</v>
      </c>
      <c r="I373" s="8">
        <v>46116.0</v>
      </c>
      <c r="J373" s="28" t="s">
        <v>23</v>
      </c>
      <c r="K373" s="7"/>
      <c r="L373" s="10">
        <v>0.375</v>
      </c>
      <c r="M373" s="10">
        <v>0.875</v>
      </c>
      <c r="N373" s="7" t="s">
        <v>1940</v>
      </c>
      <c r="O373" s="67">
        <v>-730788.0</v>
      </c>
      <c r="P373" s="67">
        <v>1.126789279E9</v>
      </c>
      <c r="Q373" s="68" t="s">
        <v>1941</v>
      </c>
      <c r="R373" s="66"/>
      <c r="S373" s="66"/>
      <c r="T373" s="66"/>
      <c r="U373" s="66"/>
      <c r="V373" s="66"/>
      <c r="W373" s="66"/>
      <c r="X373" s="66"/>
      <c r="Y373" s="66"/>
      <c r="Z373" s="66"/>
      <c r="AA373" s="66"/>
      <c r="AB373" s="66"/>
      <c r="AC373" s="66"/>
      <c r="AD373" s="66"/>
      <c r="AE373" s="66"/>
    </row>
    <row r="374">
      <c r="A374" s="13">
        <f t="shared" si="1"/>
        <v>373</v>
      </c>
      <c r="B374" s="7" t="s">
        <v>1942</v>
      </c>
      <c r="C374" s="7" t="s">
        <v>1943</v>
      </c>
      <c r="D374" s="7" t="s">
        <v>19</v>
      </c>
      <c r="E374" s="7" t="s">
        <v>1944</v>
      </c>
      <c r="F374" s="7">
        <v>1198.0</v>
      </c>
      <c r="G374" s="7" t="s">
        <v>21</v>
      </c>
      <c r="H374" s="7" t="s">
        <v>221</v>
      </c>
      <c r="I374" s="8">
        <v>46269.0</v>
      </c>
      <c r="J374" s="28" t="s">
        <v>23</v>
      </c>
      <c r="K374" s="7"/>
      <c r="L374" s="10">
        <v>0.4583333333333333</v>
      </c>
      <c r="M374" s="10">
        <v>0.9166666666666666</v>
      </c>
      <c r="N374" s="7" t="s">
        <v>1945</v>
      </c>
      <c r="O374" s="67">
        <v>-7.2611209E7</v>
      </c>
      <c r="P374" s="67">
        <v>1.127486801E9</v>
      </c>
      <c r="Q374" s="68" t="s">
        <v>1946</v>
      </c>
      <c r="R374" s="66"/>
      <c r="S374" s="66"/>
      <c r="T374" s="66"/>
      <c r="U374" s="66"/>
      <c r="V374" s="66"/>
      <c r="W374" s="66"/>
      <c r="X374" s="66"/>
      <c r="Y374" s="66"/>
      <c r="Z374" s="66"/>
      <c r="AA374" s="66"/>
      <c r="AB374" s="66"/>
      <c r="AC374" s="66"/>
      <c r="AD374" s="66"/>
      <c r="AE374" s="66"/>
    </row>
    <row r="375">
      <c r="A375" s="13">
        <f t="shared" si="1"/>
        <v>374</v>
      </c>
      <c r="B375" s="7" t="s">
        <v>1947</v>
      </c>
      <c r="C375" s="7" t="s">
        <v>1948</v>
      </c>
      <c r="D375" s="7" t="s">
        <v>34</v>
      </c>
      <c r="E375" s="7" t="s">
        <v>1949</v>
      </c>
      <c r="F375" s="7">
        <v>213.0</v>
      </c>
      <c r="G375" s="7" t="s">
        <v>21</v>
      </c>
      <c r="H375" s="7" t="s">
        <v>36</v>
      </c>
      <c r="I375" s="8">
        <v>46177.0</v>
      </c>
      <c r="J375" s="28" t="s">
        <v>23</v>
      </c>
      <c r="K375" s="7"/>
      <c r="L375" s="10">
        <v>0.4583333333333333</v>
      </c>
      <c r="M375" s="10">
        <v>0.9583333333333334</v>
      </c>
      <c r="N375" s="7" t="s">
        <v>1950</v>
      </c>
      <c r="O375" s="67">
        <v>-7.2719923E7</v>
      </c>
      <c r="P375" s="67">
        <v>1.127609044E9</v>
      </c>
      <c r="Q375" s="68" t="s">
        <v>1951</v>
      </c>
      <c r="R375" s="66"/>
      <c r="S375" s="66"/>
      <c r="T375" s="66"/>
      <c r="U375" s="66"/>
      <c r="V375" s="66"/>
      <c r="W375" s="66"/>
      <c r="X375" s="66"/>
      <c r="Y375" s="66"/>
      <c r="Z375" s="66"/>
      <c r="AA375" s="66"/>
      <c r="AB375" s="66"/>
      <c r="AC375" s="66"/>
      <c r="AD375" s="66"/>
      <c r="AE375" s="66"/>
    </row>
    <row r="376">
      <c r="A376" s="13">
        <f t="shared" si="1"/>
        <v>375</v>
      </c>
      <c r="B376" s="7" t="s">
        <v>1952</v>
      </c>
      <c r="C376" s="7" t="s">
        <v>1953</v>
      </c>
      <c r="D376" s="7" t="s">
        <v>46</v>
      </c>
      <c r="E376" s="7" t="s">
        <v>1954</v>
      </c>
      <c r="F376" s="7">
        <v>202.0</v>
      </c>
      <c r="G376" s="7" t="s">
        <v>21</v>
      </c>
      <c r="H376" s="7">
        <v>0.0</v>
      </c>
      <c r="I376" s="8">
        <v>46146.0</v>
      </c>
      <c r="J376" s="28" t="s">
        <v>23</v>
      </c>
      <c r="K376" s="7"/>
      <c r="L376" s="10">
        <v>0.20833333333333334</v>
      </c>
      <c r="M376" s="10">
        <v>0.7916666666666666</v>
      </c>
      <c r="N376" s="7" t="s">
        <v>1955</v>
      </c>
      <c r="O376" s="67">
        <v>-7311235.0</v>
      </c>
      <c r="P376" s="67">
        <v>1.12720591E8</v>
      </c>
      <c r="Q376" s="68" t="s">
        <v>1956</v>
      </c>
      <c r="R376" s="66"/>
      <c r="S376" s="66"/>
      <c r="T376" s="66"/>
      <c r="U376" s="66"/>
      <c r="V376" s="66"/>
      <c r="W376" s="66"/>
      <c r="X376" s="66"/>
      <c r="Y376" s="66"/>
      <c r="Z376" s="66"/>
      <c r="AA376" s="66"/>
      <c r="AB376" s="66"/>
      <c r="AC376" s="66"/>
      <c r="AD376" s="66"/>
      <c r="AE376" s="66"/>
    </row>
    <row r="377">
      <c r="A377" s="13">
        <f t="shared" si="1"/>
        <v>376</v>
      </c>
      <c r="B377" s="7" t="s">
        <v>1957</v>
      </c>
      <c r="C377" s="7" t="s">
        <v>1958</v>
      </c>
      <c r="D377" s="7" t="s">
        <v>34</v>
      </c>
      <c r="E377" s="7" t="s">
        <v>1959</v>
      </c>
      <c r="F377" s="7">
        <v>5184.0</v>
      </c>
      <c r="G377" s="7" t="s">
        <v>21</v>
      </c>
      <c r="H377" s="7" t="s">
        <v>882</v>
      </c>
      <c r="I377" s="8">
        <v>46177.0</v>
      </c>
      <c r="J377" s="28" t="s">
        <v>23</v>
      </c>
      <c r="K377" s="7"/>
      <c r="L377" s="10">
        <v>0.2916666666666667</v>
      </c>
      <c r="M377" s="10">
        <v>0.9166666666666666</v>
      </c>
      <c r="N377" s="7" t="s">
        <v>1960</v>
      </c>
      <c r="O377" s="67">
        <v>-7.2688889E7</v>
      </c>
      <c r="P377" s="67">
        <v>1.127386167E9</v>
      </c>
      <c r="Q377" s="68" t="s">
        <v>1961</v>
      </c>
      <c r="R377" s="66"/>
      <c r="S377" s="66"/>
      <c r="T377" s="66"/>
      <c r="U377" s="66"/>
      <c r="V377" s="66"/>
      <c r="W377" s="66"/>
      <c r="X377" s="66"/>
      <c r="Y377" s="66"/>
      <c r="Z377" s="66"/>
      <c r="AA377" s="66"/>
      <c r="AB377" s="66"/>
      <c r="AC377" s="66"/>
      <c r="AD377" s="66"/>
      <c r="AE377" s="66"/>
    </row>
    <row r="378">
      <c r="A378" s="13">
        <f t="shared" si="1"/>
        <v>377</v>
      </c>
      <c r="B378" s="7" t="s">
        <v>1962</v>
      </c>
      <c r="C378" s="7" t="s">
        <v>1963</v>
      </c>
      <c r="D378" s="7" t="s">
        <v>46</v>
      </c>
      <c r="E378" s="7" t="s">
        <v>1964</v>
      </c>
      <c r="F378" s="7">
        <v>1091.0</v>
      </c>
      <c r="G378" s="7" t="s">
        <v>21</v>
      </c>
      <c r="H378" s="7">
        <v>10000.0</v>
      </c>
      <c r="I378" s="8">
        <v>46146.0</v>
      </c>
      <c r="J378" s="28" t="s">
        <v>23</v>
      </c>
      <c r="K378" s="7"/>
      <c r="L378" s="10">
        <v>0.3333333333333333</v>
      </c>
      <c r="M378" s="10">
        <v>0.6666666666666666</v>
      </c>
      <c r="N378" s="7" t="s">
        <v>1965</v>
      </c>
      <c r="O378" s="67">
        <v>-7.1985305E7</v>
      </c>
      <c r="P378" s="67">
        <v>1.126648135E9</v>
      </c>
      <c r="Q378" s="68" t="s">
        <v>1966</v>
      </c>
      <c r="R378" s="66"/>
      <c r="S378" s="66"/>
      <c r="T378" s="66"/>
      <c r="U378" s="66"/>
      <c r="V378" s="66"/>
      <c r="W378" s="66"/>
      <c r="X378" s="66"/>
      <c r="Y378" s="66"/>
      <c r="Z378" s="66"/>
      <c r="AA378" s="66"/>
      <c r="AB378" s="66"/>
      <c r="AC378" s="66"/>
      <c r="AD378" s="66"/>
      <c r="AE378" s="66"/>
    </row>
    <row r="379">
      <c r="A379" s="13">
        <f t="shared" si="1"/>
        <v>378</v>
      </c>
      <c r="B379" s="65" t="s">
        <v>1967</v>
      </c>
      <c r="C379" s="79" t="s">
        <v>1968</v>
      </c>
      <c r="D379" s="65" t="s">
        <v>19</v>
      </c>
      <c r="E379" s="79" t="s">
        <v>1969</v>
      </c>
      <c r="F379" s="16">
        <v>967.0</v>
      </c>
      <c r="G379" s="65" t="s">
        <v>21</v>
      </c>
      <c r="H379" s="38">
        <v>60000.0</v>
      </c>
      <c r="I379" s="39">
        <v>46177.0</v>
      </c>
      <c r="J379" s="79" t="s">
        <v>1970</v>
      </c>
      <c r="K379" s="79" t="s">
        <v>1971</v>
      </c>
      <c r="L379" s="41">
        <v>0.2916666666666667</v>
      </c>
      <c r="M379" s="41">
        <v>0.7083333333333334</v>
      </c>
      <c r="N379" s="71" t="s">
        <v>1972</v>
      </c>
      <c r="O379" s="71" t="s">
        <v>1973</v>
      </c>
      <c r="P379" s="73" t="s">
        <v>1974</v>
      </c>
      <c r="Q379" s="69" t="s">
        <v>1975</v>
      </c>
      <c r="R379" s="26"/>
      <c r="S379" s="26"/>
      <c r="T379" s="26"/>
      <c r="U379" s="26"/>
      <c r="V379" s="26"/>
      <c r="W379" s="26"/>
      <c r="X379" s="26"/>
      <c r="Y379" s="26"/>
      <c r="Z379" s="26"/>
      <c r="AA379" s="26"/>
      <c r="AB379" s="26"/>
      <c r="AC379" s="26"/>
      <c r="AD379" s="26"/>
      <c r="AE379" s="26"/>
    </row>
    <row r="380">
      <c r="A380" s="13">
        <f t="shared" si="1"/>
        <v>379</v>
      </c>
      <c r="B380" s="7" t="s">
        <v>1976</v>
      </c>
      <c r="C380" s="7" t="s">
        <v>1977</v>
      </c>
      <c r="D380" s="7" t="s">
        <v>34</v>
      </c>
      <c r="E380" s="7" t="s">
        <v>1978</v>
      </c>
      <c r="F380" s="7">
        <v>2148.0</v>
      </c>
      <c r="G380" s="7" t="s">
        <v>21</v>
      </c>
      <c r="H380" s="7" t="s">
        <v>72</v>
      </c>
      <c r="I380" s="8">
        <v>46116.0</v>
      </c>
      <c r="J380" s="28" t="s">
        <v>23</v>
      </c>
      <c r="K380" s="7"/>
      <c r="L380" s="10">
        <v>0.375</v>
      </c>
      <c r="M380" s="10">
        <v>0.875</v>
      </c>
      <c r="N380" s="7" t="s">
        <v>1979</v>
      </c>
      <c r="O380" s="67">
        <v>-7232525.0</v>
      </c>
      <c r="P380" s="67">
        <v>1.12741133E8</v>
      </c>
      <c r="Q380" s="68" t="s">
        <v>1980</v>
      </c>
      <c r="R380" s="66"/>
      <c r="S380" s="66"/>
      <c r="T380" s="66"/>
      <c r="U380" s="66"/>
      <c r="V380" s="66"/>
      <c r="W380" s="66"/>
      <c r="X380" s="66"/>
      <c r="Y380" s="66"/>
      <c r="Z380" s="66"/>
      <c r="AA380" s="66"/>
      <c r="AB380" s="66"/>
      <c r="AC380" s="66"/>
      <c r="AD380" s="66"/>
      <c r="AE380" s="66"/>
    </row>
    <row r="381">
      <c r="A381" s="13">
        <f t="shared" si="1"/>
        <v>380</v>
      </c>
      <c r="B381" s="7" t="s">
        <v>1981</v>
      </c>
      <c r="C381" s="7" t="s">
        <v>1982</v>
      </c>
      <c r="D381" s="7" t="s">
        <v>34</v>
      </c>
      <c r="E381" s="7" t="s">
        <v>1983</v>
      </c>
      <c r="F381" s="7">
        <v>586.0</v>
      </c>
      <c r="G381" s="7" t="s">
        <v>21</v>
      </c>
      <c r="H381" s="7" t="s">
        <v>36</v>
      </c>
      <c r="I381" s="8">
        <v>46146.0</v>
      </c>
      <c r="J381" s="28" t="s">
        <v>23</v>
      </c>
      <c r="K381" s="7"/>
      <c r="L381" s="10">
        <v>0.4166666666666667</v>
      </c>
      <c r="M381" s="10">
        <v>0.875</v>
      </c>
      <c r="N381" s="7" t="s">
        <v>1984</v>
      </c>
      <c r="O381" s="67">
        <v>-7.2838161E7</v>
      </c>
      <c r="P381" s="67">
        <v>1.127041931E9</v>
      </c>
      <c r="Q381" s="68" t="s">
        <v>1985</v>
      </c>
      <c r="R381" s="66"/>
      <c r="S381" s="66"/>
      <c r="T381" s="66"/>
      <c r="U381" s="66"/>
      <c r="V381" s="66"/>
      <c r="W381" s="66"/>
      <c r="X381" s="66"/>
      <c r="Y381" s="66"/>
      <c r="Z381" s="66"/>
      <c r="AA381" s="66"/>
      <c r="AB381" s="66"/>
      <c r="AC381" s="66"/>
      <c r="AD381" s="66"/>
      <c r="AE381" s="66"/>
    </row>
    <row r="382">
      <c r="A382" s="13">
        <f t="shared" si="1"/>
        <v>381</v>
      </c>
      <c r="B382" s="7" t="s">
        <v>1986</v>
      </c>
      <c r="C382" s="7" t="s">
        <v>1987</v>
      </c>
      <c r="D382" s="7" t="s">
        <v>46</v>
      </c>
      <c r="E382" s="7" t="s">
        <v>1988</v>
      </c>
      <c r="F382" s="7">
        <v>1306.0</v>
      </c>
      <c r="G382" s="7" t="s">
        <v>21</v>
      </c>
      <c r="H382" s="66"/>
      <c r="I382" s="8">
        <v>46207.0</v>
      </c>
      <c r="J382" s="28" t="s">
        <v>23</v>
      </c>
      <c r="K382" s="7"/>
      <c r="L382" s="10">
        <v>0.0</v>
      </c>
      <c r="M382" s="10">
        <v>0.9993055555555556</v>
      </c>
      <c r="N382" s="7" t="s">
        <v>1989</v>
      </c>
      <c r="O382" s="67">
        <v>-7.2390004E7</v>
      </c>
      <c r="P382" s="67">
        <v>1.127396805E9</v>
      </c>
      <c r="Q382" s="68" t="s">
        <v>1990</v>
      </c>
      <c r="R382" s="66"/>
      <c r="S382" s="66"/>
      <c r="T382" s="66"/>
      <c r="U382" s="66"/>
      <c r="V382" s="66"/>
      <c r="W382" s="66"/>
      <c r="X382" s="66"/>
      <c r="Y382" s="66"/>
      <c r="Z382" s="66"/>
      <c r="AA382" s="66"/>
      <c r="AB382" s="66"/>
      <c r="AC382" s="66"/>
      <c r="AD382" s="66"/>
      <c r="AE382" s="66"/>
    </row>
    <row r="383">
      <c r="A383" s="13">
        <f t="shared" si="1"/>
        <v>382</v>
      </c>
      <c r="B383" s="7" t="s">
        <v>1991</v>
      </c>
      <c r="C383" s="7" t="s">
        <v>1992</v>
      </c>
      <c r="D383" s="7" t="s">
        <v>34</v>
      </c>
      <c r="E383" s="7" t="s">
        <v>1993</v>
      </c>
      <c r="F383" s="7">
        <v>1882.0</v>
      </c>
      <c r="G383" s="7" t="s">
        <v>21</v>
      </c>
      <c r="H383" s="28" t="s">
        <v>22</v>
      </c>
      <c r="I383" s="8">
        <v>46146.0</v>
      </c>
      <c r="J383" s="28" t="s">
        <v>23</v>
      </c>
      <c r="K383" s="7"/>
      <c r="L383" s="10">
        <v>0.7083333333333334</v>
      </c>
      <c r="M383" s="10">
        <v>0.9583333333333334</v>
      </c>
      <c r="N383" s="7" t="s">
        <v>1994</v>
      </c>
      <c r="O383" s="67">
        <v>-729291.0</v>
      </c>
      <c r="P383" s="67">
        <v>1.127521859E9</v>
      </c>
      <c r="Q383" s="68" t="s">
        <v>1995</v>
      </c>
      <c r="R383" s="66"/>
      <c r="S383" s="66"/>
      <c r="T383" s="66"/>
      <c r="U383" s="66"/>
      <c r="V383" s="66"/>
      <c r="W383" s="66"/>
      <c r="X383" s="66"/>
      <c r="Y383" s="66"/>
      <c r="Z383" s="66"/>
      <c r="AA383" s="66"/>
      <c r="AB383" s="66"/>
      <c r="AC383" s="66"/>
      <c r="AD383" s="66"/>
      <c r="AE383" s="66"/>
    </row>
    <row r="384">
      <c r="A384" s="13">
        <f t="shared" si="1"/>
        <v>383</v>
      </c>
      <c r="B384" s="7" t="s">
        <v>1996</v>
      </c>
      <c r="C384" s="7" t="s">
        <v>1997</v>
      </c>
      <c r="D384" s="7" t="s">
        <v>34</v>
      </c>
      <c r="E384" s="7" t="s">
        <v>1998</v>
      </c>
      <c r="F384" s="7">
        <v>583.0</v>
      </c>
      <c r="G384" s="7" t="s">
        <v>21</v>
      </c>
      <c r="H384" s="7" t="s">
        <v>36</v>
      </c>
      <c r="I384" s="8">
        <v>46116.0</v>
      </c>
      <c r="J384" s="28" t="s">
        <v>23</v>
      </c>
      <c r="K384" s="7"/>
      <c r="L384" s="10">
        <v>0.3958333333333333</v>
      </c>
      <c r="M384" s="10">
        <v>0.875</v>
      </c>
      <c r="N384" s="7" t="s">
        <v>1999</v>
      </c>
      <c r="O384" s="67">
        <v>-7.2710826E7</v>
      </c>
      <c r="P384" s="67">
        <v>1.127538405E9</v>
      </c>
      <c r="Q384" s="68" t="s">
        <v>2000</v>
      </c>
      <c r="R384" s="66"/>
      <c r="S384" s="66"/>
      <c r="T384" s="66"/>
      <c r="U384" s="66"/>
      <c r="V384" s="66"/>
      <c r="W384" s="66"/>
      <c r="X384" s="66"/>
      <c r="Y384" s="66"/>
      <c r="Z384" s="66"/>
      <c r="AA384" s="66"/>
      <c r="AB384" s="66"/>
      <c r="AC384" s="66"/>
      <c r="AD384" s="66"/>
      <c r="AE384" s="66"/>
    </row>
    <row r="385">
      <c r="A385" s="13">
        <f t="shared" si="1"/>
        <v>384</v>
      </c>
      <c r="B385" s="7" t="s">
        <v>2001</v>
      </c>
      <c r="C385" s="7" t="s">
        <v>2002</v>
      </c>
      <c r="D385" s="7" t="s">
        <v>34</v>
      </c>
      <c r="E385" s="7" t="s">
        <v>2003</v>
      </c>
      <c r="F385" s="7">
        <v>3187.0</v>
      </c>
      <c r="G385" s="7" t="s">
        <v>21</v>
      </c>
      <c r="H385" s="28" t="s">
        <v>22</v>
      </c>
      <c r="I385" s="8">
        <v>46116.0</v>
      </c>
      <c r="J385" s="28" t="s">
        <v>23</v>
      </c>
      <c r="K385" s="7"/>
      <c r="L385" s="10">
        <v>0.2916666666666667</v>
      </c>
      <c r="M385" s="10">
        <v>0.875</v>
      </c>
      <c r="N385" s="7" t="s">
        <v>2004</v>
      </c>
      <c r="O385" s="67">
        <v>-7.2657187E7</v>
      </c>
      <c r="P385" s="67">
        <v>1.127638623E9</v>
      </c>
      <c r="Q385" s="68" t="s">
        <v>2005</v>
      </c>
      <c r="R385" s="66"/>
      <c r="S385" s="66"/>
      <c r="T385" s="66"/>
      <c r="U385" s="66"/>
      <c r="V385" s="66"/>
      <c r="W385" s="66"/>
      <c r="X385" s="66"/>
      <c r="Y385" s="66"/>
      <c r="Z385" s="66"/>
      <c r="AA385" s="66"/>
      <c r="AB385" s="66"/>
      <c r="AC385" s="66"/>
      <c r="AD385" s="66"/>
      <c r="AE385" s="66"/>
    </row>
    <row r="386">
      <c r="A386" s="13">
        <f t="shared" si="1"/>
        <v>385</v>
      </c>
      <c r="B386" s="7" t="s">
        <v>2006</v>
      </c>
      <c r="C386" s="7" t="s">
        <v>2007</v>
      </c>
      <c r="D386" s="7" t="s">
        <v>34</v>
      </c>
      <c r="E386" s="7" t="s">
        <v>2008</v>
      </c>
      <c r="F386" s="7">
        <v>20.0</v>
      </c>
      <c r="G386" s="7" t="s">
        <v>21</v>
      </c>
      <c r="H386" s="7" t="s">
        <v>608</v>
      </c>
      <c r="I386" s="7">
        <v>5.0</v>
      </c>
      <c r="J386" s="28" t="s">
        <v>23</v>
      </c>
      <c r="K386" s="7"/>
      <c r="L386" s="10">
        <v>0.7083333333333334</v>
      </c>
      <c r="M386" s="10">
        <v>0.9993055555555556</v>
      </c>
      <c r="N386" s="7" t="s">
        <v>2009</v>
      </c>
      <c r="O386" s="67">
        <v>-7.2483145E7</v>
      </c>
      <c r="P386" s="67">
        <v>1.127504374E9</v>
      </c>
      <c r="Q386" s="68" t="s">
        <v>2010</v>
      </c>
      <c r="R386" s="66"/>
      <c r="S386" s="66"/>
      <c r="T386" s="66"/>
      <c r="U386" s="66"/>
      <c r="V386" s="66"/>
      <c r="W386" s="66"/>
      <c r="X386" s="66"/>
      <c r="Y386" s="66"/>
      <c r="Z386" s="66"/>
      <c r="AA386" s="66"/>
      <c r="AB386" s="66"/>
      <c r="AC386" s="66"/>
      <c r="AD386" s="66"/>
      <c r="AE386" s="66"/>
    </row>
    <row r="387">
      <c r="A387" s="13">
        <f t="shared" si="1"/>
        <v>386</v>
      </c>
      <c r="B387" s="7" t="s">
        <v>2011</v>
      </c>
      <c r="C387" s="7" t="s">
        <v>2012</v>
      </c>
      <c r="D387" s="7" t="s">
        <v>34</v>
      </c>
      <c r="E387" s="7" t="s">
        <v>2013</v>
      </c>
      <c r="F387" s="7">
        <v>2641.0</v>
      </c>
      <c r="G387" s="7" t="s">
        <v>21</v>
      </c>
      <c r="H387" s="28" t="s">
        <v>22</v>
      </c>
      <c r="I387" s="8">
        <v>46085.0</v>
      </c>
      <c r="J387" s="28" t="s">
        <v>23</v>
      </c>
      <c r="K387" s="7"/>
      <c r="L387" s="10">
        <v>0.4166666666666667</v>
      </c>
      <c r="M387" s="10">
        <v>0.8541666666666666</v>
      </c>
      <c r="N387" s="7" t="s">
        <v>2014</v>
      </c>
      <c r="O387" s="67">
        <v>-7.3216069E7</v>
      </c>
      <c r="P387" s="67">
        <v>1.127453881E9</v>
      </c>
      <c r="Q387" s="68" t="s">
        <v>2015</v>
      </c>
      <c r="R387" s="66"/>
      <c r="S387" s="66"/>
      <c r="T387" s="66"/>
      <c r="U387" s="66"/>
      <c r="V387" s="66"/>
      <c r="W387" s="66"/>
      <c r="X387" s="66"/>
      <c r="Y387" s="66"/>
      <c r="Z387" s="66"/>
      <c r="AA387" s="66"/>
      <c r="AB387" s="66"/>
      <c r="AC387" s="66"/>
      <c r="AD387" s="66"/>
      <c r="AE387" s="66"/>
    </row>
    <row r="388">
      <c r="A388" s="13">
        <f t="shared" si="1"/>
        <v>387</v>
      </c>
      <c r="B388" s="7" t="s">
        <v>2016</v>
      </c>
      <c r="C388" s="7" t="s">
        <v>2017</v>
      </c>
      <c r="D388" s="7" t="s">
        <v>19</v>
      </c>
      <c r="E388" s="7" t="s">
        <v>2018</v>
      </c>
      <c r="F388" s="7">
        <v>226.0</v>
      </c>
      <c r="G388" s="7" t="s">
        <v>21</v>
      </c>
      <c r="H388" s="28" t="s">
        <v>22</v>
      </c>
      <c r="I388" s="8">
        <v>46146.0</v>
      </c>
      <c r="J388" s="28" t="s">
        <v>23</v>
      </c>
      <c r="K388" s="7"/>
      <c r="L388" s="10">
        <v>0.3333333333333333</v>
      </c>
      <c r="M388" s="10">
        <v>0.7083333333333334</v>
      </c>
      <c r="N388" s="7" t="s">
        <v>2019</v>
      </c>
      <c r="O388" s="67">
        <v>-7.3065735E7</v>
      </c>
      <c r="P388" s="67">
        <v>1.127657903E9</v>
      </c>
      <c r="Q388" s="68" t="s">
        <v>2020</v>
      </c>
      <c r="R388" s="66"/>
      <c r="S388" s="66"/>
      <c r="T388" s="66"/>
      <c r="U388" s="66"/>
      <c r="V388" s="66"/>
      <c r="W388" s="66"/>
      <c r="X388" s="66"/>
      <c r="Y388" s="66"/>
      <c r="Z388" s="66"/>
      <c r="AA388" s="66"/>
      <c r="AB388" s="66"/>
      <c r="AC388" s="66"/>
      <c r="AD388" s="66"/>
      <c r="AE388" s="66"/>
    </row>
    <row r="389">
      <c r="A389" s="13">
        <f t="shared" si="1"/>
        <v>388</v>
      </c>
      <c r="B389" s="7" t="s">
        <v>2021</v>
      </c>
      <c r="C389" s="7" t="s">
        <v>2022</v>
      </c>
      <c r="D389" s="7" t="s">
        <v>34</v>
      </c>
      <c r="E389" s="7" t="s">
        <v>2023</v>
      </c>
      <c r="F389" s="7">
        <v>904.0</v>
      </c>
      <c r="G389" s="7" t="s">
        <v>21</v>
      </c>
      <c r="H389" s="7" t="s">
        <v>2024</v>
      </c>
      <c r="I389" s="8">
        <v>46207.0</v>
      </c>
      <c r="J389" s="28" t="s">
        <v>23</v>
      </c>
      <c r="K389" s="7"/>
      <c r="L389" s="10">
        <v>0.4166666666666667</v>
      </c>
      <c r="M389" s="10">
        <v>0.9791666666666666</v>
      </c>
      <c r="N389" s="7" t="s">
        <v>2025</v>
      </c>
      <c r="O389" s="67">
        <v>-7.2732098E7</v>
      </c>
      <c r="P389" s="67">
        <v>1.127486985E9</v>
      </c>
      <c r="Q389" s="68" t="s">
        <v>2026</v>
      </c>
      <c r="R389" s="66"/>
      <c r="S389" s="66"/>
      <c r="T389" s="66"/>
      <c r="U389" s="66"/>
      <c r="V389" s="66"/>
      <c r="W389" s="66"/>
      <c r="X389" s="66"/>
      <c r="Y389" s="66"/>
      <c r="Z389" s="66"/>
      <c r="AA389" s="66"/>
      <c r="AB389" s="66"/>
      <c r="AC389" s="66"/>
      <c r="AD389" s="66"/>
      <c r="AE389" s="66"/>
    </row>
    <row r="390">
      <c r="A390" s="13">
        <f t="shared" si="1"/>
        <v>389</v>
      </c>
      <c r="B390" s="7" t="s">
        <v>2027</v>
      </c>
      <c r="C390" s="7" t="s">
        <v>2028</v>
      </c>
      <c r="D390" s="7" t="s">
        <v>19</v>
      </c>
      <c r="E390" s="7" t="s">
        <v>2029</v>
      </c>
      <c r="F390" s="7">
        <v>447.0</v>
      </c>
      <c r="G390" s="7" t="s">
        <v>21</v>
      </c>
      <c r="H390" s="7" t="s">
        <v>29</v>
      </c>
      <c r="I390" s="8">
        <v>46177.0</v>
      </c>
      <c r="J390" s="28" t="s">
        <v>23</v>
      </c>
      <c r="K390" s="7"/>
      <c r="L390" s="10">
        <v>0.2916666666666667</v>
      </c>
      <c r="M390" s="10">
        <v>0.9583333333333334</v>
      </c>
      <c r="N390" s="7" t="s">
        <v>2030</v>
      </c>
      <c r="O390" s="67">
        <v>-7.2745876E7</v>
      </c>
      <c r="P390" s="67">
        <v>1.127500753E9</v>
      </c>
      <c r="Q390" s="68" t="s">
        <v>2031</v>
      </c>
      <c r="R390" s="66"/>
      <c r="S390" s="66"/>
      <c r="T390" s="66"/>
      <c r="U390" s="66"/>
      <c r="V390" s="66"/>
      <c r="W390" s="66"/>
      <c r="X390" s="66"/>
      <c r="Y390" s="66"/>
      <c r="Z390" s="66"/>
      <c r="AA390" s="66"/>
      <c r="AB390" s="66"/>
      <c r="AC390" s="66"/>
      <c r="AD390" s="66"/>
      <c r="AE390" s="66"/>
    </row>
    <row r="391">
      <c r="A391" s="13">
        <f t="shared" si="1"/>
        <v>390</v>
      </c>
      <c r="B391" s="7" t="s">
        <v>2032</v>
      </c>
      <c r="C391" s="7" t="s">
        <v>2033</v>
      </c>
      <c r="D391" s="7" t="s">
        <v>34</v>
      </c>
      <c r="E391" s="7" t="s">
        <v>2034</v>
      </c>
      <c r="F391" s="7">
        <v>204.0</v>
      </c>
      <c r="G391" s="7" t="s">
        <v>21</v>
      </c>
      <c r="H391" s="28" t="s">
        <v>22</v>
      </c>
      <c r="I391" s="8">
        <v>46238.0</v>
      </c>
      <c r="J391" s="28" t="s">
        <v>23</v>
      </c>
      <c r="K391" s="7"/>
      <c r="L391" s="10">
        <v>0.3333333333333333</v>
      </c>
      <c r="M391" s="10">
        <v>0.8333333333333334</v>
      </c>
      <c r="N391" s="7" t="s">
        <v>2035</v>
      </c>
      <c r="O391" s="67">
        <v>-7.2670573E7</v>
      </c>
      <c r="P391" s="67">
        <v>1.127611443E9</v>
      </c>
      <c r="Q391" s="68" t="s">
        <v>2036</v>
      </c>
      <c r="R391" s="66"/>
      <c r="S391" s="66"/>
      <c r="T391" s="66"/>
      <c r="U391" s="66"/>
      <c r="V391" s="66"/>
      <c r="W391" s="66"/>
      <c r="X391" s="66"/>
      <c r="Y391" s="66"/>
      <c r="Z391" s="66"/>
      <c r="AA391" s="66"/>
      <c r="AB391" s="66"/>
      <c r="AC391" s="66"/>
      <c r="AD391" s="66"/>
      <c r="AE391" s="66"/>
    </row>
    <row r="392">
      <c r="A392" s="13">
        <f t="shared" si="1"/>
        <v>391</v>
      </c>
      <c r="B392" s="7" t="s">
        <v>2037</v>
      </c>
      <c r="C392" s="7" t="s">
        <v>2038</v>
      </c>
      <c r="D392" s="7" t="s">
        <v>34</v>
      </c>
      <c r="E392" s="7" t="s">
        <v>2039</v>
      </c>
      <c r="F392" s="7">
        <v>318.0</v>
      </c>
      <c r="G392" s="7" t="s">
        <v>21</v>
      </c>
      <c r="H392" s="7" t="s">
        <v>36</v>
      </c>
      <c r="I392" s="8">
        <v>46177.0</v>
      </c>
      <c r="J392" s="28" t="s">
        <v>23</v>
      </c>
      <c r="K392" s="7"/>
      <c r="L392" s="10">
        <v>0.3541666666666667</v>
      </c>
      <c r="M392" s="10">
        <v>0.6666666666666666</v>
      </c>
      <c r="N392" s="7" t="s">
        <v>2040</v>
      </c>
      <c r="O392" s="67">
        <v>-7.2585661E7</v>
      </c>
      <c r="P392" s="67">
        <v>1.127575006E9</v>
      </c>
      <c r="Q392" s="68" t="s">
        <v>2041</v>
      </c>
      <c r="R392" s="66"/>
      <c r="S392" s="66"/>
      <c r="T392" s="66"/>
      <c r="U392" s="66"/>
      <c r="V392" s="66"/>
      <c r="W392" s="66"/>
      <c r="X392" s="66"/>
      <c r="Y392" s="66"/>
      <c r="Z392" s="66"/>
      <c r="AA392" s="66"/>
      <c r="AB392" s="66"/>
      <c r="AC392" s="66"/>
      <c r="AD392" s="66"/>
      <c r="AE392" s="66"/>
    </row>
    <row r="393">
      <c r="A393" s="13">
        <f t="shared" si="1"/>
        <v>392</v>
      </c>
      <c r="B393" s="7" t="s">
        <v>2042</v>
      </c>
      <c r="C393" s="7" t="s">
        <v>2043</v>
      </c>
      <c r="D393" s="7" t="s">
        <v>34</v>
      </c>
      <c r="E393" s="7" t="s">
        <v>2044</v>
      </c>
      <c r="F393" s="7">
        <v>813.0</v>
      </c>
      <c r="G393" s="7" t="s">
        <v>21</v>
      </c>
      <c r="H393" s="7" t="s">
        <v>785</v>
      </c>
      <c r="I393" s="8">
        <v>46177.0</v>
      </c>
      <c r="J393" s="28" t="s">
        <v>23</v>
      </c>
      <c r="K393" s="7"/>
      <c r="L393" s="10">
        <v>0.4583333333333333</v>
      </c>
      <c r="M393" s="10">
        <v>0.041666666666666664</v>
      </c>
      <c r="N393" s="7" t="s">
        <v>2045</v>
      </c>
      <c r="O393" s="67">
        <v>-7.3310734E7</v>
      </c>
      <c r="P393" s="67">
        <v>1.127735633E9</v>
      </c>
      <c r="Q393" s="68" t="s">
        <v>2046</v>
      </c>
      <c r="R393" s="66"/>
      <c r="S393" s="66"/>
      <c r="T393" s="66"/>
      <c r="U393" s="66"/>
      <c r="V393" s="66"/>
      <c r="W393" s="66"/>
      <c r="X393" s="66"/>
      <c r="Y393" s="66"/>
      <c r="Z393" s="66"/>
      <c r="AA393" s="66"/>
      <c r="AB393" s="66"/>
      <c r="AC393" s="66"/>
      <c r="AD393" s="66"/>
      <c r="AE393" s="66"/>
    </row>
    <row r="394">
      <c r="A394" s="13">
        <f t="shared" si="1"/>
        <v>393</v>
      </c>
      <c r="B394" s="7" t="s">
        <v>2047</v>
      </c>
      <c r="C394" s="7" t="s">
        <v>2048</v>
      </c>
      <c r="D394" s="7" t="s">
        <v>34</v>
      </c>
      <c r="E394" s="7" t="s">
        <v>2049</v>
      </c>
      <c r="F394" s="7">
        <v>382.0</v>
      </c>
      <c r="G394" s="7" t="s">
        <v>21</v>
      </c>
      <c r="H394" s="28" t="s">
        <v>22</v>
      </c>
      <c r="I394" s="8">
        <v>46116.0</v>
      </c>
      <c r="J394" s="28" t="s">
        <v>23</v>
      </c>
      <c r="K394" s="7"/>
      <c r="L394" s="10">
        <v>0.5</v>
      </c>
      <c r="M394" s="10">
        <v>0.6458333333333334</v>
      </c>
      <c r="N394" s="7" t="s">
        <v>2050</v>
      </c>
      <c r="O394" s="67">
        <v>-7.2431322E7</v>
      </c>
      <c r="P394" s="67">
        <v>1.127366051E9</v>
      </c>
      <c r="Q394" s="68" t="s">
        <v>2051</v>
      </c>
      <c r="R394" s="66"/>
      <c r="S394" s="66"/>
      <c r="T394" s="66"/>
      <c r="U394" s="66"/>
      <c r="V394" s="66"/>
      <c r="W394" s="66"/>
      <c r="X394" s="66"/>
      <c r="Y394" s="66"/>
      <c r="Z394" s="66"/>
      <c r="AA394" s="66"/>
      <c r="AB394" s="66"/>
      <c r="AC394" s="66"/>
      <c r="AD394" s="66"/>
      <c r="AE394" s="66"/>
    </row>
    <row r="395">
      <c r="A395" s="13">
        <f t="shared" si="1"/>
        <v>394</v>
      </c>
      <c r="B395" s="7" t="s">
        <v>2052</v>
      </c>
      <c r="C395" s="7" t="s">
        <v>2053</v>
      </c>
      <c r="D395" s="7" t="s">
        <v>34</v>
      </c>
      <c r="E395" s="7" t="s">
        <v>2054</v>
      </c>
      <c r="F395" s="7">
        <v>39.0</v>
      </c>
      <c r="G395" s="7" t="s">
        <v>21</v>
      </c>
      <c r="H395" s="7" t="s">
        <v>221</v>
      </c>
      <c r="I395" s="8">
        <v>46207.0</v>
      </c>
      <c r="J395" s="28" t="s">
        <v>23</v>
      </c>
      <c r="K395" s="7"/>
      <c r="L395" s="10">
        <v>0.0</v>
      </c>
      <c r="M395" s="10">
        <v>0.9993055555555556</v>
      </c>
      <c r="N395" s="7" t="s">
        <v>2055</v>
      </c>
      <c r="O395" s="67">
        <v>-7256672.0</v>
      </c>
      <c r="P395" s="67">
        <v>1.12763515E8</v>
      </c>
      <c r="Q395" s="68" t="s">
        <v>2056</v>
      </c>
      <c r="R395" s="66"/>
      <c r="S395" s="66"/>
      <c r="T395" s="66"/>
      <c r="U395" s="66"/>
      <c r="V395" s="66"/>
      <c r="W395" s="66"/>
      <c r="X395" s="66"/>
      <c r="Y395" s="66"/>
      <c r="Z395" s="66"/>
      <c r="AA395" s="66"/>
      <c r="AB395" s="66"/>
      <c r="AC395" s="66"/>
      <c r="AD395" s="66"/>
      <c r="AE395" s="66"/>
    </row>
    <row r="396">
      <c r="A396" s="13">
        <f t="shared" si="1"/>
        <v>395</v>
      </c>
      <c r="B396" s="7" t="s">
        <v>2057</v>
      </c>
      <c r="C396" s="7" t="s">
        <v>2058</v>
      </c>
      <c r="D396" s="7" t="s">
        <v>34</v>
      </c>
      <c r="E396" s="7" t="s">
        <v>2059</v>
      </c>
      <c r="F396" s="7">
        <v>825.0</v>
      </c>
      <c r="G396" s="7" t="s">
        <v>21</v>
      </c>
      <c r="H396" s="7" t="s">
        <v>36</v>
      </c>
      <c r="I396" s="8">
        <v>46177.0</v>
      </c>
      <c r="J396" s="28" t="s">
        <v>2060</v>
      </c>
      <c r="K396" s="7" t="s">
        <v>602</v>
      </c>
      <c r="L396" s="10">
        <v>0.375</v>
      </c>
      <c r="M396" s="10">
        <v>0.625</v>
      </c>
      <c r="N396" s="7" t="s">
        <v>2061</v>
      </c>
      <c r="O396" s="67">
        <v>-7296029.0</v>
      </c>
      <c r="P396" s="67">
        <v>1.127338222E9</v>
      </c>
      <c r="Q396" s="68" t="s">
        <v>2062</v>
      </c>
      <c r="R396" s="66"/>
      <c r="S396" s="66"/>
      <c r="T396" s="66"/>
      <c r="U396" s="66"/>
      <c r="V396" s="66"/>
      <c r="W396" s="66"/>
      <c r="X396" s="66"/>
      <c r="Y396" s="66"/>
      <c r="Z396" s="66"/>
      <c r="AA396" s="66"/>
      <c r="AB396" s="66"/>
      <c r="AC396" s="66"/>
      <c r="AD396" s="66"/>
      <c r="AE396" s="66"/>
    </row>
    <row r="397">
      <c r="A397" s="13">
        <f t="shared" si="1"/>
        <v>396</v>
      </c>
      <c r="B397" s="7" t="s">
        <v>2063</v>
      </c>
      <c r="C397" s="7" t="s">
        <v>2064</v>
      </c>
      <c r="D397" s="7" t="s">
        <v>34</v>
      </c>
      <c r="E397" s="7" t="s">
        <v>2065</v>
      </c>
      <c r="F397" s="7">
        <v>16.0</v>
      </c>
      <c r="G397" s="7" t="s">
        <v>21</v>
      </c>
      <c r="H397" s="28" t="s">
        <v>22</v>
      </c>
      <c r="I397" s="8">
        <v>46146.0</v>
      </c>
      <c r="J397" s="28" t="s">
        <v>23</v>
      </c>
      <c r="K397" s="7" t="s">
        <v>66</v>
      </c>
      <c r="L397" s="10">
        <v>0.3333333333333333</v>
      </c>
      <c r="M397" s="10">
        <v>0.75</v>
      </c>
      <c r="N397" s="7" t="s">
        <v>2066</v>
      </c>
      <c r="O397" s="67">
        <v>-7.2902023E7</v>
      </c>
      <c r="P397" s="67">
        <v>1.12719402E8</v>
      </c>
      <c r="Q397" s="68" t="s">
        <v>2067</v>
      </c>
      <c r="R397" s="66"/>
      <c r="S397" s="66"/>
      <c r="T397" s="66"/>
      <c r="U397" s="66"/>
      <c r="V397" s="66"/>
      <c r="W397" s="66"/>
      <c r="X397" s="66"/>
      <c r="Y397" s="66"/>
      <c r="Z397" s="66"/>
      <c r="AA397" s="66"/>
      <c r="AB397" s="66"/>
      <c r="AC397" s="66"/>
      <c r="AD397" s="66"/>
      <c r="AE397" s="66"/>
    </row>
    <row r="398">
      <c r="A398" s="13">
        <f t="shared" si="1"/>
        <v>397</v>
      </c>
      <c r="B398" s="7" t="s">
        <v>2068</v>
      </c>
      <c r="C398" s="7" t="s">
        <v>2069</v>
      </c>
      <c r="D398" s="7" t="s">
        <v>34</v>
      </c>
      <c r="E398" s="7" t="s">
        <v>2070</v>
      </c>
      <c r="F398" s="7">
        <v>652.0</v>
      </c>
      <c r="G398" s="7" t="s">
        <v>21</v>
      </c>
      <c r="H398" s="7" t="s">
        <v>131</v>
      </c>
      <c r="I398" s="8">
        <v>46207.0</v>
      </c>
      <c r="J398" s="28" t="s">
        <v>23</v>
      </c>
      <c r="K398" s="7"/>
      <c r="L398" s="10">
        <v>0.4583333333333333</v>
      </c>
      <c r="M398" s="10">
        <v>0.9166666666666666</v>
      </c>
      <c r="N398" s="7" t="s">
        <v>2071</v>
      </c>
      <c r="O398" s="67">
        <v>-7.3225098E7</v>
      </c>
      <c r="P398" s="67">
        <v>1.127451301E9</v>
      </c>
      <c r="Q398" s="68" t="s">
        <v>2072</v>
      </c>
      <c r="R398" s="66"/>
      <c r="S398" s="66"/>
      <c r="T398" s="66"/>
      <c r="U398" s="66"/>
      <c r="V398" s="66"/>
      <c r="W398" s="66"/>
      <c r="X398" s="66"/>
      <c r="Y398" s="66"/>
      <c r="Z398" s="66"/>
      <c r="AA398" s="66"/>
      <c r="AB398" s="66"/>
      <c r="AC398" s="66"/>
      <c r="AD398" s="66"/>
      <c r="AE398" s="66"/>
    </row>
    <row r="399">
      <c r="A399" s="13">
        <f t="shared" si="1"/>
        <v>398</v>
      </c>
      <c r="B399" s="7" t="s">
        <v>2073</v>
      </c>
      <c r="C399" s="7" t="s">
        <v>2074</v>
      </c>
      <c r="D399" s="7" t="s">
        <v>46</v>
      </c>
      <c r="E399" s="7" t="s">
        <v>2075</v>
      </c>
      <c r="F399" s="7">
        <v>356.0</v>
      </c>
      <c r="G399" s="7" t="s">
        <v>21</v>
      </c>
      <c r="H399" s="7">
        <v>0.0</v>
      </c>
      <c r="I399" s="8">
        <v>46177.0</v>
      </c>
      <c r="J399" s="28" t="s">
        <v>23</v>
      </c>
      <c r="K399" s="7"/>
      <c r="L399" s="10">
        <v>0.0</v>
      </c>
      <c r="M399" s="10">
        <v>0.9993055555555556</v>
      </c>
      <c r="N399" s="7" t="s">
        <v>2076</v>
      </c>
      <c r="O399" s="67">
        <v>-7.2684728E7</v>
      </c>
      <c r="P399" s="67">
        <v>1.127383377E9</v>
      </c>
      <c r="Q399" s="68" t="s">
        <v>2077</v>
      </c>
      <c r="R399" s="66"/>
      <c r="S399" s="66"/>
      <c r="T399" s="66"/>
      <c r="U399" s="66"/>
      <c r="V399" s="66"/>
      <c r="W399" s="66"/>
      <c r="X399" s="66"/>
      <c r="Y399" s="66"/>
      <c r="Z399" s="66"/>
      <c r="AA399" s="66"/>
      <c r="AB399" s="66"/>
      <c r="AC399" s="66"/>
      <c r="AD399" s="66"/>
      <c r="AE399" s="66"/>
    </row>
    <row r="400">
      <c r="A400" s="13">
        <f t="shared" si="1"/>
        <v>399</v>
      </c>
      <c r="B400" s="7" t="s">
        <v>2078</v>
      </c>
      <c r="C400" s="7" t="s">
        <v>2079</v>
      </c>
      <c r="D400" s="7" t="s">
        <v>34</v>
      </c>
      <c r="E400" s="7" t="s">
        <v>2080</v>
      </c>
      <c r="F400" s="7">
        <v>585.0</v>
      </c>
      <c r="G400" s="7" t="s">
        <v>21</v>
      </c>
      <c r="H400" s="7" t="s">
        <v>36</v>
      </c>
      <c r="I400" s="8">
        <v>46146.0</v>
      </c>
      <c r="J400" s="28" t="s">
        <v>23</v>
      </c>
      <c r="K400" s="7"/>
      <c r="L400" s="10">
        <v>0.4583333333333333</v>
      </c>
      <c r="M400" s="10">
        <v>0.9583333333333334</v>
      </c>
      <c r="N400" s="7" t="s">
        <v>2081</v>
      </c>
      <c r="O400" s="67">
        <v>-7.2953277E7</v>
      </c>
      <c r="P400" s="67">
        <v>1.127541238E9</v>
      </c>
      <c r="Q400" s="68" t="s">
        <v>2082</v>
      </c>
      <c r="R400" s="66"/>
      <c r="S400" s="66"/>
      <c r="T400" s="66"/>
      <c r="U400" s="66"/>
      <c r="V400" s="66"/>
      <c r="W400" s="66"/>
      <c r="X400" s="66"/>
      <c r="Y400" s="66"/>
      <c r="Z400" s="66"/>
      <c r="AA400" s="66"/>
      <c r="AB400" s="66"/>
      <c r="AC400" s="66"/>
      <c r="AD400" s="66"/>
      <c r="AE400" s="66"/>
    </row>
    <row r="401">
      <c r="A401" s="13">
        <f t="shared" si="1"/>
        <v>400</v>
      </c>
      <c r="B401" s="7" t="s">
        <v>2083</v>
      </c>
      <c r="C401" s="7" t="s">
        <v>2084</v>
      </c>
      <c r="D401" s="7" t="s">
        <v>34</v>
      </c>
      <c r="E401" s="7" t="s">
        <v>2085</v>
      </c>
      <c r="F401" s="7">
        <v>360.0</v>
      </c>
      <c r="G401" s="7" t="s">
        <v>21</v>
      </c>
      <c r="H401" s="7" t="s">
        <v>36</v>
      </c>
      <c r="I401" s="8">
        <v>46146.0</v>
      </c>
      <c r="J401" s="28" t="s">
        <v>23</v>
      </c>
      <c r="K401" s="7"/>
      <c r="L401" s="10">
        <v>0.3333333333333333</v>
      </c>
      <c r="M401" s="10">
        <v>0.8125</v>
      </c>
      <c r="N401" s="7" t="s">
        <v>2086</v>
      </c>
      <c r="O401" s="67">
        <v>-7.2693164E7</v>
      </c>
      <c r="P401" s="67">
        <v>1.127351645E9</v>
      </c>
      <c r="Q401" s="68" t="s">
        <v>2087</v>
      </c>
      <c r="R401" s="66"/>
      <c r="S401" s="66"/>
      <c r="T401" s="66"/>
      <c r="U401" s="66"/>
      <c r="V401" s="66"/>
      <c r="W401" s="66"/>
      <c r="X401" s="66"/>
      <c r="Y401" s="66"/>
      <c r="Z401" s="66"/>
      <c r="AA401" s="66"/>
      <c r="AB401" s="66"/>
      <c r="AC401" s="66"/>
      <c r="AD401" s="66"/>
      <c r="AE401" s="66"/>
    </row>
    <row r="402">
      <c r="A402" s="13">
        <f t="shared" si="1"/>
        <v>401</v>
      </c>
      <c r="B402" s="7" t="s">
        <v>2088</v>
      </c>
      <c r="C402" s="7" t="s">
        <v>2089</v>
      </c>
      <c r="D402" s="7" t="s">
        <v>34</v>
      </c>
      <c r="E402" s="7" t="s">
        <v>2090</v>
      </c>
      <c r="F402" s="7">
        <v>1580.0</v>
      </c>
      <c r="G402" s="7" t="s">
        <v>21</v>
      </c>
      <c r="H402" s="7" t="s">
        <v>221</v>
      </c>
      <c r="I402" s="8">
        <v>46177.0</v>
      </c>
      <c r="J402" s="28" t="s">
        <v>23</v>
      </c>
      <c r="K402" s="7"/>
      <c r="L402" s="10">
        <v>0.5</v>
      </c>
      <c r="M402" s="10">
        <v>0.8958333333333334</v>
      </c>
      <c r="N402" s="7" t="s">
        <v>2091</v>
      </c>
      <c r="O402" s="67">
        <v>-7.2582853E7</v>
      </c>
      <c r="P402" s="67">
        <v>1.127576459E9</v>
      </c>
      <c r="Q402" s="68" t="s">
        <v>2092</v>
      </c>
      <c r="R402" s="66"/>
      <c r="S402" s="66"/>
      <c r="T402" s="66"/>
      <c r="U402" s="66"/>
      <c r="V402" s="66"/>
      <c r="W402" s="66"/>
      <c r="X402" s="66"/>
      <c r="Y402" s="66"/>
      <c r="Z402" s="66"/>
      <c r="AA402" s="66"/>
      <c r="AB402" s="66"/>
      <c r="AC402" s="66"/>
      <c r="AD402" s="66"/>
      <c r="AE402" s="66"/>
    </row>
    <row r="403">
      <c r="A403" s="13">
        <f t="shared" si="1"/>
        <v>402</v>
      </c>
      <c r="B403" s="7" t="s">
        <v>2093</v>
      </c>
      <c r="C403" s="7" t="s">
        <v>2094</v>
      </c>
      <c r="D403" s="7" t="s">
        <v>34</v>
      </c>
      <c r="E403" s="7" t="s">
        <v>2095</v>
      </c>
      <c r="F403" s="7">
        <v>2953.0</v>
      </c>
      <c r="G403" s="7" t="s">
        <v>21</v>
      </c>
      <c r="H403" s="28" t="s">
        <v>22</v>
      </c>
      <c r="I403" s="8">
        <v>46207.0</v>
      </c>
      <c r="J403" s="28" t="s">
        <v>23</v>
      </c>
      <c r="K403" s="7"/>
      <c r="L403" s="10">
        <v>0.3125</v>
      </c>
      <c r="M403" s="10">
        <v>0.875</v>
      </c>
      <c r="N403" s="7" t="s">
        <v>2096</v>
      </c>
      <c r="O403" s="67">
        <v>-7.2790823E7</v>
      </c>
      <c r="P403" s="67">
        <v>1.12765846E8</v>
      </c>
      <c r="Q403" s="68" t="s">
        <v>2097</v>
      </c>
      <c r="R403" s="66"/>
      <c r="S403" s="66"/>
      <c r="T403" s="66"/>
      <c r="U403" s="66"/>
      <c r="V403" s="66"/>
      <c r="W403" s="66"/>
      <c r="X403" s="66"/>
      <c r="Y403" s="66"/>
      <c r="Z403" s="66"/>
      <c r="AA403" s="66"/>
      <c r="AB403" s="66"/>
      <c r="AC403" s="66"/>
      <c r="AD403" s="66"/>
      <c r="AE403" s="66"/>
    </row>
    <row r="404">
      <c r="A404" s="13">
        <f t="shared" si="1"/>
        <v>403</v>
      </c>
      <c r="B404" s="7" t="s">
        <v>2098</v>
      </c>
      <c r="C404" s="7" t="s">
        <v>2099</v>
      </c>
      <c r="D404" s="7" t="s">
        <v>46</v>
      </c>
      <c r="E404" s="7" t="s">
        <v>2100</v>
      </c>
      <c r="F404" s="7">
        <v>349.0</v>
      </c>
      <c r="G404" s="7" t="s">
        <v>21</v>
      </c>
      <c r="H404" s="7">
        <v>10000.0</v>
      </c>
      <c r="I404" s="8">
        <v>46057.0</v>
      </c>
      <c r="J404" s="28" t="s">
        <v>23</v>
      </c>
      <c r="K404" s="7"/>
      <c r="L404" s="10">
        <v>0.3333333333333333</v>
      </c>
      <c r="M404" s="10">
        <v>0.9166666666666666</v>
      </c>
      <c r="N404" s="7" t="s">
        <v>2101</v>
      </c>
      <c r="O404" s="67">
        <v>-7.2623406E7</v>
      </c>
      <c r="P404" s="67">
        <v>1.127457631E9</v>
      </c>
      <c r="Q404" s="68" t="s">
        <v>2102</v>
      </c>
      <c r="R404" s="66"/>
      <c r="S404" s="66"/>
      <c r="T404" s="66"/>
      <c r="U404" s="66"/>
      <c r="V404" s="66"/>
      <c r="W404" s="66"/>
      <c r="X404" s="66"/>
      <c r="Y404" s="66"/>
      <c r="Z404" s="66"/>
      <c r="AA404" s="66"/>
      <c r="AB404" s="66"/>
      <c r="AC404" s="66"/>
      <c r="AD404" s="66"/>
      <c r="AE404" s="66"/>
    </row>
    <row r="405">
      <c r="A405" s="13">
        <f t="shared" si="1"/>
        <v>404</v>
      </c>
      <c r="B405" s="7" t="s">
        <v>2103</v>
      </c>
      <c r="C405" s="7" t="s">
        <v>2104</v>
      </c>
      <c r="D405" s="7" t="s">
        <v>34</v>
      </c>
      <c r="E405" s="7" t="s">
        <v>2105</v>
      </c>
      <c r="F405" s="7">
        <v>413.0</v>
      </c>
      <c r="G405" s="7" t="s">
        <v>21</v>
      </c>
      <c r="H405" s="28" t="s">
        <v>22</v>
      </c>
      <c r="I405" s="8">
        <v>46085.0</v>
      </c>
      <c r="J405" s="28" t="s">
        <v>23</v>
      </c>
      <c r="K405" s="7"/>
      <c r="L405" s="10">
        <v>0.4583333333333333</v>
      </c>
      <c r="M405" s="10">
        <v>0.0</v>
      </c>
      <c r="N405" s="7" t="s">
        <v>2106</v>
      </c>
      <c r="O405" s="67">
        <v>-7.2736371E7</v>
      </c>
      <c r="P405" s="67">
        <v>1.127247313E9</v>
      </c>
      <c r="Q405" s="68" t="s">
        <v>2107</v>
      </c>
      <c r="R405" s="66"/>
      <c r="S405" s="66"/>
      <c r="T405" s="66"/>
      <c r="U405" s="66"/>
      <c r="V405" s="66"/>
      <c r="W405" s="66"/>
      <c r="X405" s="66"/>
      <c r="Y405" s="66"/>
      <c r="Z405" s="66"/>
      <c r="AA405" s="66"/>
      <c r="AB405" s="66"/>
      <c r="AC405" s="66"/>
      <c r="AD405" s="66"/>
      <c r="AE405" s="66"/>
    </row>
    <row r="406">
      <c r="A406" s="13">
        <f t="shared" si="1"/>
        <v>405</v>
      </c>
      <c r="B406" s="7" t="s">
        <v>2108</v>
      </c>
      <c r="C406" s="7" t="s">
        <v>2109</v>
      </c>
      <c r="D406" s="7" t="s">
        <v>19</v>
      </c>
      <c r="E406" s="7" t="s">
        <v>2110</v>
      </c>
      <c r="F406" s="7">
        <v>976.0</v>
      </c>
      <c r="G406" s="7" t="s">
        <v>21</v>
      </c>
      <c r="H406" s="28" t="s">
        <v>22</v>
      </c>
      <c r="I406" s="8">
        <v>46146.0</v>
      </c>
      <c r="J406" s="28" t="s">
        <v>23</v>
      </c>
      <c r="K406" s="7"/>
      <c r="L406" s="10">
        <v>0.375</v>
      </c>
      <c r="M406" s="10">
        <v>0.9166666666666666</v>
      </c>
      <c r="N406" s="7" t="s">
        <v>2111</v>
      </c>
      <c r="O406" s="67">
        <v>-7.3397275E7</v>
      </c>
      <c r="P406" s="67">
        <v>1.127351597E9</v>
      </c>
      <c r="Q406" s="68" t="s">
        <v>2112</v>
      </c>
      <c r="R406" s="66"/>
      <c r="S406" s="66"/>
      <c r="T406" s="66"/>
      <c r="U406" s="66"/>
      <c r="V406" s="66"/>
      <c r="W406" s="66"/>
      <c r="X406" s="66"/>
      <c r="Y406" s="66"/>
      <c r="Z406" s="66"/>
      <c r="AA406" s="66"/>
      <c r="AB406" s="66"/>
      <c r="AC406" s="66"/>
      <c r="AD406" s="66"/>
      <c r="AE406" s="66"/>
    </row>
    <row r="407">
      <c r="A407" s="13">
        <f t="shared" si="1"/>
        <v>406</v>
      </c>
      <c r="B407" s="7" t="s">
        <v>2113</v>
      </c>
      <c r="C407" s="7" t="s">
        <v>2114</v>
      </c>
      <c r="D407" s="7" t="s">
        <v>34</v>
      </c>
      <c r="E407" s="7" t="s">
        <v>2115</v>
      </c>
      <c r="F407" s="7">
        <v>1995.0</v>
      </c>
      <c r="G407" s="7" t="s">
        <v>21</v>
      </c>
      <c r="H407" s="26" t="s">
        <v>221</v>
      </c>
      <c r="I407" s="8">
        <v>46238.0</v>
      </c>
      <c r="J407" s="28" t="s">
        <v>23</v>
      </c>
      <c r="K407" s="7"/>
      <c r="L407" s="10">
        <v>0.3125</v>
      </c>
      <c r="M407" s="10">
        <v>0.9166666666666666</v>
      </c>
      <c r="N407" s="7" t="s">
        <v>2116</v>
      </c>
      <c r="O407" s="67">
        <v>-7.2725651E7</v>
      </c>
      <c r="P407" s="67">
        <v>1.12773655E8</v>
      </c>
      <c r="Q407" s="68" t="s">
        <v>2117</v>
      </c>
      <c r="R407" s="66"/>
      <c r="S407" s="66"/>
      <c r="T407" s="66"/>
      <c r="U407" s="66"/>
      <c r="V407" s="66"/>
      <c r="W407" s="66"/>
      <c r="X407" s="66"/>
      <c r="Y407" s="66"/>
      <c r="Z407" s="66"/>
      <c r="AA407" s="66"/>
      <c r="AB407" s="66"/>
      <c r="AC407" s="66"/>
      <c r="AD407" s="66"/>
      <c r="AE407" s="66"/>
    </row>
    <row r="408">
      <c r="A408" s="13">
        <f t="shared" si="1"/>
        <v>407</v>
      </c>
      <c r="B408" s="7" t="s">
        <v>2118</v>
      </c>
      <c r="C408" s="7" t="s">
        <v>2119</v>
      </c>
      <c r="D408" s="7" t="s">
        <v>34</v>
      </c>
      <c r="E408" s="7" t="s">
        <v>2120</v>
      </c>
      <c r="F408" s="7">
        <v>2766.0</v>
      </c>
      <c r="G408" s="7" t="s">
        <v>21</v>
      </c>
      <c r="H408" s="7" t="s">
        <v>450</v>
      </c>
      <c r="I408" s="8">
        <v>46237.0</v>
      </c>
      <c r="J408" s="28" t="s">
        <v>23</v>
      </c>
      <c r="K408" s="7"/>
      <c r="L408" s="10">
        <v>0.4166666666666667</v>
      </c>
      <c r="M408" s="10">
        <v>0.8541666666666666</v>
      </c>
      <c r="N408" s="7" t="s">
        <v>2121</v>
      </c>
      <c r="O408" s="67">
        <v>-7.3459696E7</v>
      </c>
      <c r="P408" s="67">
        <v>1.127756144E9</v>
      </c>
      <c r="Q408" s="68" t="s">
        <v>2122</v>
      </c>
      <c r="R408" s="66"/>
      <c r="S408" s="66"/>
      <c r="T408" s="66"/>
      <c r="U408" s="66"/>
      <c r="V408" s="66"/>
      <c r="W408" s="66"/>
      <c r="X408" s="66"/>
      <c r="Y408" s="66"/>
      <c r="Z408" s="66"/>
      <c r="AA408" s="66"/>
      <c r="AB408" s="66"/>
      <c r="AC408" s="66"/>
      <c r="AD408" s="66"/>
      <c r="AE408" s="66"/>
    </row>
    <row r="409">
      <c r="A409" s="13">
        <f t="shared" si="1"/>
        <v>408</v>
      </c>
      <c r="B409" s="45" t="s">
        <v>2123</v>
      </c>
      <c r="C409" s="45" t="s">
        <v>2124</v>
      </c>
      <c r="D409" s="45" t="s">
        <v>46</v>
      </c>
      <c r="E409" s="45" t="s">
        <v>2125</v>
      </c>
      <c r="F409" s="28">
        <v>781.0</v>
      </c>
      <c r="G409" s="45" t="s">
        <v>21</v>
      </c>
      <c r="H409" s="45">
        <v>0.0</v>
      </c>
      <c r="I409" s="29">
        <v>46116.0</v>
      </c>
      <c r="J409" s="45" t="s">
        <v>23</v>
      </c>
      <c r="K409" s="46"/>
      <c r="L409" s="47">
        <v>0.25</v>
      </c>
      <c r="M409" s="47">
        <v>0.875</v>
      </c>
      <c r="N409" s="48" t="s">
        <v>2126</v>
      </c>
      <c r="O409" s="33" t="s">
        <v>2127</v>
      </c>
      <c r="P409" s="34" t="s">
        <v>2128</v>
      </c>
      <c r="Q409" s="69" t="s">
        <v>2129</v>
      </c>
      <c r="R409" s="26"/>
      <c r="S409" s="26"/>
      <c r="T409" s="26"/>
      <c r="U409" s="26"/>
      <c r="V409" s="26"/>
      <c r="W409" s="26"/>
      <c r="X409" s="26"/>
      <c r="Y409" s="26"/>
      <c r="Z409" s="26"/>
      <c r="AA409" s="26"/>
      <c r="AB409" s="26"/>
      <c r="AC409" s="26"/>
      <c r="AD409" s="26"/>
      <c r="AE409" s="26"/>
    </row>
    <row r="410">
      <c r="A410" s="13">
        <f t="shared" si="1"/>
        <v>409</v>
      </c>
      <c r="B410" s="7" t="s">
        <v>2130</v>
      </c>
      <c r="C410" s="7" t="s">
        <v>2131</v>
      </c>
      <c r="D410" s="7" t="s">
        <v>34</v>
      </c>
      <c r="E410" s="7" t="s">
        <v>2132</v>
      </c>
      <c r="F410" s="7">
        <v>140.0</v>
      </c>
      <c r="G410" s="7" t="s">
        <v>21</v>
      </c>
      <c r="H410" s="7" t="s">
        <v>210</v>
      </c>
      <c r="I410" s="8">
        <v>46177.0</v>
      </c>
      <c r="J410" s="45" t="s">
        <v>23</v>
      </c>
      <c r="K410" s="7"/>
      <c r="L410" s="10">
        <v>0.22916666666666666</v>
      </c>
      <c r="M410" s="10">
        <v>0.4375</v>
      </c>
      <c r="N410" s="7" t="s">
        <v>2133</v>
      </c>
      <c r="O410" s="80" t="str">
        <f>IFERROR(__xludf.DUMMYFUNCTION("REGEXEXTRACT(N410,""^-?[0-9.]+"")"),"-7.312967768773976")</f>
        <v>-7.312967768773976</v>
      </c>
      <c r="P410" s="81" t="str">
        <f>IFERROR(__xludf.DUMMYFUNCTION("REGEXEXTRACT(N410,"",\s*(-?[0-9.]+)"")"),"112.76620250674587")</f>
        <v>112.76620250674587</v>
      </c>
      <c r="Q410" s="68" t="s">
        <v>2134</v>
      </c>
      <c r="R410" s="66"/>
      <c r="S410" s="66"/>
      <c r="T410" s="66"/>
      <c r="U410" s="66"/>
      <c r="V410" s="66"/>
      <c r="W410" s="66"/>
      <c r="X410" s="66"/>
      <c r="Y410" s="66"/>
      <c r="Z410" s="66"/>
      <c r="AA410" s="66"/>
      <c r="AB410" s="66"/>
      <c r="AC410" s="66"/>
      <c r="AD410" s="66"/>
      <c r="AE410" s="66"/>
    </row>
    <row r="411">
      <c r="A411" s="13">
        <f t="shared" si="1"/>
        <v>410</v>
      </c>
      <c r="B411" s="16" t="s">
        <v>2135</v>
      </c>
      <c r="C411" s="15" t="s">
        <v>2136</v>
      </c>
      <c r="D411" s="16" t="s">
        <v>34</v>
      </c>
      <c r="E411" s="15" t="s">
        <v>2137</v>
      </c>
      <c r="F411" s="15">
        <v>7798.0</v>
      </c>
      <c r="G411" s="16" t="s">
        <v>21</v>
      </c>
      <c r="H411" s="26" t="s">
        <v>221</v>
      </c>
      <c r="I411" s="17">
        <v>46177.0</v>
      </c>
      <c r="J411" s="16" t="s">
        <v>23</v>
      </c>
      <c r="K411" s="16"/>
      <c r="L411" s="18">
        <v>0.3541666666666667</v>
      </c>
      <c r="M411" s="18">
        <v>0.9479166666666666</v>
      </c>
      <c r="N411" s="71" t="s">
        <v>2138</v>
      </c>
      <c r="O411" s="72" t="str">
        <f>IFERROR(__xludf.DUMMYFUNCTION("REGEXEXTRACT(N411,""^-?[0-9.]+"")"),"-7.268218038096425")</f>
        <v>-7.268218038096425</v>
      </c>
      <c r="P411" s="73" t="str">
        <f>IFERROR(__xludf.DUMMYFUNCTION("REGEXEXTRACT(N411,"",\s*(-?[0-9.]+)"")"),"112.72940833122168")</f>
        <v>112.72940833122168</v>
      </c>
      <c r="Q411" s="74" t="s">
        <v>2139</v>
      </c>
      <c r="R411" s="26"/>
      <c r="S411" s="26"/>
      <c r="T411" s="26"/>
      <c r="U411" s="26"/>
      <c r="V411" s="26"/>
      <c r="W411" s="26"/>
      <c r="X411" s="26"/>
      <c r="Y411" s="26"/>
      <c r="Z411" s="26"/>
      <c r="AA411" s="26"/>
      <c r="AB411" s="26"/>
      <c r="AC411" s="26"/>
      <c r="AD411" s="26"/>
      <c r="AE411" s="26"/>
    </row>
    <row r="412">
      <c r="A412" s="13">
        <f t="shared" si="1"/>
        <v>411</v>
      </c>
      <c r="B412" s="7" t="s">
        <v>2140</v>
      </c>
      <c r="C412" s="7" t="s">
        <v>2141</v>
      </c>
      <c r="D412" s="7" t="s">
        <v>34</v>
      </c>
      <c r="E412" s="7" t="s">
        <v>2142</v>
      </c>
      <c r="F412" s="7">
        <v>1373.0</v>
      </c>
      <c r="G412" s="7" t="s">
        <v>21</v>
      </c>
      <c r="H412" s="28" t="s">
        <v>22</v>
      </c>
      <c r="I412" s="8">
        <v>46146.0</v>
      </c>
      <c r="J412" s="16" t="s">
        <v>23</v>
      </c>
      <c r="K412" s="7"/>
      <c r="L412" s="10">
        <v>0.25</v>
      </c>
      <c r="M412" s="10">
        <v>0.875</v>
      </c>
      <c r="N412" s="7" t="s">
        <v>2143</v>
      </c>
      <c r="O412" s="67">
        <v>-7235906.0</v>
      </c>
      <c r="P412" s="67">
        <v>1.126081684E9</v>
      </c>
      <c r="Q412" s="68" t="s">
        <v>2144</v>
      </c>
      <c r="R412" s="66"/>
      <c r="S412" s="66"/>
      <c r="T412" s="66"/>
      <c r="U412" s="66"/>
      <c r="V412" s="66"/>
      <c r="W412" s="66"/>
      <c r="X412" s="66"/>
      <c r="Y412" s="66"/>
      <c r="Z412" s="66"/>
      <c r="AA412" s="66"/>
      <c r="AB412" s="66"/>
      <c r="AC412" s="66"/>
      <c r="AD412" s="66"/>
      <c r="AE412" s="66"/>
    </row>
    <row r="413">
      <c r="A413" s="13">
        <f t="shared" si="1"/>
        <v>412</v>
      </c>
      <c r="B413" s="82" t="s">
        <v>2145</v>
      </c>
      <c r="C413" s="82" t="s">
        <v>2146</v>
      </c>
      <c r="D413" s="82" t="s">
        <v>46</v>
      </c>
      <c r="E413" s="28" t="s">
        <v>2147</v>
      </c>
      <c r="F413" s="82">
        <v>10758.0</v>
      </c>
      <c r="G413" s="82" t="s">
        <v>21</v>
      </c>
      <c r="H413" s="82">
        <v>0.0</v>
      </c>
      <c r="I413" s="83">
        <v>46177.0</v>
      </c>
      <c r="J413" s="52" t="s">
        <v>23</v>
      </c>
      <c r="K413" s="84"/>
      <c r="L413" s="84">
        <v>0.2916666666666667</v>
      </c>
      <c r="M413" s="84">
        <v>0.7083333333333334</v>
      </c>
      <c r="N413" s="85" t="s">
        <v>2148</v>
      </c>
      <c r="O413" s="33" t="s">
        <v>2149</v>
      </c>
      <c r="P413" s="34" t="s">
        <v>2150</v>
      </c>
      <c r="Q413" s="78" t="s">
        <v>2151</v>
      </c>
      <c r="R413" s="66"/>
      <c r="S413" s="66"/>
      <c r="T413" s="66"/>
      <c r="U413" s="66"/>
      <c r="V413" s="66"/>
      <c r="W413" s="66"/>
      <c r="X413" s="66"/>
      <c r="Y413" s="66"/>
      <c r="Z413" s="66"/>
      <c r="AA413" s="66"/>
      <c r="AB413" s="66"/>
      <c r="AC413" s="66"/>
      <c r="AD413" s="66"/>
      <c r="AE413" s="66"/>
    </row>
    <row r="414">
      <c r="A414" s="13">
        <f t="shared" si="1"/>
        <v>413</v>
      </c>
      <c r="B414" s="7" t="s">
        <v>2152</v>
      </c>
      <c r="C414" s="7" t="s">
        <v>2153</v>
      </c>
      <c r="D414" s="7" t="s">
        <v>19</v>
      </c>
      <c r="E414" s="7" t="s">
        <v>2154</v>
      </c>
      <c r="F414" s="7">
        <v>1105.0</v>
      </c>
      <c r="G414" s="7" t="s">
        <v>21</v>
      </c>
      <c r="H414" s="7" t="s">
        <v>1939</v>
      </c>
      <c r="I414" s="8">
        <v>46146.0</v>
      </c>
      <c r="J414" s="52" t="s">
        <v>23</v>
      </c>
      <c r="K414" s="7"/>
      <c r="L414" s="10">
        <v>0.4583333333333333</v>
      </c>
      <c r="M414" s="10">
        <v>0.9583333333333334</v>
      </c>
      <c r="N414" s="7" t="s">
        <v>2155</v>
      </c>
      <c r="O414" s="67">
        <v>-7.2906759E7</v>
      </c>
      <c r="P414" s="67">
        <v>1.127308801E9</v>
      </c>
      <c r="Q414" s="68" t="s">
        <v>2156</v>
      </c>
      <c r="R414" s="66"/>
      <c r="S414" s="66"/>
      <c r="T414" s="66"/>
      <c r="U414" s="66"/>
      <c r="V414" s="66"/>
      <c r="W414" s="66"/>
      <c r="X414" s="66"/>
      <c r="Y414" s="66"/>
      <c r="Z414" s="66"/>
      <c r="AA414" s="66"/>
      <c r="AB414" s="66"/>
      <c r="AC414" s="66"/>
      <c r="AD414" s="66"/>
      <c r="AE414" s="66"/>
    </row>
    <row r="415">
      <c r="A415" s="13">
        <f t="shared" si="1"/>
        <v>414</v>
      </c>
      <c r="B415" s="7" t="s">
        <v>2157</v>
      </c>
      <c r="C415" s="7" t="s">
        <v>2158</v>
      </c>
      <c r="D415" s="7" t="s">
        <v>19</v>
      </c>
      <c r="E415" s="7" t="s">
        <v>2159</v>
      </c>
      <c r="F415" s="7">
        <v>6706.0</v>
      </c>
      <c r="G415" s="7" t="s">
        <v>21</v>
      </c>
      <c r="H415" s="7" t="s">
        <v>1939</v>
      </c>
      <c r="I415" s="8">
        <v>46207.0</v>
      </c>
      <c r="J415" s="52" t="s">
        <v>23</v>
      </c>
      <c r="K415" s="7"/>
      <c r="L415" s="10">
        <v>0.4166666666666667</v>
      </c>
      <c r="M415" s="10">
        <v>0.9166666666666666</v>
      </c>
      <c r="N415" s="7" t="s">
        <v>2160</v>
      </c>
      <c r="O415" s="67">
        <v>-7.2661868E7</v>
      </c>
      <c r="P415" s="67">
        <v>1.127397954E9</v>
      </c>
      <c r="Q415" s="68" t="s">
        <v>2161</v>
      </c>
      <c r="R415" s="66"/>
      <c r="S415" s="66"/>
      <c r="T415" s="66"/>
      <c r="U415" s="66"/>
      <c r="V415" s="66"/>
      <c r="W415" s="66"/>
      <c r="X415" s="66"/>
      <c r="Y415" s="66"/>
      <c r="Z415" s="66"/>
      <c r="AA415" s="66"/>
      <c r="AB415" s="66"/>
      <c r="AC415" s="66"/>
      <c r="AD415" s="66"/>
      <c r="AE415" s="66"/>
    </row>
    <row r="416">
      <c r="A416" s="13">
        <f t="shared" si="1"/>
        <v>415</v>
      </c>
      <c r="B416" s="7" t="s">
        <v>2162</v>
      </c>
      <c r="C416" s="7" t="s">
        <v>2163</v>
      </c>
      <c r="D416" s="7" t="s">
        <v>34</v>
      </c>
      <c r="E416" s="7" t="s">
        <v>2164</v>
      </c>
      <c r="F416" s="7">
        <v>2524.0</v>
      </c>
      <c r="G416" s="7" t="s">
        <v>21</v>
      </c>
      <c r="H416" s="28" t="s">
        <v>22</v>
      </c>
      <c r="I416" s="8">
        <v>46146.0</v>
      </c>
      <c r="J416" s="52" t="s">
        <v>23</v>
      </c>
      <c r="K416" s="7"/>
      <c r="L416" s="10">
        <v>0.4166666666666667</v>
      </c>
      <c r="M416" s="10">
        <v>0.875</v>
      </c>
      <c r="N416" s="7" t="s">
        <v>2165</v>
      </c>
      <c r="O416" s="67">
        <v>-7.2784272E7</v>
      </c>
      <c r="P416" s="67">
        <v>1.12765886E8</v>
      </c>
      <c r="Q416" s="68" t="s">
        <v>2166</v>
      </c>
      <c r="R416" s="66"/>
      <c r="S416" s="66"/>
      <c r="T416" s="66"/>
      <c r="U416" s="66"/>
      <c r="V416" s="66"/>
      <c r="W416" s="66"/>
      <c r="X416" s="66"/>
      <c r="Y416" s="66"/>
      <c r="Z416" s="66"/>
      <c r="AA416" s="66"/>
      <c r="AB416" s="66"/>
      <c r="AC416" s="66"/>
      <c r="AD416" s="66"/>
      <c r="AE416" s="66"/>
    </row>
    <row r="417">
      <c r="A417" s="13">
        <f t="shared" si="1"/>
        <v>416</v>
      </c>
      <c r="B417" s="7" t="s">
        <v>2167</v>
      </c>
      <c r="C417" s="7" t="s">
        <v>2168</v>
      </c>
      <c r="D417" s="7" t="s">
        <v>34</v>
      </c>
      <c r="E417" s="7" t="s">
        <v>2169</v>
      </c>
      <c r="F417" s="7">
        <v>2356.0</v>
      </c>
      <c r="G417" s="7" t="s">
        <v>21</v>
      </c>
      <c r="H417" s="7" t="s">
        <v>36</v>
      </c>
      <c r="I417" s="8">
        <v>46085.0</v>
      </c>
      <c r="J417" s="52" t="s">
        <v>23</v>
      </c>
      <c r="K417" s="7"/>
      <c r="L417" s="10">
        <v>0.0</v>
      </c>
      <c r="M417" s="10">
        <v>0.9993055555555556</v>
      </c>
      <c r="N417" s="7" t="s">
        <v>2170</v>
      </c>
      <c r="O417" s="67">
        <v>-7.2893635E7</v>
      </c>
      <c r="P417" s="67">
        <v>1.127834711E9</v>
      </c>
      <c r="Q417" s="68" t="s">
        <v>2171</v>
      </c>
      <c r="R417" s="66"/>
      <c r="S417" s="66"/>
      <c r="T417" s="66"/>
      <c r="U417" s="66"/>
      <c r="V417" s="66"/>
      <c r="W417" s="66"/>
      <c r="X417" s="66"/>
      <c r="Y417" s="66"/>
      <c r="Z417" s="66"/>
      <c r="AA417" s="66"/>
      <c r="AB417" s="66"/>
      <c r="AC417" s="66"/>
      <c r="AD417" s="66"/>
      <c r="AE417" s="66"/>
    </row>
    <row r="418">
      <c r="A418" s="13">
        <f t="shared" si="1"/>
        <v>417</v>
      </c>
      <c r="B418" s="7" t="s">
        <v>2172</v>
      </c>
      <c r="C418" s="7" t="s">
        <v>2173</v>
      </c>
      <c r="D418" s="7" t="s">
        <v>34</v>
      </c>
      <c r="E418" s="7" t="s">
        <v>2174</v>
      </c>
      <c r="F418" s="7">
        <v>5898.0</v>
      </c>
      <c r="G418" s="7" t="s">
        <v>21</v>
      </c>
      <c r="H418" s="28" t="s">
        <v>22</v>
      </c>
      <c r="I418" s="8">
        <v>46146.0</v>
      </c>
      <c r="J418" s="52" t="s">
        <v>23</v>
      </c>
      <c r="K418" s="7"/>
      <c r="L418" s="10">
        <v>0.4583333333333333</v>
      </c>
      <c r="M418" s="10">
        <v>0.9166666666666666</v>
      </c>
      <c r="N418" s="7" t="s">
        <v>2175</v>
      </c>
      <c r="O418" s="67">
        <v>-7.2842517E7</v>
      </c>
      <c r="P418" s="67">
        <v>1.127082558E9</v>
      </c>
      <c r="Q418" s="68" t="s">
        <v>2176</v>
      </c>
      <c r="R418" s="66"/>
      <c r="S418" s="66"/>
      <c r="T418" s="66"/>
      <c r="U418" s="66"/>
      <c r="V418" s="66"/>
      <c r="W418" s="66"/>
      <c r="X418" s="66"/>
      <c r="Y418" s="66"/>
      <c r="Z418" s="66"/>
      <c r="AA418" s="66"/>
      <c r="AB418" s="66"/>
      <c r="AC418" s="66"/>
      <c r="AD418" s="66"/>
      <c r="AE418" s="66"/>
    </row>
    <row r="419">
      <c r="A419" s="13">
        <f t="shared" si="1"/>
        <v>418</v>
      </c>
      <c r="B419" s="82" t="s">
        <v>2177</v>
      </c>
      <c r="C419" s="82" t="s">
        <v>2178</v>
      </c>
      <c r="D419" s="82" t="s">
        <v>46</v>
      </c>
      <c r="E419" s="28" t="s">
        <v>2179</v>
      </c>
      <c r="F419" s="82">
        <v>2007.0</v>
      </c>
      <c r="G419" s="82" t="s">
        <v>21</v>
      </c>
      <c r="H419" s="82">
        <v>0.0</v>
      </c>
      <c r="I419" s="83">
        <v>46116.0</v>
      </c>
      <c r="J419" s="82" t="s">
        <v>23</v>
      </c>
      <c r="K419" s="82"/>
      <c r="L419" s="84">
        <v>0.0</v>
      </c>
      <c r="M419" s="84">
        <v>0.9993055555555556</v>
      </c>
      <c r="N419" s="85" t="s">
        <v>2180</v>
      </c>
      <c r="O419" s="33" t="s">
        <v>2181</v>
      </c>
      <c r="P419" s="34" t="s">
        <v>2182</v>
      </c>
      <c r="Q419" s="78" t="s">
        <v>2183</v>
      </c>
      <c r="R419" s="66"/>
      <c r="S419" s="66"/>
      <c r="T419" s="66"/>
      <c r="U419" s="66"/>
      <c r="V419" s="66"/>
      <c r="W419" s="66"/>
      <c r="X419" s="66"/>
      <c r="Y419" s="66"/>
      <c r="Z419" s="66"/>
      <c r="AA419" s="66"/>
      <c r="AB419" s="66"/>
      <c r="AC419" s="66"/>
      <c r="AD419" s="66"/>
      <c r="AE419" s="66"/>
    </row>
    <row r="420">
      <c r="A420" s="13">
        <f t="shared" si="1"/>
        <v>419</v>
      </c>
      <c r="B420" s="7" t="s">
        <v>2184</v>
      </c>
      <c r="C420" s="7" t="s">
        <v>2185</v>
      </c>
      <c r="D420" s="7" t="s">
        <v>34</v>
      </c>
      <c r="E420" s="7" t="s">
        <v>2186</v>
      </c>
      <c r="F420" s="7">
        <v>13.0</v>
      </c>
      <c r="G420" s="7" t="s">
        <v>21</v>
      </c>
      <c r="H420" s="7" t="s">
        <v>36</v>
      </c>
      <c r="I420" s="7">
        <v>5.0</v>
      </c>
      <c r="J420" s="52" t="s">
        <v>65</v>
      </c>
      <c r="K420" s="7" t="s">
        <v>66</v>
      </c>
      <c r="L420" s="10">
        <v>0.7291666666666666</v>
      </c>
      <c r="M420" s="10">
        <v>0.9166666666666666</v>
      </c>
      <c r="N420" s="7" t="s">
        <v>2187</v>
      </c>
      <c r="O420" s="67">
        <v>-7.3113632E7</v>
      </c>
      <c r="P420" s="67">
        <v>1.127354573E9</v>
      </c>
      <c r="Q420" s="68" t="s">
        <v>2188</v>
      </c>
      <c r="R420" s="66"/>
      <c r="S420" s="66"/>
      <c r="T420" s="66"/>
      <c r="U420" s="66"/>
      <c r="V420" s="66"/>
      <c r="W420" s="66"/>
      <c r="X420" s="66"/>
      <c r="Y420" s="66"/>
      <c r="Z420" s="66"/>
      <c r="AA420" s="66"/>
      <c r="AB420" s="66"/>
      <c r="AC420" s="66"/>
      <c r="AD420" s="66"/>
      <c r="AE420" s="66"/>
    </row>
    <row r="421">
      <c r="A421" s="13">
        <f t="shared" si="1"/>
        <v>420</v>
      </c>
      <c r="B421" s="7" t="s">
        <v>2189</v>
      </c>
      <c r="C421" s="7" t="s">
        <v>2190</v>
      </c>
      <c r="D421" s="7" t="s">
        <v>34</v>
      </c>
      <c r="E421" s="7" t="s">
        <v>2191</v>
      </c>
      <c r="F421" s="7">
        <v>856.0</v>
      </c>
      <c r="G421" s="7" t="s">
        <v>21</v>
      </c>
      <c r="H421" s="28" t="s">
        <v>22</v>
      </c>
      <c r="I421" s="8">
        <v>46116.0</v>
      </c>
      <c r="J421" s="82" t="s">
        <v>23</v>
      </c>
      <c r="K421" s="7"/>
      <c r="L421" s="10">
        <v>0.4583333333333333</v>
      </c>
      <c r="M421" s="10">
        <v>0.875</v>
      </c>
      <c r="N421" s="7" t="s">
        <v>2192</v>
      </c>
      <c r="O421" s="67">
        <v>-7.2846788E7</v>
      </c>
      <c r="P421" s="67">
        <v>1.127305273E9</v>
      </c>
      <c r="Q421" s="68" t="s">
        <v>2193</v>
      </c>
      <c r="R421" s="66"/>
      <c r="S421" s="66"/>
      <c r="T421" s="66"/>
      <c r="U421" s="66"/>
      <c r="V421" s="66"/>
      <c r="W421" s="66"/>
      <c r="X421" s="66"/>
      <c r="Y421" s="66"/>
      <c r="Z421" s="66"/>
      <c r="AA421" s="66"/>
      <c r="AB421" s="66"/>
      <c r="AC421" s="66"/>
      <c r="AD421" s="66"/>
      <c r="AE421" s="66"/>
    </row>
    <row r="422">
      <c r="A422" s="13">
        <f t="shared" si="1"/>
        <v>421</v>
      </c>
      <c r="B422" s="7" t="s">
        <v>2194</v>
      </c>
      <c r="C422" s="7" t="s">
        <v>2195</v>
      </c>
      <c r="D422" s="7" t="s">
        <v>34</v>
      </c>
      <c r="E422" s="7" t="s">
        <v>2196</v>
      </c>
      <c r="F422" s="7">
        <v>1810.0</v>
      </c>
      <c r="G422" s="7" t="s">
        <v>21</v>
      </c>
      <c r="H422" s="7" t="s">
        <v>29</v>
      </c>
      <c r="I422" s="8">
        <v>46085.0</v>
      </c>
      <c r="J422" s="82" t="s">
        <v>23</v>
      </c>
      <c r="K422" s="7"/>
      <c r="L422" s="10">
        <v>0.375</v>
      </c>
      <c r="M422" s="10">
        <v>0.9166666666666666</v>
      </c>
      <c r="N422" s="7" t="s">
        <v>2197</v>
      </c>
      <c r="O422" s="67">
        <v>-7.2727093E7</v>
      </c>
      <c r="P422" s="67">
        <v>1.127480262E9</v>
      </c>
      <c r="Q422" s="68" t="s">
        <v>2198</v>
      </c>
      <c r="R422" s="66"/>
      <c r="S422" s="66"/>
      <c r="T422" s="66"/>
      <c r="U422" s="66"/>
      <c r="V422" s="66"/>
      <c r="W422" s="66"/>
      <c r="X422" s="66"/>
      <c r="Y422" s="66"/>
      <c r="Z422" s="66"/>
      <c r="AA422" s="66"/>
      <c r="AB422" s="66"/>
      <c r="AC422" s="66"/>
      <c r="AD422" s="66"/>
      <c r="AE422" s="66"/>
    </row>
    <row r="423">
      <c r="A423" s="13">
        <f t="shared" si="1"/>
        <v>422</v>
      </c>
      <c r="B423" s="7" t="s">
        <v>2199</v>
      </c>
      <c r="C423" s="7" t="s">
        <v>2200</v>
      </c>
      <c r="D423" s="7" t="s">
        <v>34</v>
      </c>
      <c r="E423" s="7" t="s">
        <v>2201</v>
      </c>
      <c r="F423" s="7">
        <v>372.0</v>
      </c>
      <c r="G423" s="7" t="s">
        <v>21</v>
      </c>
      <c r="H423" s="7" t="s">
        <v>36</v>
      </c>
      <c r="I423" s="8">
        <v>46177.0</v>
      </c>
      <c r="J423" s="82" t="s">
        <v>23</v>
      </c>
      <c r="K423" s="7"/>
      <c r="L423" s="10">
        <v>0.625</v>
      </c>
      <c r="M423" s="10">
        <v>0.8958333333333334</v>
      </c>
      <c r="N423" s="7" t="s">
        <v>2202</v>
      </c>
      <c r="O423" s="67">
        <v>-7.2391381E7</v>
      </c>
      <c r="P423" s="67">
        <v>1.127328311E9</v>
      </c>
      <c r="Q423" s="68" t="s">
        <v>2203</v>
      </c>
      <c r="R423" s="66"/>
      <c r="S423" s="66"/>
      <c r="T423" s="66"/>
      <c r="U423" s="66"/>
      <c r="V423" s="66"/>
      <c r="W423" s="66"/>
      <c r="X423" s="66"/>
      <c r="Y423" s="66"/>
      <c r="Z423" s="66"/>
      <c r="AA423" s="66"/>
      <c r="AB423" s="66"/>
      <c r="AC423" s="66"/>
      <c r="AD423" s="66"/>
      <c r="AE423" s="66"/>
    </row>
    <row r="424">
      <c r="A424" s="13">
        <f t="shared" si="1"/>
        <v>423</v>
      </c>
      <c r="B424" s="7" t="s">
        <v>2204</v>
      </c>
      <c r="C424" s="7" t="s">
        <v>2205</v>
      </c>
      <c r="D424" s="7" t="s">
        <v>34</v>
      </c>
      <c r="E424" s="7" t="s">
        <v>2206</v>
      </c>
      <c r="F424" s="7">
        <v>334.0</v>
      </c>
      <c r="G424" s="7" t="s">
        <v>21</v>
      </c>
      <c r="H424" s="7" t="s">
        <v>36</v>
      </c>
      <c r="I424" s="8">
        <v>46177.0</v>
      </c>
      <c r="J424" s="82" t="s">
        <v>23</v>
      </c>
      <c r="K424" s="7"/>
      <c r="L424" s="10">
        <v>0.4583333333333333</v>
      </c>
      <c r="M424" s="10">
        <v>0.8333333333333334</v>
      </c>
      <c r="N424" s="7" t="s">
        <v>2207</v>
      </c>
      <c r="O424" s="67">
        <v>-7.2543375E7</v>
      </c>
      <c r="P424" s="67">
        <v>1.1275477E7</v>
      </c>
      <c r="Q424" s="68" t="s">
        <v>2208</v>
      </c>
      <c r="R424" s="66"/>
      <c r="S424" s="66"/>
      <c r="T424" s="66"/>
      <c r="U424" s="66"/>
      <c r="V424" s="66"/>
      <c r="W424" s="66"/>
      <c r="X424" s="66"/>
      <c r="Y424" s="66"/>
      <c r="Z424" s="66"/>
      <c r="AA424" s="66"/>
      <c r="AB424" s="66"/>
      <c r="AC424" s="66"/>
      <c r="AD424" s="66"/>
      <c r="AE424" s="66"/>
    </row>
    <row r="425">
      <c r="A425" s="13">
        <f t="shared" si="1"/>
        <v>424</v>
      </c>
      <c r="B425" s="7" t="s">
        <v>2209</v>
      </c>
      <c r="C425" s="7" t="s">
        <v>2210</v>
      </c>
      <c r="D425" s="7" t="s">
        <v>34</v>
      </c>
      <c r="E425" s="7" t="s">
        <v>2211</v>
      </c>
      <c r="F425" s="7">
        <v>31.0</v>
      </c>
      <c r="G425" s="7" t="s">
        <v>21</v>
      </c>
      <c r="H425" s="7" t="s">
        <v>36</v>
      </c>
      <c r="I425" s="8">
        <v>46207.0</v>
      </c>
      <c r="J425" s="82" t="s">
        <v>23</v>
      </c>
      <c r="K425" s="7"/>
      <c r="L425" s="10">
        <v>0.5</v>
      </c>
      <c r="M425" s="10">
        <v>0.9583333333333334</v>
      </c>
      <c r="N425" s="7" t="s">
        <v>2212</v>
      </c>
      <c r="O425" s="67">
        <v>-7263641.0</v>
      </c>
      <c r="P425" s="67">
        <v>1.127517293E9</v>
      </c>
      <c r="Q425" s="68" t="s">
        <v>2213</v>
      </c>
      <c r="R425" s="66"/>
      <c r="S425" s="66"/>
      <c r="T425" s="66"/>
      <c r="U425" s="66"/>
      <c r="V425" s="66"/>
      <c r="W425" s="66"/>
      <c r="X425" s="66"/>
      <c r="Y425" s="66"/>
      <c r="Z425" s="66"/>
      <c r="AA425" s="66"/>
      <c r="AB425" s="66"/>
      <c r="AC425" s="66"/>
      <c r="AD425" s="66"/>
      <c r="AE425" s="66"/>
    </row>
    <row r="426">
      <c r="A426" s="13">
        <f t="shared" si="1"/>
        <v>425</v>
      </c>
      <c r="B426" s="7" t="s">
        <v>2214</v>
      </c>
      <c r="C426" s="7" t="s">
        <v>2215</v>
      </c>
      <c r="D426" s="7" t="s">
        <v>34</v>
      </c>
      <c r="E426" s="7" t="s">
        <v>2216</v>
      </c>
      <c r="F426" s="7">
        <v>461.0</v>
      </c>
      <c r="G426" s="7" t="s">
        <v>21</v>
      </c>
      <c r="H426" s="7" t="s">
        <v>36</v>
      </c>
      <c r="I426" s="8">
        <v>46116.0</v>
      </c>
      <c r="J426" s="82" t="s">
        <v>23</v>
      </c>
      <c r="K426" s="7"/>
      <c r="L426" s="10">
        <v>0.375</v>
      </c>
      <c r="M426" s="10">
        <v>0.0</v>
      </c>
      <c r="N426" s="7" t="s">
        <v>2217</v>
      </c>
      <c r="O426" s="67">
        <v>-7300796.0</v>
      </c>
      <c r="P426" s="67">
        <v>1.127360432E9</v>
      </c>
      <c r="Q426" s="68" t="s">
        <v>2218</v>
      </c>
      <c r="R426" s="66"/>
      <c r="S426" s="66"/>
      <c r="T426" s="66"/>
      <c r="U426" s="66"/>
      <c r="V426" s="66"/>
      <c r="W426" s="66"/>
      <c r="X426" s="66"/>
      <c r="Y426" s="66"/>
      <c r="Z426" s="66"/>
      <c r="AA426" s="66"/>
      <c r="AB426" s="66"/>
      <c r="AC426" s="66"/>
      <c r="AD426" s="66"/>
      <c r="AE426" s="66"/>
    </row>
    <row r="427">
      <c r="A427" s="13">
        <f t="shared" si="1"/>
        <v>426</v>
      </c>
      <c r="B427" s="7" t="s">
        <v>2219</v>
      </c>
      <c r="C427" s="7" t="s">
        <v>2220</v>
      </c>
      <c r="D427" s="7" t="s">
        <v>34</v>
      </c>
      <c r="E427" s="7" t="s">
        <v>2221</v>
      </c>
      <c r="F427" s="7">
        <v>220.0</v>
      </c>
      <c r="G427" s="7" t="s">
        <v>21</v>
      </c>
      <c r="H427" s="28" t="s">
        <v>22</v>
      </c>
      <c r="I427" s="8">
        <v>46238.0</v>
      </c>
      <c r="J427" s="82" t="s">
        <v>388</v>
      </c>
      <c r="K427" s="7"/>
      <c r="L427" s="10">
        <v>0.375</v>
      </c>
      <c r="M427" s="10">
        <v>0.875</v>
      </c>
      <c r="N427" s="7" t="s">
        <v>2222</v>
      </c>
      <c r="O427" s="67">
        <v>-7.2660114E7</v>
      </c>
      <c r="P427" s="67">
        <v>1.127906514E9</v>
      </c>
      <c r="Q427" s="68" t="s">
        <v>2223</v>
      </c>
      <c r="R427" s="66"/>
      <c r="S427" s="66"/>
      <c r="T427" s="66"/>
      <c r="U427" s="66"/>
      <c r="V427" s="66"/>
      <c r="W427" s="66"/>
      <c r="X427" s="66"/>
      <c r="Y427" s="66"/>
      <c r="Z427" s="66"/>
      <c r="AA427" s="66"/>
      <c r="AB427" s="66"/>
      <c r="AC427" s="66"/>
      <c r="AD427" s="66"/>
      <c r="AE427" s="66"/>
    </row>
    <row r="428">
      <c r="A428" s="13">
        <f t="shared" si="1"/>
        <v>427</v>
      </c>
      <c r="B428" s="7" t="s">
        <v>2224</v>
      </c>
      <c r="C428" s="7" t="s">
        <v>2225</v>
      </c>
      <c r="D428" s="7" t="s">
        <v>34</v>
      </c>
      <c r="E428" s="7" t="s">
        <v>2226</v>
      </c>
      <c r="F428" s="7">
        <v>1385.0</v>
      </c>
      <c r="G428" s="7" t="s">
        <v>21</v>
      </c>
      <c r="H428" s="28" t="s">
        <v>22</v>
      </c>
      <c r="I428" s="8">
        <v>46116.0</v>
      </c>
      <c r="J428" s="82" t="s">
        <v>23</v>
      </c>
      <c r="K428" s="7"/>
      <c r="L428" s="10">
        <v>0.25</v>
      </c>
      <c r="M428" s="10">
        <v>0.8333333333333334</v>
      </c>
      <c r="N428" s="7" t="s">
        <v>2227</v>
      </c>
      <c r="O428" s="67">
        <v>-7.2602079E7</v>
      </c>
      <c r="P428" s="67">
        <v>1.127538874E9</v>
      </c>
      <c r="Q428" s="68" t="s">
        <v>2228</v>
      </c>
      <c r="R428" s="66"/>
      <c r="S428" s="66"/>
      <c r="T428" s="66"/>
      <c r="U428" s="66"/>
      <c r="V428" s="66"/>
      <c r="W428" s="66"/>
      <c r="X428" s="66"/>
      <c r="Y428" s="66"/>
      <c r="Z428" s="66"/>
      <c r="AA428" s="66"/>
      <c r="AB428" s="66"/>
      <c r="AC428" s="66"/>
      <c r="AD428" s="66"/>
      <c r="AE428" s="66"/>
    </row>
    <row r="429">
      <c r="A429" s="13">
        <f t="shared" si="1"/>
        <v>428</v>
      </c>
      <c r="B429" s="7" t="s">
        <v>2229</v>
      </c>
      <c r="C429" s="7" t="s">
        <v>2230</v>
      </c>
      <c r="D429" s="7" t="s">
        <v>34</v>
      </c>
      <c r="E429" s="7" t="s">
        <v>2231</v>
      </c>
      <c r="F429" s="7">
        <v>5131.0</v>
      </c>
      <c r="G429" s="7" t="s">
        <v>21</v>
      </c>
      <c r="H429" s="28" t="s">
        <v>22</v>
      </c>
      <c r="I429" s="8">
        <v>46085.0</v>
      </c>
      <c r="J429" s="82" t="s">
        <v>23</v>
      </c>
      <c r="K429" s="7"/>
      <c r="L429" s="10">
        <v>0.375</v>
      </c>
      <c r="M429" s="10">
        <v>0.9583333333333334</v>
      </c>
      <c r="N429" s="7" t="s">
        <v>2232</v>
      </c>
      <c r="O429" s="67">
        <v>-7.3257377E7</v>
      </c>
      <c r="P429" s="67">
        <v>1.127814338E9</v>
      </c>
      <c r="Q429" s="68" t="s">
        <v>2233</v>
      </c>
      <c r="R429" s="66"/>
      <c r="S429" s="66"/>
      <c r="T429" s="66"/>
      <c r="U429" s="66"/>
      <c r="V429" s="66"/>
      <c r="W429" s="66"/>
      <c r="X429" s="66"/>
      <c r="Y429" s="66"/>
      <c r="Z429" s="66"/>
      <c r="AA429" s="66"/>
      <c r="AB429" s="66"/>
      <c r="AC429" s="66"/>
      <c r="AD429" s="66"/>
      <c r="AE429" s="66"/>
    </row>
    <row r="430">
      <c r="A430" s="13">
        <f t="shared" si="1"/>
        <v>429</v>
      </c>
      <c r="B430" s="16" t="s">
        <v>2234</v>
      </c>
      <c r="C430" s="70" t="s">
        <v>2235</v>
      </c>
      <c r="D430" s="16" t="s">
        <v>19</v>
      </c>
      <c r="E430" s="70" t="s">
        <v>2236</v>
      </c>
      <c r="F430" s="16">
        <v>604.0</v>
      </c>
      <c r="G430" s="16" t="s">
        <v>21</v>
      </c>
      <c r="H430" s="26" t="s">
        <v>221</v>
      </c>
      <c r="I430" s="17">
        <v>46207.0</v>
      </c>
      <c r="J430" s="16" t="s">
        <v>23</v>
      </c>
      <c r="K430" s="16"/>
      <c r="L430" s="18">
        <v>0.2916666666666667</v>
      </c>
      <c r="M430" s="18">
        <v>0.9166666666666666</v>
      </c>
      <c r="N430" s="71" t="s">
        <v>2237</v>
      </c>
      <c r="O430" s="72" t="str">
        <f>IFERROR(__xludf.DUMMYFUNCTION("REGEXEXTRACT(N430,""^-?[0-9.]+"")"),"-7.291404800581804")</f>
        <v>-7.291404800581804</v>
      </c>
      <c r="P430" s="73" t="str">
        <f>IFERROR(__xludf.DUMMYFUNCTION("REGEXEXTRACT(N430,"",\s*(-?[0-9.]+)"")"),"112.72960753558195")</f>
        <v>112.72960753558195</v>
      </c>
      <c r="Q430" s="74" t="s">
        <v>2238</v>
      </c>
      <c r="R430" s="26"/>
      <c r="S430" s="26"/>
      <c r="T430" s="26"/>
      <c r="U430" s="26"/>
      <c r="V430" s="26"/>
      <c r="W430" s="26"/>
      <c r="X430" s="26"/>
      <c r="Y430" s="26"/>
      <c r="Z430" s="26"/>
      <c r="AA430" s="26"/>
      <c r="AB430" s="26"/>
      <c r="AC430" s="26"/>
      <c r="AD430" s="26"/>
      <c r="AE430" s="26"/>
    </row>
    <row r="431">
      <c r="A431" s="13">
        <f t="shared" si="1"/>
        <v>430</v>
      </c>
      <c r="B431" s="7" t="s">
        <v>2239</v>
      </c>
      <c r="C431" s="7" t="s">
        <v>2240</v>
      </c>
      <c r="D431" s="7" t="s">
        <v>34</v>
      </c>
      <c r="E431" s="7" t="s">
        <v>2241</v>
      </c>
      <c r="F431" s="7">
        <v>149.0</v>
      </c>
      <c r="G431" s="7" t="s">
        <v>21</v>
      </c>
      <c r="H431" s="7" t="s">
        <v>210</v>
      </c>
      <c r="I431" s="8">
        <v>46146.0</v>
      </c>
      <c r="J431" s="16" t="s">
        <v>23</v>
      </c>
      <c r="K431" s="7"/>
      <c r="L431" s="10">
        <v>0.0</v>
      </c>
      <c r="M431" s="10">
        <v>0.9993055555555556</v>
      </c>
      <c r="N431" s="7" t="s">
        <v>2242</v>
      </c>
      <c r="O431" s="67">
        <v>-7.2438092E7</v>
      </c>
      <c r="P431" s="67">
        <v>1.127364089E9</v>
      </c>
      <c r="Q431" s="68" t="s">
        <v>2243</v>
      </c>
      <c r="R431" s="66"/>
      <c r="S431" s="66"/>
      <c r="T431" s="66"/>
      <c r="U431" s="66"/>
      <c r="V431" s="66"/>
      <c r="W431" s="66"/>
      <c r="X431" s="66"/>
      <c r="Y431" s="66"/>
      <c r="Z431" s="66"/>
      <c r="AA431" s="66"/>
      <c r="AB431" s="66"/>
      <c r="AC431" s="66"/>
      <c r="AD431" s="66"/>
      <c r="AE431" s="66"/>
    </row>
    <row r="432">
      <c r="A432" s="13">
        <f t="shared" si="1"/>
        <v>431</v>
      </c>
      <c r="B432" s="7" t="s">
        <v>2244</v>
      </c>
      <c r="C432" s="7" t="s">
        <v>2245</v>
      </c>
      <c r="D432" s="7" t="s">
        <v>34</v>
      </c>
      <c r="E432" s="7" t="s">
        <v>2246</v>
      </c>
      <c r="F432" s="7">
        <v>584.0</v>
      </c>
      <c r="G432" s="7" t="s">
        <v>21</v>
      </c>
      <c r="H432" s="7" t="s">
        <v>36</v>
      </c>
      <c r="I432" s="8">
        <v>46146.0</v>
      </c>
      <c r="J432" s="16" t="s">
        <v>23</v>
      </c>
      <c r="K432" s="7"/>
      <c r="L432" s="10">
        <v>0.25</v>
      </c>
      <c r="M432" s="10">
        <v>0.75</v>
      </c>
      <c r="N432" s="7" t="s">
        <v>2247</v>
      </c>
      <c r="O432" s="67">
        <v>-7.3190959E7</v>
      </c>
      <c r="P432" s="67">
        <v>1.127693638E9</v>
      </c>
      <c r="Q432" s="68" t="s">
        <v>2248</v>
      </c>
      <c r="R432" s="66"/>
      <c r="S432" s="66"/>
      <c r="T432" s="66"/>
      <c r="U432" s="66"/>
      <c r="V432" s="66"/>
      <c r="W432" s="66"/>
      <c r="X432" s="66"/>
      <c r="Y432" s="66"/>
      <c r="Z432" s="66"/>
      <c r="AA432" s="66"/>
      <c r="AB432" s="66"/>
      <c r="AC432" s="66"/>
      <c r="AD432" s="66"/>
      <c r="AE432" s="66"/>
    </row>
    <row r="433">
      <c r="A433" s="13">
        <f t="shared" si="1"/>
        <v>432</v>
      </c>
      <c r="B433" s="7" t="s">
        <v>2249</v>
      </c>
      <c r="C433" s="7" t="s">
        <v>2250</v>
      </c>
      <c r="D433" s="7" t="s">
        <v>34</v>
      </c>
      <c r="E433" s="7" t="s">
        <v>2251</v>
      </c>
      <c r="F433" s="7">
        <v>3295.0</v>
      </c>
      <c r="G433" s="7" t="s">
        <v>21</v>
      </c>
      <c r="H433" s="7" t="s">
        <v>2252</v>
      </c>
      <c r="I433" s="8">
        <v>46177.0</v>
      </c>
      <c r="J433" s="16" t="s">
        <v>23</v>
      </c>
      <c r="K433" s="7"/>
      <c r="L433" s="10">
        <v>0.4166666666666667</v>
      </c>
      <c r="M433" s="10">
        <v>0.9166666666666666</v>
      </c>
      <c r="N433" s="7" t="s">
        <v>2253</v>
      </c>
      <c r="O433" s="67">
        <v>-7.2873119E7</v>
      </c>
      <c r="P433" s="67">
        <v>1.127327292E9</v>
      </c>
      <c r="Q433" s="68" t="s">
        <v>2254</v>
      </c>
      <c r="R433" s="66"/>
      <c r="S433" s="66"/>
      <c r="T433" s="66"/>
      <c r="U433" s="66"/>
      <c r="V433" s="66"/>
      <c r="W433" s="66"/>
      <c r="X433" s="66"/>
      <c r="Y433" s="66"/>
      <c r="Z433" s="66"/>
      <c r="AA433" s="66"/>
      <c r="AB433" s="66"/>
      <c r="AC433" s="66"/>
      <c r="AD433" s="66"/>
      <c r="AE433" s="66"/>
    </row>
    <row r="434">
      <c r="A434" s="13">
        <f t="shared" si="1"/>
        <v>433</v>
      </c>
      <c r="B434" s="82" t="s">
        <v>2255</v>
      </c>
      <c r="C434" s="82" t="s">
        <v>2256</v>
      </c>
      <c r="D434" s="82" t="s">
        <v>46</v>
      </c>
      <c r="E434" s="28" t="s">
        <v>2257</v>
      </c>
      <c r="F434" s="82">
        <v>7689.0</v>
      </c>
      <c r="G434" s="82" t="s">
        <v>21</v>
      </c>
      <c r="H434" s="82">
        <v>0.0</v>
      </c>
      <c r="I434" s="83">
        <v>46207.0</v>
      </c>
      <c r="J434" s="52" t="s">
        <v>23</v>
      </c>
      <c r="K434" s="84"/>
      <c r="L434" s="84">
        <v>0.16666666666666666</v>
      </c>
      <c r="M434" s="84">
        <v>0.9166666666666666</v>
      </c>
      <c r="N434" s="85" t="s">
        <v>2258</v>
      </c>
      <c r="O434" s="33" t="s">
        <v>2259</v>
      </c>
      <c r="P434" s="34" t="s">
        <v>2260</v>
      </c>
      <c r="Q434" s="78" t="s">
        <v>2261</v>
      </c>
      <c r="R434" s="66"/>
      <c r="S434" s="66"/>
      <c r="T434" s="66"/>
      <c r="U434" s="66"/>
      <c r="V434" s="66"/>
      <c r="W434" s="66"/>
      <c r="X434" s="66"/>
      <c r="Y434" s="66"/>
      <c r="Z434" s="66"/>
      <c r="AA434" s="66"/>
      <c r="AB434" s="66"/>
      <c r="AC434" s="66"/>
      <c r="AD434" s="66"/>
      <c r="AE434" s="66"/>
    </row>
    <row r="435">
      <c r="A435" s="13">
        <f t="shared" si="1"/>
        <v>434</v>
      </c>
      <c r="B435" s="7" t="s">
        <v>2262</v>
      </c>
      <c r="C435" s="7" t="s">
        <v>2263</v>
      </c>
      <c r="D435" s="7" t="s">
        <v>34</v>
      </c>
      <c r="E435" s="7" t="s">
        <v>2264</v>
      </c>
      <c r="F435" s="7">
        <v>244.0</v>
      </c>
      <c r="G435" s="7" t="s">
        <v>21</v>
      </c>
      <c r="H435" s="7" t="s">
        <v>36</v>
      </c>
      <c r="I435" s="8">
        <v>46207.0</v>
      </c>
      <c r="J435" s="16" t="s">
        <v>23</v>
      </c>
      <c r="K435" s="7"/>
      <c r="L435" s="10">
        <v>0.25</v>
      </c>
      <c r="M435" s="10">
        <v>0.6666666666666666</v>
      </c>
      <c r="N435" s="7" t="s">
        <v>2265</v>
      </c>
      <c r="O435" s="67">
        <v>-7.3066167E7</v>
      </c>
      <c r="P435" s="67">
        <v>1.127292337E9</v>
      </c>
      <c r="Q435" s="68" t="s">
        <v>2266</v>
      </c>
      <c r="R435" s="66"/>
      <c r="S435" s="66"/>
      <c r="T435" s="66"/>
      <c r="U435" s="66"/>
      <c r="V435" s="66"/>
      <c r="W435" s="66"/>
      <c r="X435" s="66"/>
      <c r="Y435" s="66"/>
      <c r="Z435" s="66"/>
      <c r="AA435" s="66"/>
      <c r="AB435" s="66"/>
      <c r="AC435" s="66"/>
      <c r="AD435" s="66"/>
      <c r="AE435" s="66"/>
    </row>
    <row r="436">
      <c r="A436" s="13">
        <f t="shared" si="1"/>
        <v>435</v>
      </c>
      <c r="B436" s="7" t="s">
        <v>2267</v>
      </c>
      <c r="C436" s="7" t="s">
        <v>2268</v>
      </c>
      <c r="D436" s="7" t="s">
        <v>34</v>
      </c>
      <c r="E436" s="7" t="s">
        <v>2269</v>
      </c>
      <c r="F436" s="7">
        <v>3090.0</v>
      </c>
      <c r="G436" s="7" t="s">
        <v>21</v>
      </c>
      <c r="H436" s="28" t="s">
        <v>22</v>
      </c>
      <c r="I436" s="8">
        <v>46085.0</v>
      </c>
      <c r="J436" s="16" t="s">
        <v>23</v>
      </c>
      <c r="K436" s="7"/>
      <c r="L436" s="10">
        <v>0.4166666666666667</v>
      </c>
      <c r="M436" s="10">
        <v>0.90625</v>
      </c>
      <c r="N436" s="7" t="s">
        <v>2270</v>
      </c>
      <c r="O436" s="67">
        <v>-7.3208463E7</v>
      </c>
      <c r="P436" s="67">
        <v>1.127806342E9</v>
      </c>
      <c r="Q436" s="68" t="s">
        <v>2271</v>
      </c>
      <c r="R436" s="66"/>
      <c r="S436" s="66"/>
      <c r="T436" s="66"/>
      <c r="U436" s="66"/>
      <c r="V436" s="66"/>
      <c r="W436" s="66"/>
      <c r="X436" s="66"/>
      <c r="Y436" s="66"/>
      <c r="Z436" s="66"/>
      <c r="AA436" s="66"/>
      <c r="AB436" s="66"/>
      <c r="AC436" s="66"/>
      <c r="AD436" s="66"/>
      <c r="AE436" s="66"/>
    </row>
    <row r="437">
      <c r="A437" s="13">
        <f t="shared" si="1"/>
        <v>436</v>
      </c>
      <c r="B437" s="7" t="s">
        <v>2272</v>
      </c>
      <c r="C437" s="7" t="s">
        <v>2273</v>
      </c>
      <c r="D437" s="7" t="s">
        <v>34</v>
      </c>
      <c r="E437" s="7" t="s">
        <v>2274</v>
      </c>
      <c r="F437" s="7">
        <v>208.0</v>
      </c>
      <c r="G437" s="7" t="s">
        <v>21</v>
      </c>
      <c r="H437" s="7" t="s">
        <v>36</v>
      </c>
      <c r="I437" s="8">
        <v>46207.0</v>
      </c>
      <c r="J437" s="16" t="s">
        <v>23</v>
      </c>
      <c r="K437" s="7"/>
      <c r="L437" s="10">
        <v>0.6875</v>
      </c>
      <c r="M437" s="10">
        <v>0.125</v>
      </c>
      <c r="N437" s="7" t="s">
        <v>2275</v>
      </c>
      <c r="O437" s="67">
        <v>-7.3565652E7</v>
      </c>
      <c r="P437" s="67">
        <v>1.127355748E9</v>
      </c>
      <c r="Q437" s="68" t="s">
        <v>2276</v>
      </c>
      <c r="R437" s="66"/>
      <c r="S437" s="66"/>
      <c r="T437" s="66"/>
      <c r="U437" s="66"/>
      <c r="V437" s="66"/>
      <c r="W437" s="66"/>
      <c r="X437" s="66"/>
      <c r="Y437" s="66"/>
      <c r="Z437" s="66"/>
      <c r="AA437" s="66"/>
      <c r="AB437" s="66"/>
      <c r="AC437" s="66"/>
      <c r="AD437" s="66"/>
      <c r="AE437" s="66"/>
    </row>
    <row r="438">
      <c r="A438" s="13">
        <f t="shared" si="1"/>
        <v>437</v>
      </c>
      <c r="B438" s="7" t="s">
        <v>2277</v>
      </c>
      <c r="C438" s="7" t="s">
        <v>2278</v>
      </c>
      <c r="D438" s="7" t="s">
        <v>19</v>
      </c>
      <c r="E438" s="7" t="s">
        <v>2279</v>
      </c>
      <c r="F438" s="7">
        <v>123.0</v>
      </c>
      <c r="G438" s="7" t="s">
        <v>21</v>
      </c>
      <c r="H438" s="28" t="s">
        <v>22</v>
      </c>
      <c r="I438" s="7">
        <v>5.0</v>
      </c>
      <c r="J438" s="16" t="s">
        <v>23</v>
      </c>
      <c r="K438" s="7"/>
      <c r="L438" s="10">
        <v>0.3333333333333333</v>
      </c>
      <c r="M438" s="10">
        <v>0.875</v>
      </c>
      <c r="N438" s="7" t="s">
        <v>2280</v>
      </c>
      <c r="O438" s="67">
        <v>-7.2893767E7</v>
      </c>
      <c r="P438" s="67">
        <v>1.127758843E9</v>
      </c>
      <c r="Q438" s="68" t="s">
        <v>2281</v>
      </c>
      <c r="R438" s="66"/>
      <c r="S438" s="66"/>
      <c r="T438" s="66"/>
      <c r="U438" s="66"/>
      <c r="V438" s="66"/>
      <c r="W438" s="66"/>
      <c r="X438" s="66"/>
      <c r="Y438" s="66"/>
      <c r="Z438" s="66"/>
      <c r="AA438" s="66"/>
      <c r="AB438" s="66"/>
      <c r="AC438" s="66"/>
      <c r="AD438" s="66"/>
      <c r="AE438" s="66"/>
    </row>
    <row r="439">
      <c r="A439" s="13">
        <f t="shared" si="1"/>
        <v>438</v>
      </c>
      <c r="B439" s="7" t="s">
        <v>2282</v>
      </c>
      <c r="C439" s="7" t="s">
        <v>2283</v>
      </c>
      <c r="D439" s="7" t="s">
        <v>34</v>
      </c>
      <c r="E439" s="7" t="s">
        <v>2284</v>
      </c>
      <c r="F439" s="7">
        <v>2142.0</v>
      </c>
      <c r="G439" s="7" t="s">
        <v>21</v>
      </c>
      <c r="H439" s="7" t="s">
        <v>649</v>
      </c>
      <c r="I439" s="8">
        <v>46146.0</v>
      </c>
      <c r="J439" s="16" t="s">
        <v>23</v>
      </c>
      <c r="K439" s="7"/>
      <c r="L439" s="10">
        <v>0.4583333333333333</v>
      </c>
      <c r="M439" s="10">
        <v>0.9166666666666666</v>
      </c>
      <c r="N439" s="7" t="s">
        <v>2285</v>
      </c>
      <c r="O439" s="67">
        <v>-7.2885492E7</v>
      </c>
      <c r="P439" s="67">
        <v>1.127312356E9</v>
      </c>
      <c r="Q439" s="68" t="s">
        <v>2286</v>
      </c>
      <c r="R439" s="66"/>
      <c r="S439" s="66"/>
      <c r="T439" s="66"/>
      <c r="U439" s="66"/>
      <c r="V439" s="66"/>
      <c r="W439" s="66"/>
      <c r="X439" s="66"/>
      <c r="Y439" s="66"/>
      <c r="Z439" s="66"/>
      <c r="AA439" s="66"/>
      <c r="AB439" s="66"/>
      <c r="AC439" s="66"/>
      <c r="AD439" s="66"/>
      <c r="AE439" s="66"/>
    </row>
    <row r="440">
      <c r="A440" s="13">
        <f t="shared" si="1"/>
        <v>439</v>
      </c>
      <c r="B440" s="7" t="s">
        <v>2287</v>
      </c>
      <c r="C440" s="7" t="s">
        <v>2288</v>
      </c>
      <c r="D440" s="7" t="s">
        <v>34</v>
      </c>
      <c r="E440" s="7" t="s">
        <v>2289</v>
      </c>
      <c r="F440" s="7">
        <v>166.0</v>
      </c>
      <c r="G440" s="7" t="s">
        <v>21</v>
      </c>
      <c r="H440" s="7" t="s">
        <v>36</v>
      </c>
      <c r="I440" s="8">
        <v>46146.0</v>
      </c>
      <c r="J440" s="15" t="s">
        <v>2290</v>
      </c>
      <c r="K440" s="7" t="s">
        <v>1360</v>
      </c>
      <c r="L440" s="10">
        <v>0.4166666666666667</v>
      </c>
      <c r="M440" s="10">
        <v>0.8333333333333334</v>
      </c>
      <c r="N440" s="7" t="s">
        <v>2291</v>
      </c>
      <c r="O440" s="67">
        <v>-7.2865218E7</v>
      </c>
      <c r="P440" s="67">
        <v>1.127448904E9</v>
      </c>
      <c r="Q440" s="68" t="s">
        <v>2292</v>
      </c>
      <c r="R440" s="66"/>
      <c r="S440" s="66"/>
      <c r="T440" s="66"/>
      <c r="U440" s="66"/>
      <c r="V440" s="66"/>
      <c r="W440" s="66"/>
      <c r="X440" s="66"/>
      <c r="Y440" s="66"/>
      <c r="Z440" s="66"/>
      <c r="AA440" s="66"/>
      <c r="AB440" s="66"/>
      <c r="AC440" s="66"/>
      <c r="AD440" s="66"/>
      <c r="AE440" s="66"/>
    </row>
    <row r="441">
      <c r="A441" s="13">
        <f t="shared" si="1"/>
        <v>440</v>
      </c>
      <c r="B441" s="45" t="s">
        <v>2293</v>
      </c>
      <c r="C441" s="45" t="s">
        <v>2294</v>
      </c>
      <c r="D441" s="45" t="s">
        <v>19</v>
      </c>
      <c r="E441" s="45" t="s">
        <v>2295</v>
      </c>
      <c r="F441" s="28">
        <v>1173.0</v>
      </c>
      <c r="G441" s="45" t="s">
        <v>21</v>
      </c>
      <c r="H441" s="45">
        <v>45000.0</v>
      </c>
      <c r="I441" s="29">
        <v>46207.0</v>
      </c>
      <c r="J441" s="45" t="s">
        <v>23</v>
      </c>
      <c r="K441" s="46"/>
      <c r="L441" s="47">
        <v>0.2916666666666667</v>
      </c>
      <c r="M441" s="47">
        <v>0.9166666666666666</v>
      </c>
      <c r="N441" s="48" t="s">
        <v>2296</v>
      </c>
      <c r="O441" s="33" t="s">
        <v>2297</v>
      </c>
      <c r="P441" s="34" t="s">
        <v>2298</v>
      </c>
      <c r="Q441" s="69" t="s">
        <v>2299</v>
      </c>
      <c r="R441" s="26"/>
      <c r="S441" s="26"/>
      <c r="T441" s="26"/>
      <c r="U441" s="26"/>
      <c r="V441" s="26"/>
      <c r="W441" s="26"/>
      <c r="X441" s="26"/>
      <c r="Y441" s="26"/>
      <c r="Z441" s="26"/>
      <c r="AA441" s="26"/>
      <c r="AB441" s="26"/>
      <c r="AC441" s="26"/>
      <c r="AD441" s="26"/>
      <c r="AE441" s="26"/>
    </row>
    <row r="442">
      <c r="A442" s="13">
        <f t="shared" si="1"/>
        <v>441</v>
      </c>
      <c r="B442" s="7" t="s">
        <v>2300</v>
      </c>
      <c r="C442" s="7" t="s">
        <v>2301</v>
      </c>
      <c r="D442" s="7" t="s">
        <v>34</v>
      </c>
      <c r="E442" s="7" t="s">
        <v>2302</v>
      </c>
      <c r="F442" s="7">
        <v>2942.0</v>
      </c>
      <c r="G442" s="7" t="s">
        <v>21</v>
      </c>
      <c r="H442" s="7" t="s">
        <v>2303</v>
      </c>
      <c r="I442" s="8">
        <v>46057.0</v>
      </c>
      <c r="J442" s="45" t="s">
        <v>23</v>
      </c>
      <c r="K442" s="7"/>
      <c r="L442" s="10">
        <v>0.375</v>
      </c>
      <c r="M442" s="10">
        <v>0.9166666666666666</v>
      </c>
      <c r="N442" s="7" t="s">
        <v>2304</v>
      </c>
      <c r="O442" s="67">
        <v>-7.2560633E7</v>
      </c>
      <c r="P442" s="67">
        <v>1.127315719E9</v>
      </c>
      <c r="Q442" s="68" t="s">
        <v>2305</v>
      </c>
      <c r="R442" s="66"/>
      <c r="S442" s="66"/>
      <c r="T442" s="66"/>
      <c r="U442" s="66"/>
      <c r="V442" s="66"/>
      <c r="W442" s="66"/>
      <c r="X442" s="66"/>
      <c r="Y442" s="66"/>
      <c r="Z442" s="66"/>
      <c r="AA442" s="66"/>
      <c r="AB442" s="66"/>
      <c r="AC442" s="66"/>
      <c r="AD442" s="66"/>
      <c r="AE442" s="66"/>
    </row>
    <row r="443">
      <c r="A443" s="13">
        <f t="shared" si="1"/>
        <v>442</v>
      </c>
      <c r="B443" s="7" t="s">
        <v>2306</v>
      </c>
      <c r="C443" s="7" t="s">
        <v>2307</v>
      </c>
      <c r="D443" s="7" t="s">
        <v>34</v>
      </c>
      <c r="E443" s="7" t="s">
        <v>2308</v>
      </c>
      <c r="F443" s="7">
        <v>296.0</v>
      </c>
      <c r="G443" s="7" t="s">
        <v>21</v>
      </c>
      <c r="H443" s="7" t="s">
        <v>2303</v>
      </c>
      <c r="I443" s="8">
        <v>46146.0</v>
      </c>
      <c r="J443" s="45" t="s">
        <v>23</v>
      </c>
      <c r="K443" s="7"/>
      <c r="L443" s="10">
        <v>0.375</v>
      </c>
      <c r="M443" s="10">
        <v>0.8333333333333334</v>
      </c>
      <c r="N443" s="7" t="s">
        <v>2309</v>
      </c>
      <c r="O443" s="67">
        <v>-7.3056356E7</v>
      </c>
      <c r="P443" s="67">
        <v>1.127419023E9</v>
      </c>
      <c r="Q443" s="68" t="s">
        <v>2310</v>
      </c>
      <c r="R443" s="66"/>
      <c r="S443" s="66"/>
      <c r="T443" s="66"/>
      <c r="U443" s="66"/>
      <c r="V443" s="66"/>
      <c r="W443" s="66"/>
      <c r="X443" s="66"/>
      <c r="Y443" s="66"/>
      <c r="Z443" s="66"/>
      <c r="AA443" s="66"/>
      <c r="AB443" s="66"/>
      <c r="AC443" s="66"/>
      <c r="AD443" s="66"/>
      <c r="AE443" s="66"/>
    </row>
    <row r="444">
      <c r="A444" s="13">
        <f t="shared" si="1"/>
        <v>443</v>
      </c>
      <c r="B444" s="7" t="s">
        <v>2311</v>
      </c>
      <c r="C444" s="7" t="s">
        <v>2312</v>
      </c>
      <c r="D444" s="7" t="s">
        <v>34</v>
      </c>
      <c r="E444" s="7" t="s">
        <v>2313</v>
      </c>
      <c r="F444" s="7">
        <v>141.0</v>
      </c>
      <c r="G444" s="7" t="s">
        <v>21</v>
      </c>
      <c r="H444" s="7" t="s">
        <v>2303</v>
      </c>
      <c r="I444" s="8">
        <v>46146.0</v>
      </c>
      <c r="J444" s="45" t="s">
        <v>23</v>
      </c>
      <c r="K444" s="7"/>
      <c r="L444" s="10">
        <v>0.4583333333333333</v>
      </c>
      <c r="M444" s="10">
        <v>0.9166666666666666</v>
      </c>
      <c r="N444" s="7" t="s">
        <v>2314</v>
      </c>
      <c r="O444" s="67">
        <v>-7.2517863E7</v>
      </c>
      <c r="P444" s="67">
        <v>1.127671219E9</v>
      </c>
      <c r="Q444" s="68" t="s">
        <v>2315</v>
      </c>
      <c r="R444" s="66"/>
      <c r="S444" s="66"/>
      <c r="T444" s="66"/>
      <c r="U444" s="66"/>
      <c r="V444" s="66"/>
      <c r="W444" s="66"/>
      <c r="X444" s="66"/>
      <c r="Y444" s="66"/>
      <c r="Z444" s="66"/>
      <c r="AA444" s="66"/>
      <c r="AB444" s="66"/>
      <c r="AC444" s="66"/>
      <c r="AD444" s="66"/>
      <c r="AE444" s="66"/>
    </row>
    <row r="445">
      <c r="A445" s="13">
        <f t="shared" si="1"/>
        <v>444</v>
      </c>
      <c r="B445" s="7" t="s">
        <v>2316</v>
      </c>
      <c r="C445" s="7" t="s">
        <v>2317</v>
      </c>
      <c r="D445" s="7" t="s">
        <v>34</v>
      </c>
      <c r="E445" s="7" t="s">
        <v>2318</v>
      </c>
      <c r="F445" s="7">
        <v>368.0</v>
      </c>
      <c r="G445" s="7" t="s">
        <v>21</v>
      </c>
      <c r="H445" s="7" t="s">
        <v>2303</v>
      </c>
      <c r="I445" s="8">
        <v>46177.0</v>
      </c>
      <c r="J445" s="45" t="s">
        <v>23</v>
      </c>
      <c r="K445" s="7"/>
      <c r="L445" s="10">
        <v>0.4583333333333333</v>
      </c>
      <c r="M445" s="10">
        <v>0.875</v>
      </c>
      <c r="N445" s="7" t="s">
        <v>2319</v>
      </c>
      <c r="O445" s="67">
        <v>-7300121.0</v>
      </c>
      <c r="P445" s="67">
        <v>1.127678766E9</v>
      </c>
      <c r="Q445" s="68" t="s">
        <v>2320</v>
      </c>
      <c r="R445" s="66"/>
      <c r="S445" s="66"/>
      <c r="T445" s="66"/>
      <c r="U445" s="66"/>
      <c r="V445" s="66"/>
      <c r="W445" s="66"/>
      <c r="X445" s="66"/>
      <c r="Y445" s="66"/>
      <c r="Z445" s="66"/>
      <c r="AA445" s="66"/>
      <c r="AB445" s="66"/>
      <c r="AC445" s="66"/>
      <c r="AD445" s="66"/>
      <c r="AE445" s="66"/>
    </row>
    <row r="446">
      <c r="A446" s="13">
        <f t="shared" si="1"/>
        <v>445</v>
      </c>
      <c r="B446" s="7" t="s">
        <v>2321</v>
      </c>
      <c r="C446" s="7" t="s">
        <v>2322</v>
      </c>
      <c r="D446" s="7" t="s">
        <v>34</v>
      </c>
      <c r="E446" s="7" t="s">
        <v>2323</v>
      </c>
      <c r="F446" s="7">
        <v>1678.0</v>
      </c>
      <c r="G446" s="7" t="s">
        <v>21</v>
      </c>
      <c r="H446" s="7" t="s">
        <v>2324</v>
      </c>
      <c r="I446" s="8">
        <v>46177.0</v>
      </c>
      <c r="J446" s="45" t="s">
        <v>23</v>
      </c>
      <c r="K446" s="7"/>
      <c r="L446" s="10">
        <v>0.3958333333333333</v>
      </c>
      <c r="M446" s="10">
        <v>0.75</v>
      </c>
      <c r="N446" s="7" t="s">
        <v>2325</v>
      </c>
      <c r="O446" s="67">
        <v>-7.2518862E7</v>
      </c>
      <c r="P446" s="67">
        <v>1.127137412E9</v>
      </c>
      <c r="Q446" s="68" t="s">
        <v>2326</v>
      </c>
      <c r="R446" s="66"/>
      <c r="S446" s="66"/>
      <c r="T446" s="66"/>
      <c r="U446" s="66"/>
      <c r="V446" s="66"/>
      <c r="W446" s="66"/>
      <c r="X446" s="66"/>
      <c r="Y446" s="66"/>
      <c r="Z446" s="66"/>
      <c r="AA446" s="66"/>
      <c r="AB446" s="66"/>
      <c r="AC446" s="66"/>
      <c r="AD446" s="66"/>
      <c r="AE446" s="66"/>
    </row>
    <row r="447">
      <c r="A447" s="13">
        <f t="shared" si="1"/>
        <v>446</v>
      </c>
      <c r="B447" s="7" t="s">
        <v>2327</v>
      </c>
      <c r="C447" s="7" t="s">
        <v>2328</v>
      </c>
      <c r="D447" s="7" t="s">
        <v>46</v>
      </c>
      <c r="E447" s="7" t="s">
        <v>2329</v>
      </c>
      <c r="F447" s="7">
        <v>2908.0</v>
      </c>
      <c r="G447" s="7" t="s">
        <v>21</v>
      </c>
      <c r="H447" s="7">
        <v>0.0</v>
      </c>
      <c r="I447" s="8">
        <v>46146.0</v>
      </c>
      <c r="J447" s="45" t="s">
        <v>23</v>
      </c>
      <c r="K447" s="7"/>
      <c r="L447" s="10">
        <v>0.0</v>
      </c>
      <c r="M447" s="10">
        <v>0.9993055555555556</v>
      </c>
      <c r="N447" s="7" t="s">
        <v>2330</v>
      </c>
      <c r="O447" s="67">
        <v>-7306881.0</v>
      </c>
      <c r="P447" s="67">
        <v>1.127685263E9</v>
      </c>
      <c r="Q447" s="68" t="s">
        <v>2331</v>
      </c>
      <c r="R447" s="66"/>
      <c r="S447" s="66"/>
      <c r="T447" s="66"/>
      <c r="U447" s="66"/>
      <c r="V447" s="66"/>
      <c r="W447" s="66"/>
      <c r="X447" s="66"/>
      <c r="Y447" s="66"/>
      <c r="Z447" s="66"/>
      <c r="AA447" s="66"/>
      <c r="AB447" s="66"/>
      <c r="AC447" s="66"/>
      <c r="AD447" s="66"/>
      <c r="AE447" s="66"/>
    </row>
    <row r="448">
      <c r="A448" s="13">
        <f t="shared" si="1"/>
        <v>447</v>
      </c>
      <c r="B448" s="7" t="s">
        <v>2332</v>
      </c>
      <c r="C448" s="7" t="s">
        <v>2333</v>
      </c>
      <c r="D448" s="7" t="s">
        <v>46</v>
      </c>
      <c r="E448" s="7" t="s">
        <v>2334</v>
      </c>
      <c r="F448" s="7">
        <v>37.0</v>
      </c>
      <c r="G448" s="7" t="s">
        <v>21</v>
      </c>
      <c r="H448" s="7">
        <v>0.0</v>
      </c>
      <c r="I448" s="8">
        <v>46207.0</v>
      </c>
      <c r="J448" s="45" t="s">
        <v>23</v>
      </c>
      <c r="K448" s="7"/>
      <c r="L448" s="10">
        <v>0.0</v>
      </c>
      <c r="M448" s="10">
        <v>0.9993055555555556</v>
      </c>
      <c r="N448" s="7" t="s">
        <v>2335</v>
      </c>
      <c r="O448" s="67">
        <v>-7.3269242E7</v>
      </c>
      <c r="P448" s="67">
        <v>1.127460052E9</v>
      </c>
      <c r="Q448" s="68" t="s">
        <v>2336</v>
      </c>
      <c r="R448" s="66"/>
      <c r="S448" s="66"/>
      <c r="T448" s="66"/>
      <c r="U448" s="66"/>
      <c r="V448" s="66"/>
      <c r="W448" s="66"/>
      <c r="X448" s="66"/>
      <c r="Y448" s="66"/>
      <c r="Z448" s="66"/>
      <c r="AA448" s="66"/>
      <c r="AB448" s="66"/>
      <c r="AC448" s="66"/>
      <c r="AD448" s="66"/>
      <c r="AE448" s="66"/>
    </row>
    <row r="449">
      <c r="A449" s="13">
        <f t="shared" si="1"/>
        <v>448</v>
      </c>
      <c r="B449" s="45" t="s">
        <v>2337</v>
      </c>
      <c r="C449" s="45" t="s">
        <v>2338</v>
      </c>
      <c r="D449" s="45" t="s">
        <v>46</v>
      </c>
      <c r="E449" s="45" t="s">
        <v>2339</v>
      </c>
      <c r="F449" s="28">
        <v>166.0</v>
      </c>
      <c r="G449" s="45" t="s">
        <v>21</v>
      </c>
      <c r="H449" s="45">
        <v>0.0</v>
      </c>
      <c r="I449" s="29">
        <v>46146.0</v>
      </c>
      <c r="J449" s="45" t="s">
        <v>23</v>
      </c>
      <c r="K449" s="46"/>
      <c r="L449" s="47">
        <v>0.0</v>
      </c>
      <c r="M449" s="47">
        <v>0.9993055555555556</v>
      </c>
      <c r="N449" s="48" t="s">
        <v>2340</v>
      </c>
      <c r="O449" s="33" t="s">
        <v>2341</v>
      </c>
      <c r="P449" s="34" t="s">
        <v>2342</v>
      </c>
      <c r="Q449" s="69" t="s">
        <v>2343</v>
      </c>
      <c r="R449" s="26"/>
      <c r="S449" s="26"/>
      <c r="T449" s="26"/>
      <c r="U449" s="26"/>
      <c r="V449" s="26"/>
      <c r="W449" s="26"/>
      <c r="X449" s="26"/>
      <c r="Y449" s="26"/>
      <c r="Z449" s="26"/>
      <c r="AA449" s="26"/>
      <c r="AB449" s="26"/>
      <c r="AC449" s="26"/>
      <c r="AD449" s="26"/>
      <c r="AE449" s="26"/>
    </row>
    <row r="450">
      <c r="A450" s="13">
        <f t="shared" si="1"/>
        <v>449</v>
      </c>
      <c r="B450" s="7" t="s">
        <v>2344</v>
      </c>
      <c r="C450" s="7" t="s">
        <v>2345</v>
      </c>
      <c r="D450" s="7" t="s">
        <v>34</v>
      </c>
      <c r="E450" s="7" t="s">
        <v>2346</v>
      </c>
      <c r="F450" s="7">
        <v>4282.0</v>
      </c>
      <c r="G450" s="7" t="s">
        <v>21</v>
      </c>
      <c r="H450" s="7" t="s">
        <v>2324</v>
      </c>
      <c r="I450" s="8">
        <v>46085.0</v>
      </c>
      <c r="J450" s="45" t="s">
        <v>23</v>
      </c>
      <c r="K450" s="7"/>
      <c r="L450" s="10">
        <v>0.4583333333333333</v>
      </c>
      <c r="M450" s="10">
        <v>0.9583333333333334</v>
      </c>
      <c r="N450" s="7" t="s">
        <v>2347</v>
      </c>
      <c r="O450" s="67">
        <v>-7.2452688E7</v>
      </c>
      <c r="P450" s="67">
        <v>1.127369513E9</v>
      </c>
      <c r="Q450" s="68" t="s">
        <v>2348</v>
      </c>
      <c r="R450" s="66"/>
      <c r="S450" s="66"/>
      <c r="T450" s="66"/>
      <c r="U450" s="66"/>
      <c r="V450" s="66"/>
      <c r="W450" s="66"/>
      <c r="X450" s="66"/>
      <c r="Y450" s="66"/>
      <c r="Z450" s="66"/>
      <c r="AA450" s="66"/>
      <c r="AB450" s="66"/>
      <c r="AC450" s="66"/>
      <c r="AD450" s="66"/>
      <c r="AE450" s="66"/>
    </row>
    <row r="451">
      <c r="A451" s="13">
        <f t="shared" si="1"/>
        <v>450</v>
      </c>
      <c r="B451" s="7" t="s">
        <v>2349</v>
      </c>
      <c r="C451" s="7" t="s">
        <v>2350</v>
      </c>
      <c r="D451" s="7" t="s">
        <v>46</v>
      </c>
      <c r="E451" s="7" t="s">
        <v>2351</v>
      </c>
      <c r="F451" s="7">
        <v>622.0</v>
      </c>
      <c r="G451" s="7" t="s">
        <v>21</v>
      </c>
      <c r="H451" s="7">
        <v>7000.0</v>
      </c>
      <c r="I451" s="8">
        <v>46146.0</v>
      </c>
      <c r="J451" s="45" t="s">
        <v>287</v>
      </c>
      <c r="K451" s="7" t="s">
        <v>288</v>
      </c>
      <c r="L451" s="10">
        <v>0.3333333333333333</v>
      </c>
      <c r="M451" s="10">
        <v>0.5833333333333334</v>
      </c>
      <c r="N451" s="7" t="s">
        <v>2352</v>
      </c>
      <c r="O451" s="67">
        <v>-7227185.0</v>
      </c>
      <c r="P451" s="67">
        <v>1.12718997E8</v>
      </c>
      <c r="Q451" s="68" t="s">
        <v>2353</v>
      </c>
      <c r="R451" s="66"/>
      <c r="S451" s="66"/>
      <c r="T451" s="66"/>
      <c r="U451" s="66"/>
      <c r="V451" s="66"/>
      <c r="W451" s="66"/>
      <c r="X451" s="66"/>
      <c r="Y451" s="66"/>
      <c r="Z451" s="66"/>
      <c r="AA451" s="66"/>
      <c r="AB451" s="66"/>
      <c r="AC451" s="66"/>
      <c r="AD451" s="66"/>
      <c r="AE451" s="66"/>
    </row>
    <row r="452">
      <c r="A452" s="13">
        <f t="shared" si="1"/>
        <v>451</v>
      </c>
      <c r="B452" s="7" t="s">
        <v>2354</v>
      </c>
      <c r="C452" s="7" t="s">
        <v>2355</v>
      </c>
      <c r="D452" s="7" t="s">
        <v>34</v>
      </c>
      <c r="E452" s="7" t="s">
        <v>2356</v>
      </c>
      <c r="F452" s="7">
        <v>929.0</v>
      </c>
      <c r="G452" s="7" t="s">
        <v>21</v>
      </c>
      <c r="H452" s="7" t="s">
        <v>2303</v>
      </c>
      <c r="I452" s="8">
        <v>46146.0</v>
      </c>
      <c r="J452" s="45" t="s">
        <v>601</v>
      </c>
      <c r="K452" s="7" t="s">
        <v>602</v>
      </c>
      <c r="L452" s="10">
        <v>0.4583333333333333</v>
      </c>
      <c r="M452" s="10">
        <v>0.9583333333333334</v>
      </c>
      <c r="N452" s="7" t="s">
        <v>2357</v>
      </c>
      <c r="O452" s="67">
        <v>-7.3205511E7</v>
      </c>
      <c r="P452" s="67">
        <v>1.127610212E9</v>
      </c>
      <c r="Q452" s="68" t="s">
        <v>2358</v>
      </c>
      <c r="R452" s="66"/>
      <c r="S452" s="66"/>
      <c r="T452" s="66"/>
      <c r="U452" s="66"/>
      <c r="V452" s="66"/>
      <c r="W452" s="66"/>
      <c r="X452" s="66"/>
      <c r="Y452" s="66"/>
      <c r="Z452" s="66"/>
      <c r="AA452" s="66"/>
      <c r="AB452" s="66"/>
      <c r="AC452" s="66"/>
      <c r="AD452" s="66"/>
      <c r="AE452" s="66"/>
    </row>
    <row r="453">
      <c r="A453" s="13">
        <f t="shared" si="1"/>
        <v>452</v>
      </c>
      <c r="B453" s="7" t="s">
        <v>2359</v>
      </c>
      <c r="C453" s="7" t="s">
        <v>2360</v>
      </c>
      <c r="D453" s="7" t="s">
        <v>34</v>
      </c>
      <c r="E453" s="7" t="s">
        <v>2361</v>
      </c>
      <c r="F453" s="7">
        <v>37.0</v>
      </c>
      <c r="G453" s="7" t="s">
        <v>21</v>
      </c>
      <c r="H453" s="7" t="s">
        <v>2324</v>
      </c>
      <c r="I453" s="8">
        <v>46116.0</v>
      </c>
      <c r="J453" s="45" t="s">
        <v>23</v>
      </c>
      <c r="K453" s="7"/>
      <c r="L453" s="10">
        <v>0.4166666666666667</v>
      </c>
      <c r="M453" s="10">
        <v>0.16666666666666666</v>
      </c>
      <c r="N453" s="7" t="s">
        <v>2362</v>
      </c>
      <c r="O453" s="67">
        <v>-7.3287592E7</v>
      </c>
      <c r="P453" s="67">
        <v>1.127402674E9</v>
      </c>
      <c r="Q453" s="68" t="s">
        <v>2363</v>
      </c>
      <c r="R453" s="66"/>
      <c r="S453" s="66"/>
      <c r="T453" s="66"/>
      <c r="U453" s="66"/>
      <c r="V453" s="66"/>
      <c r="W453" s="66"/>
      <c r="X453" s="66"/>
      <c r="Y453" s="66"/>
      <c r="Z453" s="66"/>
      <c r="AA453" s="66"/>
      <c r="AB453" s="66"/>
      <c r="AC453" s="66"/>
      <c r="AD453" s="66"/>
      <c r="AE453" s="66"/>
    </row>
    <row r="454">
      <c r="A454" s="13">
        <f t="shared" si="1"/>
        <v>453</v>
      </c>
      <c r="B454" s="7" t="s">
        <v>2364</v>
      </c>
      <c r="C454" s="7" t="s">
        <v>2365</v>
      </c>
      <c r="D454" s="7" t="s">
        <v>19</v>
      </c>
      <c r="E454" s="7" t="s">
        <v>2366</v>
      </c>
      <c r="F454" s="7">
        <v>190.0</v>
      </c>
      <c r="G454" s="7" t="s">
        <v>21</v>
      </c>
      <c r="H454" s="7" t="s">
        <v>2324</v>
      </c>
      <c r="I454" s="8">
        <v>46177.0</v>
      </c>
      <c r="J454" s="45" t="s">
        <v>23</v>
      </c>
      <c r="K454" s="7"/>
      <c r="L454" s="10">
        <v>0.2916666666666667</v>
      </c>
      <c r="M454" s="10">
        <v>0.9166666666666666</v>
      </c>
      <c r="N454" s="7" t="s">
        <v>2367</v>
      </c>
      <c r="O454" s="67">
        <v>-72773.0</v>
      </c>
      <c r="P454" s="67">
        <v>1.12739528E8</v>
      </c>
      <c r="Q454" s="68" t="s">
        <v>2368</v>
      </c>
      <c r="R454" s="66"/>
      <c r="S454" s="66"/>
      <c r="T454" s="66"/>
      <c r="U454" s="66"/>
      <c r="V454" s="66"/>
      <c r="W454" s="66"/>
      <c r="X454" s="66"/>
      <c r="Y454" s="66"/>
      <c r="Z454" s="66"/>
      <c r="AA454" s="66"/>
      <c r="AB454" s="66"/>
      <c r="AC454" s="66"/>
      <c r="AD454" s="66"/>
      <c r="AE454" s="66"/>
    </row>
    <row r="455">
      <c r="A455" s="13">
        <f t="shared" si="1"/>
        <v>454</v>
      </c>
      <c r="B455" s="7" t="s">
        <v>2369</v>
      </c>
      <c r="C455" s="7" t="s">
        <v>2370</v>
      </c>
      <c r="D455" s="7" t="s">
        <v>34</v>
      </c>
      <c r="E455" s="7" t="s">
        <v>2371</v>
      </c>
      <c r="F455" s="7">
        <v>236.0</v>
      </c>
      <c r="G455" s="7" t="s">
        <v>21</v>
      </c>
      <c r="H455" s="7" t="s">
        <v>2303</v>
      </c>
      <c r="I455" s="8">
        <v>46238.0</v>
      </c>
      <c r="J455" s="45" t="s">
        <v>65</v>
      </c>
      <c r="K455" s="7" t="s">
        <v>66</v>
      </c>
      <c r="L455" s="10">
        <v>0.4583333333333333</v>
      </c>
      <c r="M455" s="10">
        <v>0.9166666666666666</v>
      </c>
      <c r="N455" s="7" t="s">
        <v>2372</v>
      </c>
      <c r="O455" s="67">
        <v>-7.2887861E7</v>
      </c>
      <c r="P455" s="67">
        <v>1.12768027E8</v>
      </c>
      <c r="Q455" s="68" t="s">
        <v>2373</v>
      </c>
      <c r="R455" s="66"/>
      <c r="S455" s="66"/>
      <c r="T455" s="66"/>
      <c r="U455" s="66"/>
      <c r="V455" s="66"/>
      <c r="W455" s="66"/>
      <c r="X455" s="66"/>
      <c r="Y455" s="66"/>
      <c r="Z455" s="66"/>
      <c r="AA455" s="66"/>
      <c r="AB455" s="66"/>
      <c r="AC455" s="66"/>
      <c r="AD455" s="66"/>
      <c r="AE455" s="66"/>
    </row>
    <row r="456">
      <c r="A456" s="13">
        <f t="shared" si="1"/>
        <v>455</v>
      </c>
      <c r="B456" s="7" t="s">
        <v>2374</v>
      </c>
      <c r="C456" s="7" t="s">
        <v>2375</v>
      </c>
      <c r="D456" s="7" t="s">
        <v>1401</v>
      </c>
      <c r="E456" s="7" t="s">
        <v>2376</v>
      </c>
      <c r="F456" s="7">
        <v>567.0</v>
      </c>
      <c r="G456" s="7" t="s">
        <v>21</v>
      </c>
      <c r="H456" s="7" t="s">
        <v>221</v>
      </c>
      <c r="I456" s="8">
        <v>46207.0</v>
      </c>
      <c r="J456" s="45" t="s">
        <v>23</v>
      </c>
      <c r="K456" s="7"/>
      <c r="L456" s="10">
        <v>0.2916666666666667</v>
      </c>
      <c r="M456" s="10">
        <v>0.8229166666666666</v>
      </c>
      <c r="N456" s="7" t="s">
        <v>2377</v>
      </c>
      <c r="O456" s="67">
        <v>-7.2804783E7</v>
      </c>
      <c r="P456" s="67">
        <v>1.127647157E9</v>
      </c>
      <c r="Q456" s="68" t="s">
        <v>2378</v>
      </c>
      <c r="R456" s="66"/>
      <c r="S456" s="66"/>
      <c r="T456" s="66"/>
      <c r="U456" s="66"/>
      <c r="V456" s="66"/>
      <c r="W456" s="66"/>
      <c r="X456" s="66"/>
      <c r="Y456" s="66"/>
      <c r="Z456" s="66"/>
      <c r="AA456" s="66"/>
      <c r="AB456" s="66"/>
      <c r="AC456" s="66"/>
      <c r="AD456" s="66"/>
      <c r="AE456" s="66"/>
    </row>
    <row r="457">
      <c r="A457" s="13">
        <f t="shared" si="1"/>
        <v>456</v>
      </c>
      <c r="B457" s="7" t="s">
        <v>2379</v>
      </c>
      <c r="C457" s="7" t="s">
        <v>2380</v>
      </c>
      <c r="D457" s="7" t="s">
        <v>34</v>
      </c>
      <c r="E457" s="7" t="s">
        <v>2381</v>
      </c>
      <c r="F457" s="7">
        <v>1788.0</v>
      </c>
      <c r="G457" s="7" t="s">
        <v>21</v>
      </c>
      <c r="H457" s="7" t="s">
        <v>2324</v>
      </c>
      <c r="I457" s="8">
        <v>46116.0</v>
      </c>
      <c r="J457" s="45" t="s">
        <v>23</v>
      </c>
      <c r="K457" s="7"/>
      <c r="L457" s="10">
        <v>0.4583333333333333</v>
      </c>
      <c r="M457" s="10">
        <v>0.8541666666666666</v>
      </c>
      <c r="N457" s="7" t="s">
        <v>2382</v>
      </c>
      <c r="O457" s="67">
        <v>-7.2679211E7</v>
      </c>
      <c r="P457" s="67">
        <v>1.127373578E9</v>
      </c>
      <c r="Q457" s="68" t="s">
        <v>2383</v>
      </c>
      <c r="R457" s="66"/>
      <c r="S457" s="66"/>
      <c r="T457" s="66"/>
      <c r="U457" s="66"/>
      <c r="V457" s="66"/>
      <c r="W457" s="66"/>
      <c r="X457" s="66"/>
      <c r="Y457" s="66"/>
      <c r="Z457" s="66"/>
      <c r="AA457" s="66"/>
      <c r="AB457" s="66"/>
      <c r="AC457" s="66"/>
      <c r="AD457" s="66"/>
      <c r="AE457" s="66"/>
    </row>
    <row r="458">
      <c r="A458" s="13">
        <f t="shared" si="1"/>
        <v>457</v>
      </c>
      <c r="B458" s="7" t="s">
        <v>2384</v>
      </c>
      <c r="C458" s="7" t="s">
        <v>2385</v>
      </c>
      <c r="D458" s="7" t="s">
        <v>34</v>
      </c>
      <c r="E458" s="7" t="s">
        <v>2386</v>
      </c>
      <c r="F458" s="7">
        <v>294.0</v>
      </c>
      <c r="G458" s="7" t="s">
        <v>21</v>
      </c>
      <c r="H458" s="7" t="s">
        <v>2303</v>
      </c>
      <c r="I458" s="8">
        <v>46177.0</v>
      </c>
      <c r="J458" s="45" t="s">
        <v>23</v>
      </c>
      <c r="K458" s="7"/>
      <c r="L458" s="10">
        <v>0.4166666666666667</v>
      </c>
      <c r="M458" s="10">
        <v>0.875</v>
      </c>
      <c r="N458" s="50" t="s">
        <v>2387</v>
      </c>
      <c r="O458" s="51">
        <v>-7.2807822E7</v>
      </c>
      <c r="P458" s="51">
        <v>1.127790755E9</v>
      </c>
      <c r="Q458" s="68" t="s">
        <v>2388</v>
      </c>
      <c r="R458" s="66"/>
      <c r="S458" s="66"/>
      <c r="T458" s="66"/>
      <c r="U458" s="66"/>
      <c r="V458" s="66"/>
      <c r="W458" s="66"/>
      <c r="X458" s="66"/>
      <c r="Y458" s="66"/>
      <c r="Z458" s="66"/>
      <c r="AA458" s="66"/>
      <c r="AB458" s="66"/>
      <c r="AC458" s="66"/>
      <c r="AD458" s="66"/>
      <c r="AE458" s="66"/>
    </row>
    <row r="459">
      <c r="A459" s="13">
        <f t="shared" si="1"/>
        <v>458</v>
      </c>
      <c r="B459" s="7" t="s">
        <v>2389</v>
      </c>
      <c r="C459" s="7" t="s">
        <v>2390</v>
      </c>
      <c r="D459" s="7" t="s">
        <v>34</v>
      </c>
      <c r="E459" s="7" t="s">
        <v>2391</v>
      </c>
      <c r="F459" s="7">
        <v>63.0</v>
      </c>
      <c r="G459" s="7" t="s">
        <v>21</v>
      </c>
      <c r="H459" s="7" t="s">
        <v>2303</v>
      </c>
      <c r="I459" s="8">
        <v>46238.0</v>
      </c>
      <c r="J459" s="45" t="s">
        <v>65</v>
      </c>
      <c r="K459" s="7" t="s">
        <v>66</v>
      </c>
      <c r="L459" s="10">
        <v>0.25</v>
      </c>
      <c r="M459" s="10">
        <v>0.625</v>
      </c>
      <c r="N459" s="7" t="s">
        <v>2392</v>
      </c>
      <c r="O459" s="67">
        <v>-7281273.0</v>
      </c>
      <c r="P459" s="67">
        <v>1.127582204E9</v>
      </c>
      <c r="Q459" s="68" t="s">
        <v>2393</v>
      </c>
      <c r="R459" s="66"/>
      <c r="S459" s="66"/>
      <c r="T459" s="66"/>
      <c r="U459" s="66"/>
      <c r="V459" s="66"/>
      <c r="W459" s="66"/>
      <c r="X459" s="66"/>
      <c r="Y459" s="66"/>
      <c r="Z459" s="66"/>
      <c r="AA459" s="66"/>
      <c r="AB459" s="66"/>
      <c r="AC459" s="66"/>
      <c r="AD459" s="66"/>
      <c r="AE459" s="66"/>
    </row>
    <row r="460">
      <c r="A460" s="13">
        <f t="shared" si="1"/>
        <v>459</v>
      </c>
      <c r="B460" s="7" t="s">
        <v>2394</v>
      </c>
      <c r="C460" s="7" t="s">
        <v>2395</v>
      </c>
      <c r="D460" s="7" t="s">
        <v>34</v>
      </c>
      <c r="E460" s="7" t="s">
        <v>2396</v>
      </c>
      <c r="F460" s="7">
        <v>1552.0</v>
      </c>
      <c r="G460" s="7" t="s">
        <v>21</v>
      </c>
      <c r="H460" s="7" t="s">
        <v>2303</v>
      </c>
      <c r="I460" s="8">
        <v>46269.0</v>
      </c>
      <c r="J460" s="45" t="s">
        <v>23</v>
      </c>
      <c r="K460" s="66"/>
      <c r="L460" s="10">
        <v>0.375</v>
      </c>
      <c r="M460" s="10">
        <v>0.9166666666666666</v>
      </c>
      <c r="N460" s="7" t="s">
        <v>2397</v>
      </c>
      <c r="O460" s="67">
        <v>-7.3183761E7</v>
      </c>
      <c r="P460" s="67">
        <v>1.12715751E8</v>
      </c>
      <c r="Q460" s="68" t="s">
        <v>2398</v>
      </c>
      <c r="R460" s="66"/>
      <c r="S460" s="66"/>
      <c r="T460" s="66"/>
      <c r="U460" s="66"/>
      <c r="V460" s="66"/>
      <c r="W460" s="66"/>
      <c r="X460" s="66"/>
      <c r="Y460" s="66"/>
      <c r="Z460" s="66"/>
      <c r="AA460" s="66"/>
      <c r="AB460" s="66"/>
      <c r="AC460" s="66"/>
      <c r="AD460" s="66"/>
      <c r="AE460" s="66"/>
    </row>
    <row r="461">
      <c r="A461" s="13">
        <f t="shared" si="1"/>
        <v>460</v>
      </c>
      <c r="B461" s="7" t="s">
        <v>2399</v>
      </c>
      <c r="C461" s="7" t="s">
        <v>2400</v>
      </c>
      <c r="D461" s="7" t="s">
        <v>34</v>
      </c>
      <c r="E461" s="7" t="s">
        <v>2401</v>
      </c>
      <c r="F461" s="7">
        <v>62.0</v>
      </c>
      <c r="G461" s="7" t="s">
        <v>21</v>
      </c>
      <c r="H461" s="7" t="s">
        <v>2303</v>
      </c>
      <c r="I461" s="8">
        <v>46146.0</v>
      </c>
      <c r="J461" s="45" t="s">
        <v>23</v>
      </c>
      <c r="K461" s="7"/>
      <c r="L461" s="10">
        <v>0.4166666666666667</v>
      </c>
      <c r="M461" s="10">
        <v>0.9166666666666666</v>
      </c>
      <c r="N461" s="7" t="s">
        <v>2402</v>
      </c>
      <c r="O461" s="67">
        <v>-7.3365032E7</v>
      </c>
      <c r="P461" s="67">
        <v>1.127378343E9</v>
      </c>
      <c r="Q461" s="68" t="s">
        <v>2403</v>
      </c>
      <c r="R461" s="66"/>
      <c r="S461" s="66"/>
      <c r="T461" s="66"/>
      <c r="U461" s="66"/>
      <c r="V461" s="66"/>
      <c r="W461" s="66"/>
      <c r="X461" s="66"/>
      <c r="Y461" s="66"/>
      <c r="Z461" s="66"/>
      <c r="AA461" s="66"/>
      <c r="AB461" s="66"/>
      <c r="AC461" s="66"/>
      <c r="AD461" s="66"/>
      <c r="AE461" s="66"/>
    </row>
    <row r="462">
      <c r="A462" s="13">
        <f t="shared" si="1"/>
        <v>461</v>
      </c>
      <c r="B462" s="45" t="s">
        <v>2404</v>
      </c>
      <c r="C462" s="45" t="s">
        <v>2405</v>
      </c>
      <c r="D462" s="45" t="s">
        <v>19</v>
      </c>
      <c r="E462" s="45" t="s">
        <v>2406</v>
      </c>
      <c r="F462" s="28">
        <v>1656.0</v>
      </c>
      <c r="G462" s="45" t="s">
        <v>21</v>
      </c>
      <c r="H462" s="45">
        <v>80000.0</v>
      </c>
      <c r="I462" s="29">
        <v>46207.0</v>
      </c>
      <c r="J462" s="45" t="s">
        <v>23</v>
      </c>
      <c r="K462" s="46"/>
      <c r="L462" s="47">
        <v>0.0</v>
      </c>
      <c r="M462" s="47">
        <v>0.9993055555555556</v>
      </c>
      <c r="N462" s="48" t="s">
        <v>2407</v>
      </c>
      <c r="O462" s="33" t="s">
        <v>2408</v>
      </c>
      <c r="P462" s="34" t="s">
        <v>2409</v>
      </c>
      <c r="Q462" s="69" t="s">
        <v>2410</v>
      </c>
      <c r="R462" s="26"/>
      <c r="S462" s="26"/>
      <c r="T462" s="26"/>
      <c r="U462" s="26"/>
      <c r="V462" s="26"/>
      <c r="W462" s="26"/>
      <c r="X462" s="26"/>
      <c r="Y462" s="26"/>
      <c r="Z462" s="26"/>
      <c r="AA462" s="26"/>
      <c r="AB462" s="26"/>
      <c r="AC462" s="26"/>
      <c r="AD462" s="26"/>
      <c r="AE462" s="26"/>
    </row>
    <row r="463">
      <c r="A463" s="13">
        <f t="shared" si="1"/>
        <v>462</v>
      </c>
      <c r="B463" s="28" t="s">
        <v>2411</v>
      </c>
      <c r="C463" s="28" t="s">
        <v>2412</v>
      </c>
      <c r="D463" s="28" t="s">
        <v>34</v>
      </c>
      <c r="E463" s="28" t="s">
        <v>2413</v>
      </c>
      <c r="F463" s="28">
        <v>2246.0</v>
      </c>
      <c r="G463" s="28" t="s">
        <v>21</v>
      </c>
      <c r="H463" s="28">
        <v>25000.0</v>
      </c>
      <c r="I463" s="29">
        <v>46207.0</v>
      </c>
      <c r="J463" s="28" t="s">
        <v>23</v>
      </c>
      <c r="K463" s="30"/>
      <c r="L463" s="31">
        <v>0.25</v>
      </c>
      <c r="M463" s="31">
        <v>0.875</v>
      </c>
      <c r="N463" s="32" t="s">
        <v>2414</v>
      </c>
      <c r="O463" s="33" t="s">
        <v>2415</v>
      </c>
      <c r="P463" s="34" t="s">
        <v>2416</v>
      </c>
      <c r="Q463" s="15" t="s">
        <v>2417</v>
      </c>
      <c r="R463" s="26"/>
      <c r="S463" s="26"/>
      <c r="T463" s="26"/>
      <c r="U463" s="26"/>
      <c r="V463" s="26"/>
      <c r="W463" s="26"/>
      <c r="X463" s="26"/>
      <c r="Y463" s="26"/>
      <c r="Z463" s="26"/>
      <c r="AA463" s="26"/>
      <c r="AB463" s="26"/>
      <c r="AC463" s="26"/>
      <c r="AD463" s="26"/>
      <c r="AE463" s="26"/>
    </row>
    <row r="464">
      <c r="A464" s="13">
        <f t="shared" si="1"/>
        <v>463</v>
      </c>
      <c r="B464" s="7" t="s">
        <v>2418</v>
      </c>
      <c r="C464" s="7" t="s">
        <v>2419</v>
      </c>
      <c r="D464" s="7" t="s">
        <v>34</v>
      </c>
      <c r="E464" s="7" t="s">
        <v>2420</v>
      </c>
      <c r="F464" s="7">
        <v>3322.0</v>
      </c>
      <c r="G464" s="7" t="s">
        <v>21</v>
      </c>
      <c r="H464" s="7" t="s">
        <v>72</v>
      </c>
      <c r="I464" s="8">
        <v>46177.0</v>
      </c>
      <c r="J464" s="16" t="s">
        <v>23</v>
      </c>
      <c r="K464" s="7"/>
      <c r="L464" s="10">
        <v>0.4166666666666667</v>
      </c>
      <c r="M464" s="10">
        <v>0.875</v>
      </c>
      <c r="N464" s="7" t="s">
        <v>2421</v>
      </c>
      <c r="O464" s="67">
        <v>-7.2886942E7</v>
      </c>
      <c r="P464" s="67">
        <v>1.127091512E9</v>
      </c>
      <c r="Q464" s="68" t="s">
        <v>2422</v>
      </c>
      <c r="R464" s="66"/>
      <c r="S464" s="66"/>
      <c r="T464" s="66"/>
      <c r="U464" s="66"/>
      <c r="V464" s="66"/>
      <c r="W464" s="66"/>
      <c r="X464" s="66"/>
      <c r="Y464" s="66"/>
      <c r="Z464" s="66"/>
      <c r="AA464" s="66"/>
      <c r="AB464" s="66"/>
      <c r="AC464" s="66"/>
      <c r="AD464" s="66"/>
      <c r="AE464" s="66"/>
    </row>
    <row r="465">
      <c r="A465" s="13">
        <f t="shared" si="1"/>
        <v>464</v>
      </c>
      <c r="B465" s="7" t="s">
        <v>2423</v>
      </c>
      <c r="C465" s="7" t="s">
        <v>2424</v>
      </c>
      <c r="D465" s="7" t="s">
        <v>34</v>
      </c>
      <c r="E465" s="7" t="s">
        <v>2425</v>
      </c>
      <c r="F465" s="7">
        <v>1700.0</v>
      </c>
      <c r="G465" s="7" t="s">
        <v>21</v>
      </c>
      <c r="H465" s="7" t="s">
        <v>72</v>
      </c>
      <c r="I465" s="8">
        <v>46116.0</v>
      </c>
      <c r="J465" s="16" t="s">
        <v>23</v>
      </c>
      <c r="K465" s="7"/>
      <c r="L465" s="10">
        <v>0.5416666666666666</v>
      </c>
      <c r="M465" s="10">
        <v>0.041666666666666664</v>
      </c>
      <c r="N465" s="7" t="s">
        <v>2426</v>
      </c>
      <c r="O465" s="67">
        <v>-7.2887909E7</v>
      </c>
      <c r="P465" s="67">
        <v>1.127555506E9</v>
      </c>
      <c r="Q465" s="68" t="s">
        <v>2427</v>
      </c>
      <c r="R465" s="66"/>
      <c r="S465" s="66"/>
      <c r="T465" s="66"/>
      <c r="U465" s="66"/>
      <c r="V465" s="66"/>
      <c r="W465" s="66"/>
      <c r="X465" s="66"/>
      <c r="Y465" s="66"/>
      <c r="Z465" s="66"/>
      <c r="AA465" s="66"/>
      <c r="AB465" s="66"/>
      <c r="AC465" s="66"/>
      <c r="AD465" s="66"/>
      <c r="AE465" s="66"/>
    </row>
    <row r="466">
      <c r="A466" s="13">
        <f t="shared" si="1"/>
        <v>465</v>
      </c>
      <c r="B466" s="7" t="s">
        <v>2428</v>
      </c>
      <c r="C466" s="7" t="s">
        <v>2429</v>
      </c>
      <c r="D466" s="7" t="s">
        <v>34</v>
      </c>
      <c r="E466" s="7" t="s">
        <v>2430</v>
      </c>
      <c r="F466" s="7">
        <v>59.0</v>
      </c>
      <c r="G466" s="7" t="s">
        <v>21</v>
      </c>
      <c r="H466" s="7" t="s">
        <v>2324</v>
      </c>
      <c r="I466" s="8">
        <v>46269.0</v>
      </c>
      <c r="J466" s="16" t="s">
        <v>23</v>
      </c>
      <c r="K466" s="7"/>
      <c r="L466" s="10">
        <v>0.4166666666666667</v>
      </c>
      <c r="M466" s="10">
        <v>0.9166666666666666</v>
      </c>
      <c r="N466" s="7" t="s">
        <v>2431</v>
      </c>
      <c r="O466" s="67">
        <v>-7277629.0</v>
      </c>
      <c r="P466" s="67">
        <v>1.12755673E8</v>
      </c>
      <c r="Q466" s="68" t="s">
        <v>2432</v>
      </c>
      <c r="R466" s="66"/>
      <c r="S466" s="66"/>
      <c r="T466" s="66"/>
      <c r="U466" s="66"/>
      <c r="V466" s="66"/>
      <c r="W466" s="66"/>
      <c r="X466" s="66"/>
      <c r="Y466" s="66"/>
      <c r="Z466" s="66"/>
      <c r="AA466" s="66"/>
      <c r="AB466" s="66"/>
      <c r="AC466" s="66"/>
      <c r="AD466" s="66"/>
      <c r="AE466" s="66"/>
    </row>
    <row r="467">
      <c r="A467" s="13">
        <f t="shared" si="1"/>
        <v>466</v>
      </c>
      <c r="B467" s="7" t="s">
        <v>2433</v>
      </c>
      <c r="C467" s="7" t="s">
        <v>2434</v>
      </c>
      <c r="D467" s="7" t="s">
        <v>34</v>
      </c>
      <c r="E467" s="7" t="s">
        <v>2435</v>
      </c>
      <c r="F467" s="7">
        <v>3701.0</v>
      </c>
      <c r="G467" s="7" t="s">
        <v>21</v>
      </c>
      <c r="H467" s="7" t="s">
        <v>2324</v>
      </c>
      <c r="I467" s="8">
        <v>46207.0</v>
      </c>
      <c r="J467" s="16" t="s">
        <v>23</v>
      </c>
      <c r="K467" s="7"/>
      <c r="L467" s="10">
        <v>0.4166666666666667</v>
      </c>
      <c r="M467" s="10">
        <v>0.041666666666666664</v>
      </c>
      <c r="N467" s="7" t="s">
        <v>2436</v>
      </c>
      <c r="O467" s="67">
        <v>-7264601.0</v>
      </c>
      <c r="P467" s="67">
        <v>1.127959913E9</v>
      </c>
      <c r="Q467" s="68" t="s">
        <v>2437</v>
      </c>
      <c r="R467" s="66"/>
      <c r="S467" s="66"/>
      <c r="T467" s="66"/>
      <c r="U467" s="66"/>
      <c r="V467" s="66"/>
      <c r="W467" s="66"/>
      <c r="X467" s="66"/>
      <c r="Y467" s="66"/>
      <c r="Z467" s="66"/>
      <c r="AA467" s="66"/>
      <c r="AB467" s="66"/>
      <c r="AC467" s="66"/>
      <c r="AD467" s="66"/>
      <c r="AE467" s="66"/>
    </row>
    <row r="468">
      <c r="A468" s="13">
        <f t="shared" si="1"/>
        <v>467</v>
      </c>
      <c r="B468" s="7" t="s">
        <v>2438</v>
      </c>
      <c r="C468" s="7" t="s">
        <v>2439</v>
      </c>
      <c r="D468" s="7" t="s">
        <v>46</v>
      </c>
      <c r="E468" s="7" t="s">
        <v>2440</v>
      </c>
      <c r="F468" s="7">
        <v>26.0</v>
      </c>
      <c r="G468" s="7" t="s">
        <v>21</v>
      </c>
      <c r="H468" s="7">
        <v>0.0</v>
      </c>
      <c r="I468" s="8">
        <v>46207.0</v>
      </c>
      <c r="J468" s="16" t="s">
        <v>23</v>
      </c>
      <c r="K468" s="7"/>
      <c r="L468" s="10">
        <v>0.0</v>
      </c>
      <c r="M468" s="10">
        <v>0.9993055555555556</v>
      </c>
      <c r="N468" s="7" t="s">
        <v>2441</v>
      </c>
      <c r="O468" s="67">
        <v>-7.2644593E7</v>
      </c>
      <c r="P468" s="67">
        <v>1.127456248E9</v>
      </c>
      <c r="Q468" s="68" t="s">
        <v>2442</v>
      </c>
      <c r="R468" s="66"/>
      <c r="S468" s="66"/>
      <c r="T468" s="66"/>
      <c r="U468" s="66"/>
      <c r="V468" s="66"/>
      <c r="W468" s="66"/>
      <c r="X468" s="66"/>
      <c r="Y468" s="66"/>
      <c r="Z468" s="66"/>
      <c r="AA468" s="66"/>
      <c r="AB468" s="66"/>
      <c r="AC468" s="66"/>
      <c r="AD468" s="66"/>
      <c r="AE468" s="66"/>
    </row>
    <row r="469">
      <c r="A469" s="13">
        <f t="shared" si="1"/>
        <v>468</v>
      </c>
      <c r="B469" s="7" t="s">
        <v>2443</v>
      </c>
      <c r="C469" s="7" t="s">
        <v>2444</v>
      </c>
      <c r="D469" s="7" t="s">
        <v>46</v>
      </c>
      <c r="E469" s="7" t="s">
        <v>2445</v>
      </c>
      <c r="F469" s="7">
        <v>369.0</v>
      </c>
      <c r="G469" s="7" t="s">
        <v>21</v>
      </c>
      <c r="H469" s="7">
        <v>0.0</v>
      </c>
      <c r="I469" s="8">
        <v>46146.0</v>
      </c>
      <c r="J469" s="16" t="s">
        <v>23</v>
      </c>
      <c r="K469" s="7"/>
      <c r="L469" s="10">
        <v>0.3125</v>
      </c>
      <c r="M469" s="10">
        <v>0.6666666666666666</v>
      </c>
      <c r="N469" s="7" t="s">
        <v>2446</v>
      </c>
      <c r="O469" s="67">
        <v>-7.2573072E7</v>
      </c>
      <c r="P469" s="67">
        <v>1.127437199E9</v>
      </c>
      <c r="Q469" s="68" t="s">
        <v>2447</v>
      </c>
      <c r="R469" s="66"/>
      <c r="S469" s="66"/>
      <c r="T469" s="66"/>
      <c r="U469" s="66"/>
      <c r="V469" s="66"/>
      <c r="W469" s="66"/>
      <c r="X469" s="66"/>
      <c r="Y469" s="66"/>
      <c r="Z469" s="66"/>
      <c r="AA469" s="66"/>
      <c r="AB469" s="66"/>
      <c r="AC469" s="66"/>
      <c r="AD469" s="66"/>
      <c r="AE469" s="66"/>
    </row>
    <row r="470">
      <c r="A470" s="13">
        <f t="shared" si="1"/>
        <v>469</v>
      </c>
      <c r="B470" s="45" t="s">
        <v>2448</v>
      </c>
      <c r="C470" s="45" t="s">
        <v>2449</v>
      </c>
      <c r="D470" s="45" t="s">
        <v>46</v>
      </c>
      <c r="E470" s="45" t="s">
        <v>2450</v>
      </c>
      <c r="F470" s="28">
        <v>704.0</v>
      </c>
      <c r="G470" s="45" t="s">
        <v>21</v>
      </c>
      <c r="H470" s="45">
        <v>0.0</v>
      </c>
      <c r="I470" s="29">
        <v>46177.0</v>
      </c>
      <c r="J470" s="45" t="s">
        <v>388</v>
      </c>
      <c r="K470" s="45" t="s">
        <v>59</v>
      </c>
      <c r="L470" s="47">
        <v>0.375</v>
      </c>
      <c r="M470" s="47">
        <v>0.6666666666666666</v>
      </c>
      <c r="N470" s="48" t="s">
        <v>2451</v>
      </c>
      <c r="O470" s="33" t="s">
        <v>2452</v>
      </c>
      <c r="P470" s="34" t="s">
        <v>2453</v>
      </c>
      <c r="Q470" s="69" t="s">
        <v>2454</v>
      </c>
      <c r="R470" s="26"/>
      <c r="S470" s="26"/>
      <c r="T470" s="26"/>
      <c r="U470" s="26"/>
      <c r="V470" s="26"/>
      <c r="W470" s="26"/>
      <c r="X470" s="26"/>
      <c r="Y470" s="26"/>
      <c r="Z470" s="26"/>
      <c r="AA470" s="26"/>
      <c r="AB470" s="26"/>
      <c r="AC470" s="26"/>
      <c r="AD470" s="26"/>
      <c r="AE470" s="26"/>
    </row>
    <row r="471">
      <c r="A471" s="13">
        <f t="shared" si="1"/>
        <v>470</v>
      </c>
      <c r="B471" s="7" t="s">
        <v>2455</v>
      </c>
      <c r="C471" s="7" t="s">
        <v>2456</v>
      </c>
      <c r="D471" s="7" t="s">
        <v>34</v>
      </c>
      <c r="E471" s="7" t="s">
        <v>2457</v>
      </c>
      <c r="F471" s="7">
        <v>151.0</v>
      </c>
      <c r="G471" s="7" t="s">
        <v>21</v>
      </c>
      <c r="H471" s="7" t="s">
        <v>36</v>
      </c>
      <c r="I471" s="8">
        <v>46238.0</v>
      </c>
      <c r="J471" s="16" t="s">
        <v>23</v>
      </c>
      <c r="K471" s="7"/>
      <c r="L471" s="10">
        <v>0.4583333333333333</v>
      </c>
      <c r="M471" s="10">
        <v>0.875</v>
      </c>
      <c r="N471" s="7" t="s">
        <v>2458</v>
      </c>
      <c r="O471" s="67">
        <v>-7.2478838E7</v>
      </c>
      <c r="P471" s="67">
        <v>1.127795224E9</v>
      </c>
      <c r="Q471" s="68" t="s">
        <v>2459</v>
      </c>
      <c r="R471" s="66"/>
      <c r="S471" s="66"/>
      <c r="T471" s="66"/>
      <c r="U471" s="66"/>
      <c r="V471" s="66"/>
      <c r="W471" s="66"/>
      <c r="X471" s="66"/>
      <c r="Y471" s="66"/>
      <c r="Z471" s="66"/>
      <c r="AA471" s="66"/>
      <c r="AB471" s="66"/>
      <c r="AC471" s="66"/>
      <c r="AD471" s="66"/>
      <c r="AE471" s="66"/>
    </row>
    <row r="472">
      <c r="A472" s="13">
        <f t="shared" si="1"/>
        <v>471</v>
      </c>
      <c r="B472" s="7" t="s">
        <v>2460</v>
      </c>
      <c r="C472" s="7" t="s">
        <v>2461</v>
      </c>
      <c r="D472" s="7" t="s">
        <v>34</v>
      </c>
      <c r="E472" s="7" t="s">
        <v>2462</v>
      </c>
      <c r="F472" s="7">
        <v>470.0</v>
      </c>
      <c r="G472" s="7" t="s">
        <v>21</v>
      </c>
      <c r="H472" s="7" t="s">
        <v>36</v>
      </c>
      <c r="I472" s="8">
        <v>46238.0</v>
      </c>
      <c r="J472" s="16" t="s">
        <v>23</v>
      </c>
      <c r="K472" s="7"/>
      <c r="L472" s="10">
        <v>0.25</v>
      </c>
      <c r="M472" s="10">
        <v>0.9166666666666666</v>
      </c>
      <c r="N472" s="7" t="s">
        <v>2463</v>
      </c>
      <c r="O472" s="67">
        <v>-7.2861537E7</v>
      </c>
      <c r="P472" s="67">
        <v>1.127861373E9</v>
      </c>
      <c r="Q472" s="68" t="s">
        <v>2464</v>
      </c>
      <c r="R472" s="66"/>
      <c r="S472" s="66"/>
      <c r="T472" s="66"/>
      <c r="U472" s="66"/>
      <c r="V472" s="66"/>
      <c r="W472" s="66"/>
      <c r="X472" s="66"/>
      <c r="Y472" s="66"/>
      <c r="Z472" s="66"/>
      <c r="AA472" s="66"/>
      <c r="AB472" s="66"/>
      <c r="AC472" s="66"/>
      <c r="AD472" s="66"/>
      <c r="AE472" s="66"/>
    </row>
    <row r="473">
      <c r="A473" s="13">
        <f t="shared" si="1"/>
        <v>472</v>
      </c>
      <c r="B473" s="7" t="s">
        <v>2465</v>
      </c>
      <c r="C473" s="7" t="s">
        <v>2466</v>
      </c>
      <c r="D473" s="7" t="s">
        <v>19</v>
      </c>
      <c r="E473" s="7" t="s">
        <v>2467</v>
      </c>
      <c r="F473" s="7">
        <v>311.0</v>
      </c>
      <c r="G473" s="7" t="s">
        <v>21</v>
      </c>
      <c r="H473" s="7" t="s">
        <v>2324</v>
      </c>
      <c r="I473" s="8">
        <v>46207.0</v>
      </c>
      <c r="J473" s="16" t="s">
        <v>23</v>
      </c>
      <c r="K473" s="7"/>
      <c r="L473" s="10">
        <v>0.375</v>
      </c>
      <c r="M473" s="10">
        <v>0.0</v>
      </c>
      <c r="N473" s="7" t="s">
        <v>2468</v>
      </c>
      <c r="O473" s="67">
        <v>-7.2893849E7</v>
      </c>
      <c r="P473" s="67">
        <v>1.127573433E9</v>
      </c>
      <c r="Q473" s="68" t="s">
        <v>2469</v>
      </c>
      <c r="R473" s="66"/>
      <c r="S473" s="66"/>
      <c r="T473" s="66"/>
      <c r="U473" s="66"/>
      <c r="V473" s="66"/>
      <c r="W473" s="66"/>
      <c r="X473" s="66"/>
      <c r="Y473" s="66"/>
      <c r="Z473" s="66"/>
      <c r="AA473" s="66"/>
      <c r="AB473" s="66"/>
      <c r="AC473" s="66"/>
      <c r="AD473" s="66"/>
      <c r="AE473" s="66"/>
    </row>
    <row r="474">
      <c r="A474" s="13">
        <f t="shared" si="1"/>
        <v>473</v>
      </c>
      <c r="B474" s="7" t="s">
        <v>2470</v>
      </c>
      <c r="C474" s="7" t="s">
        <v>2471</v>
      </c>
      <c r="D474" s="7" t="s">
        <v>46</v>
      </c>
      <c r="E474" s="7" t="s">
        <v>2472</v>
      </c>
      <c r="F474" s="7">
        <v>215.0</v>
      </c>
      <c r="G474" s="7" t="s">
        <v>21</v>
      </c>
      <c r="H474" s="7" t="s">
        <v>2324</v>
      </c>
      <c r="I474" s="8">
        <v>46177.0</v>
      </c>
      <c r="J474" s="16" t="s">
        <v>23</v>
      </c>
      <c r="K474" s="7"/>
      <c r="L474" s="10">
        <v>0.4166666666666667</v>
      </c>
      <c r="M474" s="10">
        <v>0.90625</v>
      </c>
      <c r="N474" s="7" t="s">
        <v>2473</v>
      </c>
      <c r="O474" s="67">
        <v>-7.2775095E7</v>
      </c>
      <c r="P474" s="67">
        <v>1.127656871E9</v>
      </c>
      <c r="Q474" s="68" t="s">
        <v>2474</v>
      </c>
      <c r="R474" s="66"/>
      <c r="S474" s="66"/>
      <c r="T474" s="66"/>
      <c r="U474" s="66"/>
      <c r="V474" s="66"/>
      <c r="W474" s="66"/>
      <c r="X474" s="66"/>
      <c r="Y474" s="66"/>
      <c r="Z474" s="66"/>
      <c r="AA474" s="66"/>
      <c r="AB474" s="66"/>
      <c r="AC474" s="66"/>
      <c r="AD474" s="66"/>
      <c r="AE474" s="66"/>
    </row>
    <row r="475">
      <c r="A475" s="13">
        <f t="shared" si="1"/>
        <v>474</v>
      </c>
      <c r="B475" s="7" t="s">
        <v>2475</v>
      </c>
      <c r="C475" s="7" t="s">
        <v>2476</v>
      </c>
      <c r="D475" s="7" t="s">
        <v>46</v>
      </c>
      <c r="E475" s="7" t="s">
        <v>2477</v>
      </c>
      <c r="F475" s="7">
        <v>6.0</v>
      </c>
      <c r="G475" s="7" t="s">
        <v>21</v>
      </c>
      <c r="H475" s="7">
        <v>0.0</v>
      </c>
      <c r="I475" s="7">
        <v>5.0</v>
      </c>
      <c r="J475" s="16" t="s">
        <v>23</v>
      </c>
      <c r="K475" s="7"/>
      <c r="L475" s="10">
        <v>0.0</v>
      </c>
      <c r="M475" s="10">
        <v>0.9993055555555556</v>
      </c>
      <c r="N475" s="7" t="s">
        <v>2478</v>
      </c>
      <c r="O475" s="67">
        <v>-7.2908996E7</v>
      </c>
      <c r="P475" s="67">
        <v>1.12786073E8</v>
      </c>
      <c r="Q475" s="68" t="s">
        <v>2479</v>
      </c>
      <c r="R475" s="66"/>
      <c r="S475" s="66"/>
      <c r="T475" s="66"/>
      <c r="U475" s="66"/>
      <c r="V475" s="66"/>
      <c r="W475" s="66"/>
      <c r="X475" s="66"/>
      <c r="Y475" s="66"/>
      <c r="Z475" s="66"/>
      <c r="AA475" s="66"/>
      <c r="AB475" s="66"/>
      <c r="AC475" s="66"/>
      <c r="AD475" s="66"/>
      <c r="AE475" s="66"/>
    </row>
    <row r="476">
      <c r="A476" s="13">
        <f t="shared" si="1"/>
        <v>475</v>
      </c>
      <c r="B476" s="7" t="s">
        <v>2480</v>
      </c>
      <c r="C476" s="7" t="s">
        <v>2481</v>
      </c>
      <c r="D476" s="7" t="s">
        <v>46</v>
      </c>
      <c r="E476" s="7" t="s">
        <v>2482</v>
      </c>
      <c r="F476" s="7">
        <v>7360.0</v>
      </c>
      <c r="G476" s="7" t="s">
        <v>21</v>
      </c>
      <c r="H476" s="7">
        <v>0.0</v>
      </c>
      <c r="I476" s="8">
        <v>46146.0</v>
      </c>
      <c r="J476" s="16" t="s">
        <v>23</v>
      </c>
      <c r="K476" s="7"/>
      <c r="L476" s="10">
        <v>0.0</v>
      </c>
      <c r="M476" s="10">
        <v>0.9993055555555556</v>
      </c>
      <c r="N476" s="7" t="s">
        <v>2483</v>
      </c>
      <c r="O476" s="67">
        <v>-7.3014893E7</v>
      </c>
      <c r="P476" s="67">
        <v>1.126749246E9</v>
      </c>
      <c r="Q476" s="68" t="s">
        <v>2484</v>
      </c>
      <c r="R476" s="66"/>
      <c r="S476" s="66"/>
      <c r="T476" s="66"/>
      <c r="U476" s="66"/>
      <c r="V476" s="66"/>
      <c r="W476" s="66"/>
      <c r="X476" s="66"/>
      <c r="Y476" s="66"/>
      <c r="Z476" s="66"/>
      <c r="AA476" s="66"/>
      <c r="AB476" s="66"/>
      <c r="AC476" s="66"/>
      <c r="AD476" s="66"/>
      <c r="AE476" s="66"/>
    </row>
    <row r="477">
      <c r="A477" s="13">
        <f t="shared" si="1"/>
        <v>476</v>
      </c>
      <c r="B477" s="7" t="s">
        <v>2485</v>
      </c>
      <c r="C477" s="7" t="s">
        <v>2486</v>
      </c>
      <c r="D477" s="7" t="s">
        <v>46</v>
      </c>
      <c r="E477" s="7" t="s">
        <v>2487</v>
      </c>
      <c r="F477" s="7">
        <v>129.0</v>
      </c>
      <c r="G477" s="7" t="s">
        <v>21</v>
      </c>
      <c r="H477" s="7">
        <v>0.0</v>
      </c>
      <c r="I477" s="8">
        <v>46057.0</v>
      </c>
      <c r="J477" s="16" t="s">
        <v>23</v>
      </c>
      <c r="K477" s="7"/>
      <c r="L477" s="10">
        <v>0.0</v>
      </c>
      <c r="M477" s="10">
        <v>0.9993055555555556</v>
      </c>
      <c r="N477" s="7" t="s">
        <v>2488</v>
      </c>
      <c r="O477" s="67">
        <v>-7.2662139E7</v>
      </c>
      <c r="P477" s="67">
        <v>1.12795281E8</v>
      </c>
      <c r="Q477" s="68" t="s">
        <v>2489</v>
      </c>
      <c r="R477" s="66"/>
      <c r="S477" s="66"/>
      <c r="T477" s="66"/>
      <c r="U477" s="66"/>
      <c r="V477" s="66"/>
      <c r="W477" s="66"/>
      <c r="X477" s="66"/>
      <c r="Y477" s="66"/>
      <c r="Z477" s="66"/>
      <c r="AA477" s="66"/>
      <c r="AB477" s="66"/>
      <c r="AC477" s="66"/>
      <c r="AD477" s="66"/>
      <c r="AE477" s="66"/>
    </row>
    <row r="478">
      <c r="A478" s="13">
        <f t="shared" si="1"/>
        <v>477</v>
      </c>
      <c r="B478" s="7" t="s">
        <v>2490</v>
      </c>
      <c r="C478" s="7" t="s">
        <v>2491</v>
      </c>
      <c r="D478" s="7" t="s">
        <v>34</v>
      </c>
      <c r="E478" s="7" t="s">
        <v>2492</v>
      </c>
      <c r="F478" s="7">
        <v>20.0</v>
      </c>
      <c r="G478" s="7" t="s">
        <v>21</v>
      </c>
      <c r="H478" s="7" t="s">
        <v>2324</v>
      </c>
      <c r="I478" s="8">
        <v>46238.0</v>
      </c>
      <c r="J478" s="16" t="s">
        <v>23</v>
      </c>
      <c r="K478" s="7"/>
      <c r="L478" s="10">
        <v>0.3333333333333333</v>
      </c>
      <c r="M478" s="10">
        <v>0.8541666666666666</v>
      </c>
      <c r="N478" s="7" t="s">
        <v>2493</v>
      </c>
      <c r="O478" s="67">
        <v>-7.2789121E7</v>
      </c>
      <c r="P478" s="67">
        <v>1.127543596E9</v>
      </c>
      <c r="Q478" s="68" t="s">
        <v>2494</v>
      </c>
      <c r="R478" s="66"/>
      <c r="S478" s="66"/>
      <c r="T478" s="66"/>
      <c r="U478" s="66"/>
      <c r="V478" s="66"/>
      <c r="W478" s="66"/>
      <c r="X478" s="66"/>
      <c r="Y478" s="66"/>
      <c r="Z478" s="66"/>
      <c r="AA478" s="66"/>
      <c r="AB478" s="66"/>
      <c r="AC478" s="66"/>
      <c r="AD478" s="66"/>
      <c r="AE478" s="66"/>
    </row>
    <row r="479">
      <c r="A479" s="13">
        <f t="shared" si="1"/>
        <v>478</v>
      </c>
      <c r="B479" s="7" t="s">
        <v>2495</v>
      </c>
      <c r="C479" s="7" t="s">
        <v>2496</v>
      </c>
      <c r="D479" s="7" t="s">
        <v>34</v>
      </c>
      <c r="E479" s="7" t="s">
        <v>2497</v>
      </c>
      <c r="F479" s="7">
        <v>391.0</v>
      </c>
      <c r="G479" s="7" t="s">
        <v>21</v>
      </c>
      <c r="H479" s="7" t="s">
        <v>2303</v>
      </c>
      <c r="I479" s="8">
        <v>46177.0</v>
      </c>
      <c r="J479" s="16" t="s">
        <v>23</v>
      </c>
      <c r="K479" s="7"/>
      <c r="L479" s="10">
        <v>0.25</v>
      </c>
      <c r="M479" s="10">
        <v>0.4375</v>
      </c>
      <c r="N479" s="7" t="s">
        <v>2498</v>
      </c>
      <c r="O479" s="67">
        <v>-7.2579295E7</v>
      </c>
      <c r="P479" s="67">
        <v>1.127459538E9</v>
      </c>
      <c r="Q479" s="68" t="s">
        <v>2499</v>
      </c>
      <c r="R479" s="66"/>
      <c r="S479" s="66"/>
      <c r="T479" s="66"/>
      <c r="U479" s="66"/>
      <c r="V479" s="66"/>
      <c r="W479" s="66"/>
      <c r="X479" s="66"/>
      <c r="Y479" s="66"/>
      <c r="Z479" s="66"/>
      <c r="AA479" s="66"/>
      <c r="AB479" s="66"/>
      <c r="AC479" s="66"/>
      <c r="AD479" s="66"/>
      <c r="AE479" s="66"/>
    </row>
    <row r="480">
      <c r="A480" s="13">
        <f t="shared" si="1"/>
        <v>479</v>
      </c>
      <c r="B480" s="7" t="s">
        <v>2500</v>
      </c>
      <c r="C480" s="7" t="s">
        <v>2501</v>
      </c>
      <c r="D480" s="7" t="s">
        <v>34</v>
      </c>
      <c r="E480" s="7" t="s">
        <v>2502</v>
      </c>
      <c r="F480" s="7">
        <v>56.0</v>
      </c>
      <c r="G480" s="7" t="s">
        <v>21</v>
      </c>
      <c r="H480" s="7" t="s">
        <v>2324</v>
      </c>
      <c r="I480" s="8">
        <v>46146.0</v>
      </c>
      <c r="J480" s="16" t="s">
        <v>23</v>
      </c>
      <c r="K480" s="7"/>
      <c r="L480" s="10">
        <v>0.25</v>
      </c>
      <c r="M480" s="10">
        <v>0.75</v>
      </c>
      <c r="N480" s="7" t="s">
        <v>2503</v>
      </c>
      <c r="O480" s="67">
        <v>-7.2407334E7</v>
      </c>
      <c r="P480" s="67">
        <v>1.127695376E9</v>
      </c>
      <c r="Q480" s="68" t="s">
        <v>2504</v>
      </c>
      <c r="R480" s="66"/>
      <c r="S480" s="66"/>
      <c r="T480" s="66"/>
      <c r="U480" s="66"/>
      <c r="V480" s="66"/>
      <c r="W480" s="66"/>
      <c r="X480" s="66"/>
      <c r="Y480" s="66"/>
      <c r="Z480" s="66"/>
      <c r="AA480" s="66"/>
      <c r="AB480" s="66"/>
      <c r="AC480" s="66"/>
      <c r="AD480" s="66"/>
      <c r="AE480" s="66"/>
    </row>
    <row r="481">
      <c r="A481" s="13">
        <f t="shared" si="1"/>
        <v>480</v>
      </c>
      <c r="B481" s="7" t="s">
        <v>2505</v>
      </c>
      <c r="C481" s="7" t="s">
        <v>2506</v>
      </c>
      <c r="D481" s="7" t="s">
        <v>34</v>
      </c>
      <c r="E481" s="7" t="s">
        <v>2507</v>
      </c>
      <c r="F481" s="7">
        <v>156.0</v>
      </c>
      <c r="G481" s="7" t="s">
        <v>21</v>
      </c>
      <c r="H481" s="7" t="s">
        <v>2324</v>
      </c>
      <c r="I481" s="8">
        <v>46269.0</v>
      </c>
      <c r="J481" s="16" t="s">
        <v>23</v>
      </c>
      <c r="K481" s="7"/>
      <c r="L481" s="10">
        <v>0.7291666666666666</v>
      </c>
      <c r="M481" s="10">
        <v>0.9166666666666666</v>
      </c>
      <c r="N481" s="7" t="s">
        <v>2508</v>
      </c>
      <c r="O481" s="67">
        <v>-7.2676691E7</v>
      </c>
      <c r="P481" s="67">
        <v>1.127296346E9</v>
      </c>
      <c r="Q481" s="68" t="s">
        <v>2509</v>
      </c>
      <c r="R481" s="66"/>
      <c r="S481" s="66"/>
      <c r="T481" s="66"/>
      <c r="U481" s="66"/>
      <c r="V481" s="66"/>
      <c r="W481" s="66"/>
      <c r="X481" s="66"/>
      <c r="Y481" s="66"/>
      <c r="Z481" s="66"/>
      <c r="AA481" s="66"/>
      <c r="AB481" s="66"/>
      <c r="AC481" s="66"/>
      <c r="AD481" s="66"/>
      <c r="AE481" s="66"/>
    </row>
    <row r="482">
      <c r="A482" s="13">
        <f t="shared" si="1"/>
        <v>481</v>
      </c>
      <c r="B482" s="7" t="s">
        <v>2510</v>
      </c>
      <c r="C482" s="7" t="s">
        <v>2511</v>
      </c>
      <c r="D482" s="7" t="s">
        <v>34</v>
      </c>
      <c r="E482" s="7" t="s">
        <v>2512</v>
      </c>
      <c r="F482" s="7">
        <v>1199.0</v>
      </c>
      <c r="G482" s="7" t="s">
        <v>21</v>
      </c>
      <c r="H482" s="7" t="s">
        <v>2324</v>
      </c>
      <c r="I482" s="8">
        <v>46146.0</v>
      </c>
      <c r="J482" s="15" t="s">
        <v>65</v>
      </c>
      <c r="K482" s="7" t="s">
        <v>66</v>
      </c>
      <c r="L482" s="10">
        <v>0.2916666666666667</v>
      </c>
      <c r="M482" s="10">
        <v>0.6875</v>
      </c>
      <c r="N482" s="7" t="s">
        <v>2513</v>
      </c>
      <c r="O482" s="67">
        <v>-7.2401301E7</v>
      </c>
      <c r="P482" s="67">
        <v>1.127510069E9</v>
      </c>
      <c r="Q482" s="68" t="s">
        <v>2514</v>
      </c>
      <c r="R482" s="66"/>
      <c r="S482" s="66"/>
      <c r="T482" s="66"/>
      <c r="U482" s="66"/>
      <c r="V482" s="66"/>
      <c r="W482" s="66"/>
      <c r="X482" s="66"/>
      <c r="Y482" s="66"/>
      <c r="Z482" s="66"/>
      <c r="AA482" s="66"/>
      <c r="AB482" s="66"/>
      <c r="AC482" s="66"/>
      <c r="AD482" s="66"/>
      <c r="AE482" s="66"/>
    </row>
    <row r="483">
      <c r="A483" s="13">
        <f t="shared" si="1"/>
        <v>482</v>
      </c>
      <c r="B483" s="45" t="s">
        <v>2515</v>
      </c>
      <c r="C483" s="45" t="s">
        <v>2516</v>
      </c>
      <c r="D483" s="45" t="s">
        <v>19</v>
      </c>
      <c r="E483" s="45" t="s">
        <v>2517</v>
      </c>
      <c r="F483" s="28">
        <v>1417.0</v>
      </c>
      <c r="G483" s="45" t="s">
        <v>21</v>
      </c>
      <c r="H483" s="45">
        <v>40000.0</v>
      </c>
      <c r="I483" s="29">
        <v>46269.0</v>
      </c>
      <c r="J483" s="45" t="s">
        <v>2518</v>
      </c>
      <c r="K483" s="46"/>
      <c r="L483" s="47">
        <v>0.625</v>
      </c>
      <c r="M483" s="47">
        <v>0.0</v>
      </c>
      <c r="N483" s="48" t="s">
        <v>2519</v>
      </c>
      <c r="O483" s="33" t="s">
        <v>2520</v>
      </c>
      <c r="P483" s="34" t="s">
        <v>2521</v>
      </c>
      <c r="Q483" s="69" t="s">
        <v>2522</v>
      </c>
      <c r="R483" s="26"/>
      <c r="S483" s="66"/>
      <c r="T483" s="66"/>
      <c r="U483" s="66"/>
      <c r="V483" s="66"/>
      <c r="W483" s="66"/>
      <c r="X483" s="66"/>
      <c r="Y483" s="66"/>
      <c r="Z483" s="66"/>
      <c r="AA483" s="66"/>
      <c r="AB483" s="66"/>
      <c r="AC483" s="66"/>
      <c r="AD483" s="66"/>
      <c r="AE483" s="66"/>
    </row>
    <row r="484">
      <c r="A484" s="13">
        <f t="shared" si="1"/>
        <v>483</v>
      </c>
      <c r="B484" s="7" t="s">
        <v>2523</v>
      </c>
      <c r="C484" s="7" t="s">
        <v>2524</v>
      </c>
      <c r="D484" s="7" t="s">
        <v>34</v>
      </c>
      <c r="E484" s="7" t="s">
        <v>2525</v>
      </c>
      <c r="F484" s="7">
        <v>2248.0</v>
      </c>
      <c r="G484" s="7" t="s">
        <v>21</v>
      </c>
      <c r="H484" s="7" t="s">
        <v>2324</v>
      </c>
      <c r="I484" s="8">
        <v>46116.0</v>
      </c>
      <c r="J484" s="16" t="s">
        <v>23</v>
      </c>
      <c r="K484" s="7"/>
      <c r="L484" s="10">
        <v>0.625</v>
      </c>
      <c r="M484" s="10">
        <v>0.9166666666666666</v>
      </c>
      <c r="N484" s="7" t="s">
        <v>2526</v>
      </c>
      <c r="O484" s="67">
        <v>-7.2973269E7</v>
      </c>
      <c r="P484" s="67">
        <v>1.127473791E9</v>
      </c>
      <c r="Q484" s="68" t="s">
        <v>2527</v>
      </c>
      <c r="R484" s="66"/>
      <c r="S484" s="66"/>
      <c r="T484" s="66"/>
      <c r="U484" s="66"/>
      <c r="V484" s="66"/>
      <c r="W484" s="66"/>
      <c r="X484" s="66"/>
      <c r="Y484" s="66"/>
      <c r="Z484" s="66"/>
      <c r="AA484" s="66"/>
      <c r="AB484" s="66"/>
      <c r="AC484" s="66"/>
      <c r="AD484" s="66"/>
      <c r="AE484" s="66"/>
    </row>
    <row r="485">
      <c r="A485" s="13">
        <f t="shared" si="1"/>
        <v>484</v>
      </c>
      <c r="B485" s="16" t="s">
        <v>2528</v>
      </c>
      <c r="C485" s="70" t="s">
        <v>2529</v>
      </c>
      <c r="D485" s="16" t="s">
        <v>46</v>
      </c>
      <c r="E485" s="70" t="s">
        <v>2530</v>
      </c>
      <c r="F485" s="16">
        <v>222.0</v>
      </c>
      <c r="G485" s="16" t="s">
        <v>21</v>
      </c>
      <c r="H485" s="26">
        <v>0.0</v>
      </c>
      <c r="I485" s="17">
        <v>46116.0</v>
      </c>
      <c r="J485" s="16" t="s">
        <v>23</v>
      </c>
      <c r="K485" s="16"/>
      <c r="L485" s="18">
        <v>0.0</v>
      </c>
      <c r="M485" s="18">
        <v>0.9993055555555556</v>
      </c>
      <c r="N485" s="71" t="s">
        <v>2531</v>
      </c>
      <c r="O485" s="72" t="str">
        <f>IFERROR(__xludf.DUMMYFUNCTION("REGEXEXTRACT(N485,""^-?[0-9.]+"")"),"-7.303257601463253")</f>
        <v>-7.303257601463253</v>
      </c>
      <c r="P485" s="73" t="str">
        <f>IFERROR(__xludf.DUMMYFUNCTION("REGEXEXTRACT(N485,"",\s*(-?[0-9.]+)"")"),"112.68686682883533")</f>
        <v>112.68686682883533</v>
      </c>
      <c r="Q485" s="74" t="s">
        <v>2532</v>
      </c>
      <c r="R485" s="26"/>
      <c r="S485" s="26"/>
      <c r="T485" s="26"/>
      <c r="U485" s="26"/>
      <c r="V485" s="26"/>
      <c r="W485" s="26"/>
      <c r="X485" s="26"/>
      <c r="Y485" s="26"/>
      <c r="Z485" s="26"/>
      <c r="AA485" s="26"/>
      <c r="AB485" s="26"/>
      <c r="AC485" s="26"/>
      <c r="AD485" s="26"/>
      <c r="AE485" s="26"/>
    </row>
    <row r="486">
      <c r="A486" s="13">
        <f t="shared" si="1"/>
        <v>485</v>
      </c>
      <c r="B486" s="7" t="s">
        <v>2533</v>
      </c>
      <c r="C486" s="7" t="s">
        <v>2534</v>
      </c>
      <c r="D486" s="7" t="s">
        <v>34</v>
      </c>
      <c r="E486" s="7" t="s">
        <v>2535</v>
      </c>
      <c r="F486" s="7">
        <v>546.0</v>
      </c>
      <c r="G486" s="7" t="s">
        <v>21</v>
      </c>
      <c r="H486" s="7" t="s">
        <v>2324</v>
      </c>
      <c r="I486" s="8">
        <v>46177.0</v>
      </c>
      <c r="J486" s="45" t="s">
        <v>388</v>
      </c>
      <c r="K486" s="45" t="s">
        <v>59</v>
      </c>
      <c r="L486" s="10">
        <v>0.3333333333333333</v>
      </c>
      <c r="M486" s="10">
        <v>0.6666666666666666</v>
      </c>
      <c r="N486" s="7" t="s">
        <v>2536</v>
      </c>
      <c r="O486" s="67">
        <v>-7288827.0</v>
      </c>
      <c r="P486" s="67">
        <v>1.12752195E8</v>
      </c>
      <c r="Q486" s="68" t="s">
        <v>2537</v>
      </c>
      <c r="R486" s="66"/>
      <c r="S486" s="66"/>
      <c r="T486" s="66"/>
      <c r="U486" s="66"/>
      <c r="V486" s="66"/>
      <c r="W486" s="66"/>
      <c r="X486" s="66"/>
      <c r="Y486" s="66"/>
      <c r="Z486" s="66"/>
      <c r="AA486" s="66"/>
      <c r="AB486" s="66"/>
      <c r="AC486" s="66"/>
      <c r="AD486" s="66"/>
      <c r="AE486" s="66"/>
    </row>
    <row r="487">
      <c r="A487" s="13">
        <f t="shared" si="1"/>
        <v>486</v>
      </c>
      <c r="B487" s="7" t="s">
        <v>2538</v>
      </c>
      <c r="C487" s="7" t="s">
        <v>2539</v>
      </c>
      <c r="D487" s="7" t="s">
        <v>34</v>
      </c>
      <c r="E487" s="7" t="s">
        <v>2540</v>
      </c>
      <c r="F487" s="7">
        <v>4.0</v>
      </c>
      <c r="G487" s="7" t="s">
        <v>21</v>
      </c>
      <c r="H487" s="7" t="s">
        <v>2541</v>
      </c>
      <c r="I487" s="7">
        <v>5.0</v>
      </c>
      <c r="J487" s="16" t="s">
        <v>23</v>
      </c>
      <c r="K487" s="7"/>
      <c r="L487" s="10">
        <v>0.4583333333333333</v>
      </c>
      <c r="M487" s="10">
        <v>0.9166666666666666</v>
      </c>
      <c r="N487" s="7" t="s">
        <v>2542</v>
      </c>
      <c r="O487" s="67">
        <v>-7.3127654E7</v>
      </c>
      <c r="P487" s="67">
        <v>1.127804565E9</v>
      </c>
      <c r="Q487" s="68" t="s">
        <v>2543</v>
      </c>
      <c r="R487" s="66"/>
      <c r="S487" s="66"/>
      <c r="T487" s="66"/>
      <c r="U487" s="66"/>
      <c r="V487" s="66"/>
      <c r="W487" s="66"/>
      <c r="X487" s="66"/>
      <c r="Y487" s="66"/>
      <c r="Z487" s="66"/>
      <c r="AA487" s="66"/>
      <c r="AB487" s="66"/>
      <c r="AC487" s="66"/>
      <c r="AD487" s="66"/>
      <c r="AE487" s="66"/>
    </row>
    <row r="488">
      <c r="A488" s="13">
        <f t="shared" si="1"/>
        <v>487</v>
      </c>
      <c r="B488" s="7" t="s">
        <v>2544</v>
      </c>
      <c r="C488" s="7" t="s">
        <v>2545</v>
      </c>
      <c r="D488" s="7" t="s">
        <v>34</v>
      </c>
      <c r="E488" s="7" t="s">
        <v>2546</v>
      </c>
      <c r="F488" s="7">
        <v>3370.0</v>
      </c>
      <c r="G488" s="7" t="s">
        <v>21</v>
      </c>
      <c r="H488" s="7" t="s">
        <v>2324</v>
      </c>
      <c r="I488" s="8">
        <v>46057.0</v>
      </c>
      <c r="J488" s="16" t="s">
        <v>23</v>
      </c>
      <c r="K488" s="7"/>
      <c r="L488" s="10">
        <v>0.3958333333333333</v>
      </c>
      <c r="M488" s="10">
        <v>0.8333333333333334</v>
      </c>
      <c r="N488" s="7" t="s">
        <v>2547</v>
      </c>
      <c r="O488" s="67">
        <v>-7.2585255E7</v>
      </c>
      <c r="P488" s="67">
        <v>1.127325961E9</v>
      </c>
      <c r="Q488" s="68" t="s">
        <v>2548</v>
      </c>
      <c r="R488" s="66"/>
      <c r="S488" s="66"/>
      <c r="T488" s="66"/>
      <c r="U488" s="66"/>
      <c r="V488" s="66"/>
      <c r="W488" s="66"/>
      <c r="X488" s="66"/>
      <c r="Y488" s="66"/>
      <c r="Z488" s="66"/>
      <c r="AA488" s="66"/>
      <c r="AB488" s="66"/>
      <c r="AC488" s="66"/>
      <c r="AD488" s="66"/>
      <c r="AE488" s="66"/>
    </row>
    <row r="489">
      <c r="A489" s="13">
        <f t="shared" si="1"/>
        <v>488</v>
      </c>
      <c r="B489" s="7" t="s">
        <v>2549</v>
      </c>
      <c r="C489" s="7" t="s">
        <v>2550</v>
      </c>
      <c r="D489" s="7" t="s">
        <v>34</v>
      </c>
      <c r="E489" s="7" t="s">
        <v>2551</v>
      </c>
      <c r="F489" s="7">
        <v>1055.0</v>
      </c>
      <c r="G489" s="7" t="s">
        <v>21</v>
      </c>
      <c r="H489" s="7" t="s">
        <v>2324</v>
      </c>
      <c r="I489" s="8">
        <v>46116.0</v>
      </c>
      <c r="J489" s="16" t="s">
        <v>23</v>
      </c>
      <c r="K489" s="7"/>
      <c r="L489" s="10">
        <v>0.2916666666666667</v>
      </c>
      <c r="M489" s="10">
        <v>0.9166666666666666</v>
      </c>
      <c r="N489" s="7" t="s">
        <v>2552</v>
      </c>
      <c r="O489" s="67">
        <v>-7.2698359E7</v>
      </c>
      <c r="P489" s="67">
        <v>1.127396575E9</v>
      </c>
      <c r="Q489" s="68" t="s">
        <v>2553</v>
      </c>
      <c r="R489" s="66"/>
      <c r="S489" s="66"/>
      <c r="T489" s="66"/>
      <c r="U489" s="66"/>
      <c r="V489" s="66"/>
      <c r="W489" s="66"/>
      <c r="X489" s="66"/>
      <c r="Y489" s="66"/>
      <c r="Z489" s="66"/>
      <c r="AA489" s="66"/>
      <c r="AB489" s="66"/>
      <c r="AC489" s="66"/>
      <c r="AD489" s="66"/>
      <c r="AE489" s="66"/>
    </row>
    <row r="490">
      <c r="A490" s="13">
        <f t="shared" si="1"/>
        <v>489</v>
      </c>
      <c r="B490" s="7" t="s">
        <v>2554</v>
      </c>
      <c r="C490" s="7" t="s">
        <v>2555</v>
      </c>
      <c r="D490" s="7" t="s">
        <v>19</v>
      </c>
      <c r="E490" s="7" t="s">
        <v>2556</v>
      </c>
      <c r="F490" s="7">
        <v>205.0</v>
      </c>
      <c r="G490" s="7" t="s">
        <v>21</v>
      </c>
      <c r="H490" s="7" t="s">
        <v>2303</v>
      </c>
      <c r="I490" s="8">
        <v>46146.0</v>
      </c>
      <c r="J490" s="16" t="s">
        <v>23</v>
      </c>
      <c r="K490" s="7"/>
      <c r="L490" s="10">
        <v>0.0</v>
      </c>
      <c r="M490" s="10">
        <v>0.9993055555555556</v>
      </c>
      <c r="N490" s="7" t="s">
        <v>2557</v>
      </c>
      <c r="O490" s="67">
        <v>-7.2601566E7</v>
      </c>
      <c r="P490" s="67">
        <v>1.127307898E9</v>
      </c>
      <c r="Q490" s="68" t="s">
        <v>2558</v>
      </c>
      <c r="R490" s="66"/>
      <c r="S490" s="66"/>
      <c r="T490" s="66"/>
      <c r="U490" s="66"/>
      <c r="V490" s="66"/>
      <c r="W490" s="66"/>
      <c r="X490" s="66"/>
      <c r="Y490" s="66"/>
      <c r="Z490" s="66"/>
      <c r="AA490" s="66"/>
      <c r="AB490" s="66"/>
      <c r="AC490" s="66"/>
      <c r="AD490" s="66"/>
      <c r="AE490" s="66"/>
    </row>
    <row r="491">
      <c r="A491" s="13">
        <f t="shared" si="1"/>
        <v>490</v>
      </c>
      <c r="B491" s="7" t="s">
        <v>2559</v>
      </c>
      <c r="C491" s="7" t="s">
        <v>2560</v>
      </c>
      <c r="D491" s="7" t="s">
        <v>19</v>
      </c>
      <c r="E491" s="7" t="s">
        <v>2561</v>
      </c>
      <c r="F491" s="7">
        <v>543.0</v>
      </c>
      <c r="G491" s="7" t="s">
        <v>21</v>
      </c>
      <c r="H491" s="7" t="s">
        <v>2324</v>
      </c>
      <c r="I491" s="8">
        <v>46177.0</v>
      </c>
      <c r="J491" s="16" t="s">
        <v>23</v>
      </c>
      <c r="K491" s="7"/>
      <c r="L491" s="10">
        <v>0.4583333333333333</v>
      </c>
      <c r="M491" s="10">
        <v>0.9166666666666666</v>
      </c>
      <c r="N491" s="7" t="s">
        <v>2562</v>
      </c>
      <c r="O491" s="67">
        <v>-7.2629966E7</v>
      </c>
      <c r="P491" s="67">
        <v>1.127645719E9</v>
      </c>
      <c r="Q491" s="68" t="s">
        <v>2563</v>
      </c>
      <c r="R491" s="66"/>
      <c r="S491" s="66"/>
      <c r="T491" s="66"/>
      <c r="U491" s="66"/>
      <c r="V491" s="66"/>
      <c r="W491" s="66"/>
      <c r="X491" s="66"/>
      <c r="Y491" s="66"/>
      <c r="Z491" s="66"/>
      <c r="AA491" s="66"/>
      <c r="AB491" s="66"/>
      <c r="AC491" s="66"/>
      <c r="AD491" s="66"/>
      <c r="AE491" s="66"/>
    </row>
    <row r="492">
      <c r="A492" s="13">
        <f t="shared" si="1"/>
        <v>491</v>
      </c>
      <c r="B492" s="7" t="s">
        <v>2564</v>
      </c>
      <c r="C492" s="7" t="s">
        <v>2565</v>
      </c>
      <c r="D492" s="7" t="s">
        <v>34</v>
      </c>
      <c r="E492" s="7" t="s">
        <v>2566</v>
      </c>
      <c r="F492" s="7">
        <v>395.0</v>
      </c>
      <c r="G492" s="7" t="s">
        <v>21</v>
      </c>
      <c r="H492" s="7" t="s">
        <v>2303</v>
      </c>
      <c r="I492" s="8">
        <v>46085.0</v>
      </c>
      <c r="J492" s="16" t="s">
        <v>23</v>
      </c>
      <c r="K492" s="7"/>
      <c r="L492" s="10">
        <v>0.2916666666666667</v>
      </c>
      <c r="M492" s="10">
        <v>0.9583333333333334</v>
      </c>
      <c r="N492" s="7" t="s">
        <v>2567</v>
      </c>
      <c r="O492" s="67">
        <v>-7.3138735E7</v>
      </c>
      <c r="P492" s="67">
        <v>1.127006293E9</v>
      </c>
      <c r="Q492" s="68" t="s">
        <v>2568</v>
      </c>
      <c r="R492" s="66"/>
      <c r="S492" s="66"/>
      <c r="T492" s="66"/>
      <c r="U492" s="66"/>
      <c r="V492" s="66"/>
      <c r="W492" s="66"/>
      <c r="X492" s="66"/>
      <c r="Y492" s="66"/>
      <c r="Z492" s="66"/>
      <c r="AA492" s="66"/>
      <c r="AB492" s="66"/>
      <c r="AC492" s="66"/>
      <c r="AD492" s="66"/>
      <c r="AE492" s="66"/>
    </row>
    <row r="493">
      <c r="A493" s="13">
        <f t="shared" si="1"/>
        <v>492</v>
      </c>
      <c r="B493" s="7" t="s">
        <v>2569</v>
      </c>
      <c r="C493" s="7" t="s">
        <v>2570</v>
      </c>
      <c r="D493" s="7" t="s">
        <v>34</v>
      </c>
      <c r="E493" s="7" t="s">
        <v>1593</v>
      </c>
      <c r="F493" s="7">
        <v>196.0</v>
      </c>
      <c r="G493" s="7" t="s">
        <v>21</v>
      </c>
      <c r="H493" s="7" t="s">
        <v>2303</v>
      </c>
      <c r="I493" s="8">
        <v>46207.0</v>
      </c>
      <c r="J493" s="16" t="s">
        <v>23</v>
      </c>
      <c r="K493" s="7"/>
      <c r="L493" s="10">
        <v>0.4583333333333333</v>
      </c>
      <c r="M493" s="10">
        <v>0.9583333333333334</v>
      </c>
      <c r="N493" s="7" t="s">
        <v>2571</v>
      </c>
      <c r="O493" s="67">
        <v>-7.3077402E7</v>
      </c>
      <c r="P493" s="67">
        <v>1.12725849E8</v>
      </c>
      <c r="Q493" s="68" t="s">
        <v>2572</v>
      </c>
      <c r="R493" s="66"/>
      <c r="S493" s="66"/>
      <c r="T493" s="66"/>
      <c r="U493" s="66"/>
      <c r="V493" s="66"/>
      <c r="W493" s="66"/>
      <c r="X493" s="66"/>
      <c r="Y493" s="66"/>
      <c r="Z493" s="66"/>
      <c r="AA493" s="66"/>
      <c r="AB493" s="66"/>
      <c r="AC493" s="66"/>
      <c r="AD493" s="66"/>
      <c r="AE493" s="66"/>
    </row>
    <row r="494">
      <c r="A494" s="13">
        <f t="shared" si="1"/>
        <v>493</v>
      </c>
      <c r="B494" s="86" t="s">
        <v>2573</v>
      </c>
      <c r="C494" s="86" t="s">
        <v>2574</v>
      </c>
      <c r="D494" s="86" t="s">
        <v>34</v>
      </c>
      <c r="E494" s="86" t="s">
        <v>2575</v>
      </c>
      <c r="F494" s="86">
        <v>111.0</v>
      </c>
      <c r="G494" s="86" t="s">
        <v>21</v>
      </c>
      <c r="H494" s="7" t="s">
        <v>2324</v>
      </c>
      <c r="I494" s="87">
        <v>46146.0</v>
      </c>
      <c r="J494" s="56" t="s">
        <v>23</v>
      </c>
      <c r="K494" s="86"/>
      <c r="L494" s="88">
        <v>0.7083333333333334</v>
      </c>
      <c r="M494" s="88">
        <v>0.041666666666666664</v>
      </c>
      <c r="N494" s="86" t="s">
        <v>2576</v>
      </c>
      <c r="O494" s="89">
        <v>-7.2565761E7</v>
      </c>
      <c r="P494" s="89">
        <v>1.127957716E9</v>
      </c>
      <c r="Q494" s="90" t="s">
        <v>2577</v>
      </c>
      <c r="R494" s="91"/>
      <c r="S494" s="91"/>
      <c r="T494" s="91"/>
      <c r="U494" s="91"/>
      <c r="V494" s="91"/>
      <c r="W494" s="91"/>
      <c r="X494" s="91"/>
      <c r="Y494" s="91"/>
      <c r="Z494" s="91"/>
      <c r="AA494" s="91"/>
      <c r="AB494" s="91"/>
      <c r="AC494" s="91"/>
      <c r="AD494" s="91"/>
      <c r="AE494" s="91"/>
    </row>
    <row r="495">
      <c r="A495" s="13">
        <f t="shared" si="1"/>
        <v>494</v>
      </c>
      <c r="B495" s="7" t="s">
        <v>2578</v>
      </c>
      <c r="C495" s="92" t="s">
        <v>2579</v>
      </c>
      <c r="D495" s="7" t="s">
        <v>34</v>
      </c>
      <c r="E495" s="92" t="s">
        <v>2580</v>
      </c>
      <c r="F495" s="7">
        <v>4484.0</v>
      </c>
      <c r="G495" s="7" t="s">
        <v>21</v>
      </c>
      <c r="H495" s="7" t="s">
        <v>2581</v>
      </c>
      <c r="I495" s="8">
        <v>46207.0</v>
      </c>
      <c r="J495" s="7" t="s">
        <v>2582</v>
      </c>
      <c r="K495" s="66"/>
      <c r="L495" s="10">
        <v>0.4583333333333333</v>
      </c>
      <c r="M495" s="10">
        <v>0.8958333333333334</v>
      </c>
      <c r="N495" s="7" t="s">
        <v>2583</v>
      </c>
      <c r="O495" s="67">
        <v>-7.2794916E7</v>
      </c>
      <c r="P495" s="67">
        <v>1.127665996E9</v>
      </c>
      <c r="Q495" s="68" t="s">
        <v>2584</v>
      </c>
      <c r="R495" s="66"/>
      <c r="S495" s="66"/>
      <c r="T495" s="66"/>
      <c r="U495" s="66"/>
      <c r="V495" s="66"/>
      <c r="W495" s="66"/>
      <c r="X495" s="66"/>
      <c r="Y495" s="66"/>
      <c r="Z495" s="66"/>
      <c r="AA495" s="66"/>
      <c r="AB495" s="66"/>
      <c r="AC495" s="66"/>
      <c r="AD495" s="66"/>
      <c r="AE495" s="66"/>
    </row>
    <row r="496">
      <c r="A496" s="13">
        <f t="shared" si="1"/>
        <v>495</v>
      </c>
      <c r="B496" s="7" t="s">
        <v>2585</v>
      </c>
      <c r="C496" s="92" t="s">
        <v>2586</v>
      </c>
      <c r="D496" s="7" t="s">
        <v>34</v>
      </c>
      <c r="E496" s="92" t="s">
        <v>2587</v>
      </c>
      <c r="F496" s="7">
        <v>4431.0</v>
      </c>
      <c r="G496" s="7" t="s">
        <v>21</v>
      </c>
      <c r="H496" s="7" t="s">
        <v>22</v>
      </c>
      <c r="I496" s="8">
        <v>46177.0</v>
      </c>
      <c r="J496" s="7" t="s">
        <v>2582</v>
      </c>
      <c r="K496" s="66"/>
      <c r="L496" s="10">
        <v>0.2708333333333333</v>
      </c>
      <c r="M496" s="10">
        <v>0.8541666666666666</v>
      </c>
      <c r="N496" s="50" t="s">
        <v>2588</v>
      </c>
      <c r="O496" s="51">
        <v>-7.2554039E7</v>
      </c>
      <c r="P496" s="51">
        <v>1.127423416E9</v>
      </c>
      <c r="Q496" s="68" t="s">
        <v>2589</v>
      </c>
      <c r="R496" s="66"/>
      <c r="S496" s="66"/>
      <c r="T496" s="66"/>
      <c r="U496" s="66"/>
      <c r="V496" s="66"/>
      <c r="W496" s="66"/>
      <c r="X496" s="66"/>
      <c r="Y496" s="66"/>
      <c r="Z496" s="66"/>
      <c r="AA496" s="66"/>
      <c r="AB496" s="66"/>
      <c r="AC496" s="66"/>
      <c r="AD496" s="66"/>
      <c r="AE496" s="66"/>
    </row>
    <row r="497">
      <c r="A497" s="13">
        <f t="shared" si="1"/>
        <v>496</v>
      </c>
      <c r="B497" s="7" t="s">
        <v>2590</v>
      </c>
      <c r="C497" s="92" t="s">
        <v>2591</v>
      </c>
      <c r="D497" s="7" t="s">
        <v>19</v>
      </c>
      <c r="E497" s="92" t="s">
        <v>2592</v>
      </c>
      <c r="F497" s="7">
        <v>129.0</v>
      </c>
      <c r="G497" s="7" t="s">
        <v>21</v>
      </c>
      <c r="H497" s="7" t="s">
        <v>22</v>
      </c>
      <c r="I497" s="8">
        <v>46269.0</v>
      </c>
      <c r="J497" s="7" t="s">
        <v>388</v>
      </c>
      <c r="K497" s="7" t="s">
        <v>59</v>
      </c>
      <c r="L497" s="10">
        <v>0.375</v>
      </c>
      <c r="M497" s="10">
        <v>0.7916666666666666</v>
      </c>
      <c r="N497" s="7" t="s">
        <v>2593</v>
      </c>
      <c r="O497" s="67">
        <v>-7.3214809E7</v>
      </c>
      <c r="P497" s="67">
        <v>1.127737687E9</v>
      </c>
      <c r="Q497" s="68" t="s">
        <v>2594</v>
      </c>
      <c r="R497" s="66"/>
      <c r="S497" s="66"/>
      <c r="T497" s="66"/>
      <c r="U497" s="66"/>
      <c r="V497" s="66"/>
      <c r="W497" s="66"/>
      <c r="X497" s="66"/>
      <c r="Y497" s="66"/>
      <c r="Z497" s="66"/>
      <c r="AA497" s="66"/>
      <c r="AB497" s="66"/>
      <c r="AC497" s="66"/>
      <c r="AD497" s="66"/>
      <c r="AE497" s="66"/>
    </row>
    <row r="498">
      <c r="A498" s="13">
        <f t="shared" si="1"/>
        <v>497</v>
      </c>
      <c r="B498" s="7" t="s">
        <v>2595</v>
      </c>
      <c r="C498" s="92" t="s">
        <v>2596</v>
      </c>
      <c r="D498" s="7" t="s">
        <v>34</v>
      </c>
      <c r="E498" s="92" t="s">
        <v>2597</v>
      </c>
      <c r="F498" s="7">
        <v>1518.0</v>
      </c>
      <c r="G498" s="7" t="s">
        <v>21</v>
      </c>
      <c r="H498" s="7" t="s">
        <v>72</v>
      </c>
      <c r="I498" s="8">
        <v>46177.0</v>
      </c>
      <c r="J498" s="7" t="s">
        <v>2582</v>
      </c>
      <c r="K498" s="66"/>
      <c r="L498" s="10">
        <v>0.4166666666666667</v>
      </c>
      <c r="M498" s="10">
        <v>0.75</v>
      </c>
      <c r="N498" s="7" t="s">
        <v>2598</v>
      </c>
      <c r="O498" s="67">
        <v>-7240779.0</v>
      </c>
      <c r="P498" s="67">
        <v>1.127442568E9</v>
      </c>
      <c r="Q498" s="68" t="s">
        <v>2599</v>
      </c>
      <c r="R498" s="66"/>
      <c r="S498" s="66"/>
      <c r="T498" s="66"/>
      <c r="U498" s="66"/>
      <c r="V498" s="66"/>
      <c r="W498" s="66"/>
      <c r="X498" s="66"/>
      <c r="Y498" s="66"/>
      <c r="Z498" s="66"/>
      <c r="AA498" s="66"/>
      <c r="AB498" s="66"/>
      <c r="AC498" s="66"/>
      <c r="AD498" s="66"/>
      <c r="AE498" s="66"/>
    </row>
    <row r="499">
      <c r="A499" s="13">
        <f t="shared" si="1"/>
        <v>498</v>
      </c>
      <c r="B499" s="7" t="s">
        <v>2600</v>
      </c>
      <c r="C499" s="92" t="s">
        <v>2601</v>
      </c>
      <c r="D499" s="7" t="s">
        <v>34</v>
      </c>
      <c r="E499" s="92" t="s">
        <v>2587</v>
      </c>
      <c r="F499" s="7">
        <v>144.0</v>
      </c>
      <c r="G499" s="7" t="s">
        <v>21</v>
      </c>
      <c r="H499" s="7" t="s">
        <v>72</v>
      </c>
      <c r="I499" s="8">
        <v>46238.0</v>
      </c>
      <c r="J499" s="7" t="s">
        <v>2582</v>
      </c>
      <c r="K499" s="66"/>
      <c r="L499" s="10">
        <v>0.375</v>
      </c>
      <c r="M499" s="10">
        <v>0.7916666666666666</v>
      </c>
      <c r="N499" s="50" t="s">
        <v>2602</v>
      </c>
      <c r="O499" s="51">
        <v>-7.2775233E7</v>
      </c>
      <c r="P499" s="51">
        <v>1.127527633E9</v>
      </c>
      <c r="Q499" s="68" t="s">
        <v>2603</v>
      </c>
      <c r="R499" s="66"/>
      <c r="S499" s="66"/>
      <c r="T499" s="66"/>
      <c r="U499" s="66"/>
      <c r="V499" s="66"/>
      <c r="W499" s="66"/>
      <c r="X499" s="66"/>
      <c r="Y499" s="66"/>
      <c r="Z499" s="66"/>
      <c r="AA499" s="66"/>
      <c r="AB499" s="66"/>
      <c r="AC499" s="66"/>
      <c r="AD499" s="66"/>
      <c r="AE499" s="66"/>
    </row>
    <row r="500">
      <c r="A500" s="13">
        <f t="shared" si="1"/>
        <v>499</v>
      </c>
      <c r="B500" s="16" t="s">
        <v>2604</v>
      </c>
      <c r="C500" s="93" t="s">
        <v>2605</v>
      </c>
      <c r="D500" s="16" t="s">
        <v>46</v>
      </c>
      <c r="E500" s="93" t="s">
        <v>2606</v>
      </c>
      <c r="F500" s="15">
        <v>188.0</v>
      </c>
      <c r="G500" s="16" t="s">
        <v>21</v>
      </c>
      <c r="H500" s="26">
        <v>0.0</v>
      </c>
      <c r="I500" s="17">
        <v>46207.0</v>
      </c>
      <c r="J500" s="16" t="s">
        <v>23</v>
      </c>
      <c r="K500" s="16"/>
      <c r="L500" s="18">
        <v>0.25</v>
      </c>
      <c r="M500" s="18">
        <v>0.8756944444444444</v>
      </c>
      <c r="N500" s="94" t="s">
        <v>2607</v>
      </c>
      <c r="O500" s="11">
        <v>-7.2600797E7</v>
      </c>
      <c r="P500" s="94">
        <v>1.127468615E9</v>
      </c>
      <c r="Q500" s="74" t="s">
        <v>2608</v>
      </c>
      <c r="R500" s="64"/>
      <c r="S500" s="64"/>
      <c r="T500" s="64"/>
      <c r="U500" s="64"/>
      <c r="V500" s="64"/>
      <c r="W500" s="64"/>
      <c r="X500" s="64"/>
      <c r="Y500" s="64"/>
      <c r="Z500" s="64"/>
      <c r="AA500" s="64"/>
      <c r="AB500" s="64"/>
      <c r="AC500" s="64"/>
      <c r="AD500" s="64"/>
      <c r="AE500" s="64"/>
    </row>
    <row r="501">
      <c r="A501" s="13">
        <f t="shared" si="1"/>
        <v>500</v>
      </c>
      <c r="B501" s="7" t="s">
        <v>2609</v>
      </c>
      <c r="C501" s="92" t="s">
        <v>2610</v>
      </c>
      <c r="D501" s="7" t="s">
        <v>34</v>
      </c>
      <c r="E501" s="92" t="s">
        <v>2611</v>
      </c>
      <c r="F501" s="7">
        <v>591.0</v>
      </c>
      <c r="G501" s="7" t="s">
        <v>21</v>
      </c>
      <c r="H501" s="7" t="s">
        <v>2612</v>
      </c>
      <c r="I501" s="8">
        <v>46146.0</v>
      </c>
      <c r="J501" s="7" t="s">
        <v>2582</v>
      </c>
      <c r="K501" s="66"/>
      <c r="L501" s="10">
        <v>0.4166666666666667</v>
      </c>
      <c r="M501" s="10">
        <v>0.9166666666666666</v>
      </c>
      <c r="N501" s="7" t="s">
        <v>2613</v>
      </c>
      <c r="O501" s="67">
        <v>-7.3129219E7</v>
      </c>
      <c r="P501" s="67">
        <v>1.127067429E9</v>
      </c>
      <c r="Q501" s="68" t="s">
        <v>2614</v>
      </c>
      <c r="R501" s="66"/>
      <c r="S501" s="66"/>
      <c r="T501" s="66"/>
      <c r="U501" s="66"/>
      <c r="V501" s="66"/>
      <c r="W501" s="66"/>
      <c r="X501" s="66"/>
      <c r="Y501" s="66"/>
      <c r="Z501" s="66"/>
      <c r="AA501" s="66"/>
      <c r="AB501" s="66"/>
      <c r="AC501" s="66"/>
      <c r="AD501" s="66"/>
      <c r="AE501" s="66"/>
    </row>
    <row r="502">
      <c r="A502" s="13">
        <f t="shared" si="1"/>
        <v>501</v>
      </c>
      <c r="B502" s="7" t="s">
        <v>2615</v>
      </c>
      <c r="C502" s="92" t="s">
        <v>2616</v>
      </c>
      <c r="D502" s="7" t="s">
        <v>46</v>
      </c>
      <c r="E502" s="92" t="s">
        <v>2617</v>
      </c>
      <c r="F502" s="7">
        <v>3958.0</v>
      </c>
      <c r="G502" s="7" t="s">
        <v>21</v>
      </c>
      <c r="H502" s="7" t="s">
        <v>2618</v>
      </c>
      <c r="I502" s="8">
        <v>46146.0</v>
      </c>
      <c r="J502" s="7" t="s">
        <v>58</v>
      </c>
      <c r="K502" s="7" t="s">
        <v>59</v>
      </c>
      <c r="L502" s="10">
        <v>0.3333333333333333</v>
      </c>
      <c r="M502" s="10">
        <v>0.6458333333333334</v>
      </c>
      <c r="N502" s="7" t="s">
        <v>2619</v>
      </c>
      <c r="O502" s="67">
        <v>-7.4337191E7</v>
      </c>
      <c r="P502" s="67">
        <v>1.127200357E9</v>
      </c>
      <c r="Q502" s="68" t="s">
        <v>2620</v>
      </c>
      <c r="R502" s="66"/>
      <c r="S502" s="66"/>
      <c r="T502" s="66"/>
      <c r="U502" s="66"/>
      <c r="V502" s="66"/>
      <c r="W502" s="66"/>
      <c r="X502" s="66"/>
      <c r="Y502" s="66"/>
      <c r="Z502" s="66"/>
      <c r="AA502" s="66"/>
      <c r="AB502" s="66"/>
      <c r="AC502" s="66"/>
      <c r="AD502" s="66"/>
      <c r="AE502" s="66"/>
    </row>
    <row r="503">
      <c r="A503" s="13">
        <f t="shared" si="1"/>
        <v>502</v>
      </c>
      <c r="B503" s="7" t="s">
        <v>2621</v>
      </c>
      <c r="C503" s="92" t="s">
        <v>2622</v>
      </c>
      <c r="D503" s="7" t="s">
        <v>34</v>
      </c>
      <c r="E503" s="92" t="s">
        <v>2623</v>
      </c>
      <c r="F503" s="7">
        <v>20.0</v>
      </c>
      <c r="G503" s="7" t="s">
        <v>21</v>
      </c>
      <c r="H503" s="7" t="s">
        <v>2624</v>
      </c>
      <c r="I503" s="8">
        <v>46177.0</v>
      </c>
      <c r="J503" s="7" t="s">
        <v>2582</v>
      </c>
      <c r="K503" s="66"/>
      <c r="L503" s="10">
        <v>0.3333333333333333</v>
      </c>
      <c r="M503" s="10">
        <v>0.875</v>
      </c>
      <c r="N503" s="7" t="s">
        <v>2625</v>
      </c>
      <c r="O503" s="67">
        <v>-7.2968498E7</v>
      </c>
      <c r="P503" s="67">
        <v>1.127600703E9</v>
      </c>
      <c r="Q503" s="68" t="s">
        <v>2626</v>
      </c>
      <c r="R503" s="66"/>
      <c r="S503" s="66"/>
      <c r="T503" s="66"/>
      <c r="U503" s="66"/>
      <c r="V503" s="66"/>
      <c r="W503" s="66"/>
      <c r="X503" s="66"/>
      <c r="Y503" s="66"/>
      <c r="Z503" s="66"/>
      <c r="AA503" s="66"/>
      <c r="AB503" s="66"/>
      <c r="AC503" s="66"/>
      <c r="AD503" s="66"/>
      <c r="AE503" s="66"/>
    </row>
    <row r="504">
      <c r="A504" s="13">
        <f t="shared" si="1"/>
        <v>503</v>
      </c>
      <c r="B504" s="7" t="s">
        <v>2627</v>
      </c>
      <c r="C504" s="92" t="s">
        <v>2628</v>
      </c>
      <c r="D504" s="7" t="s">
        <v>46</v>
      </c>
      <c r="E504" s="92" t="s">
        <v>2629</v>
      </c>
      <c r="F504" s="7">
        <v>958.0</v>
      </c>
      <c r="G504" s="7" t="s">
        <v>21</v>
      </c>
      <c r="H504" s="7">
        <v>0.0</v>
      </c>
      <c r="I504" s="8">
        <v>46146.0</v>
      </c>
      <c r="J504" s="7" t="s">
        <v>2582</v>
      </c>
      <c r="K504" s="66"/>
      <c r="L504" s="10">
        <v>0.0</v>
      </c>
      <c r="M504" s="10">
        <v>0.0</v>
      </c>
      <c r="N504" s="7" t="s">
        <v>2630</v>
      </c>
      <c r="O504" s="67">
        <v>-7.2728801E7</v>
      </c>
      <c r="P504" s="67">
        <v>1.128066985E9</v>
      </c>
      <c r="Q504" s="68" t="s">
        <v>2631</v>
      </c>
      <c r="R504" s="66"/>
      <c r="S504" s="66"/>
      <c r="T504" s="66"/>
      <c r="U504" s="66"/>
      <c r="V504" s="66"/>
      <c r="W504" s="66"/>
      <c r="X504" s="66"/>
      <c r="Y504" s="66"/>
      <c r="Z504" s="66"/>
      <c r="AA504" s="66"/>
      <c r="AB504" s="66"/>
      <c r="AC504" s="66"/>
      <c r="AD504" s="66"/>
      <c r="AE504" s="66"/>
    </row>
    <row r="505">
      <c r="A505" s="13">
        <f t="shared" si="1"/>
        <v>504</v>
      </c>
      <c r="B505" s="7" t="s">
        <v>2632</v>
      </c>
      <c r="C505" s="92" t="s">
        <v>2633</v>
      </c>
      <c r="D505" s="7" t="s">
        <v>34</v>
      </c>
      <c r="E505" s="92" t="s">
        <v>2634</v>
      </c>
      <c r="F505" s="7">
        <v>389.0</v>
      </c>
      <c r="G505" s="7" t="s">
        <v>21</v>
      </c>
      <c r="H505" s="7" t="s">
        <v>2635</v>
      </c>
      <c r="I505" s="8">
        <v>46146.0</v>
      </c>
      <c r="J505" s="7" t="s">
        <v>2582</v>
      </c>
      <c r="K505" s="66"/>
      <c r="L505" s="10">
        <v>0.4583333333333333</v>
      </c>
      <c r="M505" s="10">
        <v>0.9583333333333334</v>
      </c>
      <c r="N505" s="7" t="s">
        <v>2636</v>
      </c>
      <c r="O505" s="67">
        <v>-7.2812233E7</v>
      </c>
      <c r="P505" s="67">
        <v>1.127873977E9</v>
      </c>
      <c r="Q505" s="68" t="s">
        <v>2637</v>
      </c>
      <c r="R505" s="66"/>
      <c r="S505" s="66"/>
      <c r="T505" s="66"/>
      <c r="U505" s="66"/>
      <c r="V505" s="66"/>
      <c r="W505" s="66"/>
      <c r="X505" s="66"/>
      <c r="Y505" s="66"/>
      <c r="Z505" s="66"/>
      <c r="AA505" s="66"/>
      <c r="AB505" s="66"/>
      <c r="AC505" s="66"/>
      <c r="AD505" s="66"/>
      <c r="AE505" s="66"/>
    </row>
    <row r="506">
      <c r="A506" s="13">
        <f t="shared" si="1"/>
        <v>505</v>
      </c>
      <c r="B506" s="7" t="s">
        <v>2638</v>
      </c>
      <c r="C506" s="92" t="s">
        <v>2639</v>
      </c>
      <c r="D506" s="7" t="s">
        <v>34</v>
      </c>
      <c r="E506" s="92" t="s">
        <v>2634</v>
      </c>
      <c r="F506" s="7">
        <v>1703.0</v>
      </c>
      <c r="G506" s="7" t="s">
        <v>21</v>
      </c>
      <c r="H506" s="7" t="s">
        <v>2635</v>
      </c>
      <c r="I506" s="8">
        <v>46177.0</v>
      </c>
      <c r="J506" s="7" t="s">
        <v>2582</v>
      </c>
      <c r="K506" s="66"/>
      <c r="L506" s="10">
        <v>0.4583333333333333</v>
      </c>
      <c r="M506" s="10">
        <v>0.9166666666666666</v>
      </c>
      <c r="N506" s="7" t="s">
        <v>2640</v>
      </c>
      <c r="O506" s="67">
        <v>-7291741.0</v>
      </c>
      <c r="P506" s="67">
        <v>1.12761856E8</v>
      </c>
      <c r="Q506" s="68" t="s">
        <v>2641</v>
      </c>
      <c r="R506" s="66"/>
      <c r="S506" s="66"/>
      <c r="T506" s="66"/>
      <c r="U506" s="66"/>
      <c r="V506" s="66"/>
      <c r="W506" s="66"/>
      <c r="X506" s="66"/>
      <c r="Y506" s="66"/>
      <c r="Z506" s="66"/>
      <c r="AA506" s="66"/>
      <c r="AB506" s="66"/>
      <c r="AC506" s="66"/>
      <c r="AD506" s="66"/>
      <c r="AE506" s="66"/>
    </row>
    <row r="507">
      <c r="A507" s="13">
        <f t="shared" si="1"/>
        <v>506</v>
      </c>
      <c r="B507" s="7" t="s">
        <v>2642</v>
      </c>
      <c r="C507" s="92" t="s">
        <v>2643</v>
      </c>
      <c r="D507" s="7" t="s">
        <v>34</v>
      </c>
      <c r="E507" s="92" t="s">
        <v>2644</v>
      </c>
      <c r="F507" s="7">
        <v>257.0</v>
      </c>
      <c r="G507" s="7" t="s">
        <v>21</v>
      </c>
      <c r="H507" s="7">
        <v>115000.0</v>
      </c>
      <c r="I507" s="8">
        <v>46177.0</v>
      </c>
      <c r="J507" s="7" t="s">
        <v>2582</v>
      </c>
      <c r="K507" s="66"/>
      <c r="L507" s="10">
        <v>0.3333333333333333</v>
      </c>
      <c r="M507" s="10">
        <v>0.9166666666666666</v>
      </c>
      <c r="N507" s="50" t="s">
        <v>2645</v>
      </c>
      <c r="O507" s="51">
        <v>-7.2861622E7</v>
      </c>
      <c r="P507" s="51">
        <v>1.126993178E9</v>
      </c>
      <c r="Q507" s="68" t="s">
        <v>2646</v>
      </c>
      <c r="R507" s="66"/>
      <c r="S507" s="66"/>
      <c r="T507" s="66"/>
      <c r="U507" s="66"/>
      <c r="V507" s="66"/>
      <c r="W507" s="66"/>
      <c r="X507" s="66"/>
      <c r="Y507" s="66"/>
      <c r="Z507" s="66"/>
      <c r="AA507" s="66"/>
      <c r="AB507" s="66"/>
      <c r="AC507" s="66"/>
      <c r="AD507" s="66"/>
      <c r="AE507" s="66"/>
    </row>
    <row r="508">
      <c r="A508" s="13">
        <f t="shared" si="1"/>
        <v>507</v>
      </c>
      <c r="B508" s="7" t="s">
        <v>2647</v>
      </c>
      <c r="C508" s="92" t="s">
        <v>2648</v>
      </c>
      <c r="D508" s="7" t="s">
        <v>34</v>
      </c>
      <c r="E508" s="92" t="s">
        <v>2634</v>
      </c>
      <c r="F508" s="7">
        <v>927.0</v>
      </c>
      <c r="G508" s="7" t="s">
        <v>21</v>
      </c>
      <c r="H508" s="7" t="s">
        <v>22</v>
      </c>
      <c r="I508" s="8">
        <v>46116.0</v>
      </c>
      <c r="J508" s="7" t="s">
        <v>2582</v>
      </c>
      <c r="K508" s="66"/>
      <c r="L508" s="10">
        <v>0.5833333333333334</v>
      </c>
      <c r="M508" s="10">
        <v>0.9166666666666666</v>
      </c>
      <c r="N508" s="50" t="s">
        <v>2649</v>
      </c>
      <c r="O508" s="51">
        <v>-7.2567877E7</v>
      </c>
      <c r="P508" s="51">
        <v>1.127591215E9</v>
      </c>
      <c r="Q508" s="68" t="s">
        <v>2650</v>
      </c>
      <c r="R508" s="66"/>
      <c r="S508" s="66"/>
      <c r="T508" s="66"/>
      <c r="U508" s="66"/>
      <c r="V508" s="66"/>
      <c r="W508" s="66"/>
      <c r="X508" s="66"/>
      <c r="Y508" s="66"/>
      <c r="Z508" s="66"/>
      <c r="AA508" s="66"/>
      <c r="AB508" s="66"/>
      <c r="AC508" s="66"/>
      <c r="AD508" s="66"/>
      <c r="AE508" s="66"/>
    </row>
    <row r="509">
      <c r="A509" s="13">
        <f t="shared" si="1"/>
        <v>508</v>
      </c>
      <c r="B509" s="7" t="s">
        <v>2651</v>
      </c>
      <c r="C509" s="92" t="s">
        <v>2652</v>
      </c>
      <c r="D509" s="7" t="s">
        <v>19</v>
      </c>
      <c r="E509" s="92" t="s">
        <v>2592</v>
      </c>
      <c r="F509" s="7">
        <v>239.0</v>
      </c>
      <c r="G509" s="7" t="s">
        <v>21</v>
      </c>
      <c r="H509" s="7" t="s">
        <v>221</v>
      </c>
      <c r="I509" s="8">
        <v>46269.0</v>
      </c>
      <c r="J509" s="7" t="s">
        <v>58</v>
      </c>
      <c r="K509" s="7" t="s">
        <v>59</v>
      </c>
      <c r="L509" s="10">
        <v>0.3333333333333333</v>
      </c>
      <c r="M509" s="10">
        <v>0.7291666666666666</v>
      </c>
      <c r="N509" s="7" t="s">
        <v>2653</v>
      </c>
      <c r="O509" s="67">
        <v>-7288321.0</v>
      </c>
      <c r="P509" s="67">
        <v>1.127088618E9</v>
      </c>
      <c r="Q509" s="68" t="s">
        <v>2654</v>
      </c>
      <c r="R509" s="66"/>
      <c r="S509" s="66"/>
      <c r="T509" s="66"/>
      <c r="U509" s="66"/>
      <c r="V509" s="66"/>
      <c r="W509" s="66"/>
      <c r="X509" s="66"/>
      <c r="Y509" s="66"/>
      <c r="Z509" s="66"/>
      <c r="AA509" s="66"/>
      <c r="AB509" s="66"/>
      <c r="AC509" s="66"/>
      <c r="AD509" s="66"/>
      <c r="AE509" s="66"/>
    </row>
    <row r="510">
      <c r="A510" s="13">
        <f t="shared" si="1"/>
        <v>509</v>
      </c>
      <c r="B510" s="7" t="s">
        <v>2655</v>
      </c>
      <c r="C510" s="92" t="s">
        <v>2656</v>
      </c>
      <c r="D510" s="7" t="s">
        <v>46</v>
      </c>
      <c r="E510" s="92" t="s">
        <v>2657</v>
      </c>
      <c r="F510" s="7">
        <v>998.0</v>
      </c>
      <c r="G510" s="7" t="s">
        <v>21</v>
      </c>
      <c r="H510" s="7">
        <v>0.0</v>
      </c>
      <c r="I510" s="8">
        <v>46146.0</v>
      </c>
      <c r="J510" s="7" t="s">
        <v>2582</v>
      </c>
      <c r="K510" s="66"/>
      <c r="L510" s="10">
        <v>0.25</v>
      </c>
      <c r="M510" s="10">
        <v>0.75</v>
      </c>
      <c r="N510" s="50" t="s">
        <v>2658</v>
      </c>
      <c r="O510" s="95">
        <v>-7.2755677E7</v>
      </c>
      <c r="P510" s="95">
        <v>1.126671294E9</v>
      </c>
      <c r="Q510" s="68" t="s">
        <v>2659</v>
      </c>
      <c r="R510" s="66"/>
      <c r="S510" s="66"/>
      <c r="T510" s="66"/>
      <c r="U510" s="66"/>
      <c r="V510" s="66"/>
      <c r="W510" s="66"/>
      <c r="X510" s="66"/>
      <c r="Y510" s="66"/>
      <c r="Z510" s="66"/>
      <c r="AA510" s="66"/>
      <c r="AB510" s="66"/>
      <c r="AC510" s="66"/>
      <c r="AD510" s="66"/>
      <c r="AE510" s="66"/>
    </row>
    <row r="511">
      <c r="A511" s="13">
        <f t="shared" si="1"/>
        <v>510</v>
      </c>
      <c r="B511" s="7" t="s">
        <v>2660</v>
      </c>
      <c r="C511" s="92" t="s">
        <v>2661</v>
      </c>
      <c r="D511" s="7" t="s">
        <v>34</v>
      </c>
      <c r="E511" s="92" t="s">
        <v>2662</v>
      </c>
      <c r="F511" s="7">
        <v>185.0</v>
      </c>
      <c r="G511" s="7" t="s">
        <v>21</v>
      </c>
      <c r="H511" s="7" t="s">
        <v>22</v>
      </c>
      <c r="I511" s="8">
        <v>46177.0</v>
      </c>
      <c r="J511" s="7" t="s">
        <v>2663</v>
      </c>
      <c r="K511" s="7" t="s">
        <v>2664</v>
      </c>
      <c r="L511" s="10">
        <v>0.25</v>
      </c>
      <c r="M511" s="10">
        <v>0.625</v>
      </c>
      <c r="N511" s="7" t="s">
        <v>2665</v>
      </c>
      <c r="O511" s="67">
        <v>-7.3038768E7</v>
      </c>
      <c r="P511" s="67">
        <v>1.126638241E9</v>
      </c>
      <c r="Q511" s="68" t="s">
        <v>2666</v>
      </c>
      <c r="R511" s="66"/>
      <c r="S511" s="66"/>
      <c r="T511" s="66"/>
      <c r="U511" s="66"/>
      <c r="V511" s="66"/>
      <c r="W511" s="66"/>
      <c r="X511" s="66"/>
      <c r="Y511" s="66"/>
      <c r="Z511" s="66"/>
      <c r="AA511" s="66"/>
      <c r="AB511" s="66"/>
      <c r="AC511" s="66"/>
      <c r="AD511" s="66"/>
      <c r="AE511" s="66"/>
    </row>
    <row r="512">
      <c r="A512" s="13">
        <f t="shared" si="1"/>
        <v>511</v>
      </c>
      <c r="B512" s="7" t="s">
        <v>2667</v>
      </c>
      <c r="C512" s="92" t="s">
        <v>2668</v>
      </c>
      <c r="D512" s="7" t="s">
        <v>46</v>
      </c>
      <c r="E512" s="92" t="s">
        <v>2669</v>
      </c>
      <c r="F512" s="7">
        <v>6148.0</v>
      </c>
      <c r="G512" s="7" t="s">
        <v>21</v>
      </c>
      <c r="H512" s="7">
        <v>0.0</v>
      </c>
      <c r="I512" s="8">
        <v>46207.0</v>
      </c>
      <c r="J512" s="7" t="s">
        <v>2582</v>
      </c>
      <c r="K512" s="66"/>
      <c r="L512" s="10">
        <v>0.0</v>
      </c>
      <c r="M512" s="10">
        <v>0.0</v>
      </c>
      <c r="N512" s="6" t="s">
        <v>2670</v>
      </c>
      <c r="O512" s="11">
        <v>-7.267778E7</v>
      </c>
      <c r="P512" s="11">
        <v>1.127443989E9</v>
      </c>
      <c r="Q512" s="68" t="s">
        <v>2671</v>
      </c>
      <c r="R512" s="66"/>
      <c r="S512" s="66"/>
      <c r="T512" s="66"/>
      <c r="U512" s="66"/>
      <c r="V512" s="66"/>
      <c r="W512" s="66"/>
      <c r="X512" s="66"/>
      <c r="Y512" s="66"/>
      <c r="Z512" s="66"/>
      <c r="AA512" s="66"/>
      <c r="AB512" s="66"/>
      <c r="AC512" s="66"/>
      <c r="AD512" s="66"/>
      <c r="AE512" s="66"/>
    </row>
    <row r="513">
      <c r="A513" s="13">
        <f t="shared" si="1"/>
        <v>512</v>
      </c>
      <c r="B513" s="16" t="s">
        <v>2672</v>
      </c>
      <c r="C513" s="93" t="s">
        <v>2673</v>
      </c>
      <c r="D513" s="16" t="s">
        <v>19</v>
      </c>
      <c r="E513" s="93" t="s">
        <v>2674</v>
      </c>
      <c r="F513" s="15">
        <v>1723.0</v>
      </c>
      <c r="G513" s="16" t="s">
        <v>21</v>
      </c>
      <c r="H513" s="15" t="s">
        <v>221</v>
      </c>
      <c r="I513" s="17">
        <v>46146.0</v>
      </c>
      <c r="J513" s="16" t="s">
        <v>23</v>
      </c>
      <c r="K513" s="16"/>
      <c r="L513" s="18">
        <v>0.3333333333333333</v>
      </c>
      <c r="M513" s="18">
        <v>0.875</v>
      </c>
      <c r="N513" s="96" t="s">
        <v>2675</v>
      </c>
      <c r="O513" s="51">
        <v>-7.2582493E7</v>
      </c>
      <c r="P513" s="95">
        <v>1.127295048E9</v>
      </c>
      <c r="Q513" s="74" t="s">
        <v>2676</v>
      </c>
      <c r="R513" s="64"/>
      <c r="S513" s="64"/>
      <c r="T513" s="64"/>
      <c r="U513" s="64"/>
      <c r="V513" s="64"/>
      <c r="W513" s="64"/>
      <c r="X513" s="64"/>
      <c r="Y513" s="64"/>
      <c r="Z513" s="64"/>
      <c r="AA513" s="64"/>
      <c r="AB513" s="64"/>
      <c r="AC513" s="64"/>
      <c r="AD513" s="64"/>
      <c r="AE513" s="64"/>
    </row>
    <row r="514">
      <c r="A514" s="13">
        <f t="shared" si="1"/>
        <v>513</v>
      </c>
      <c r="B514" s="7" t="s">
        <v>2677</v>
      </c>
      <c r="C514" s="92" t="s">
        <v>2678</v>
      </c>
      <c r="D514" s="7" t="s">
        <v>34</v>
      </c>
      <c r="E514" s="92" t="s">
        <v>2679</v>
      </c>
      <c r="F514" s="7">
        <v>435.0</v>
      </c>
      <c r="G514" s="7" t="s">
        <v>21</v>
      </c>
      <c r="H514" s="7" t="s">
        <v>2635</v>
      </c>
      <c r="I514" s="8">
        <v>46177.0</v>
      </c>
      <c r="J514" s="7" t="s">
        <v>2582</v>
      </c>
      <c r="K514" s="66"/>
      <c r="L514" s="10">
        <v>0.4583333333333333</v>
      </c>
      <c r="M514" s="10">
        <v>0.7916666666666666</v>
      </c>
      <c r="N514" s="7" t="s">
        <v>2680</v>
      </c>
      <c r="O514" s="67">
        <v>-7278504.0</v>
      </c>
      <c r="P514" s="67">
        <v>1.12736912E8</v>
      </c>
      <c r="Q514" s="68" t="s">
        <v>2681</v>
      </c>
      <c r="R514" s="66"/>
      <c r="S514" s="66"/>
      <c r="T514" s="66"/>
      <c r="U514" s="66"/>
      <c r="V514" s="66"/>
      <c r="W514" s="66"/>
      <c r="X514" s="66"/>
      <c r="Y514" s="66"/>
      <c r="Z514" s="66"/>
      <c r="AA514" s="66"/>
      <c r="AB514" s="66"/>
      <c r="AC514" s="66"/>
      <c r="AD514" s="66"/>
      <c r="AE514" s="66"/>
    </row>
    <row r="515">
      <c r="A515" s="13">
        <f t="shared" si="1"/>
        <v>514</v>
      </c>
      <c r="B515" s="36" t="s">
        <v>2682</v>
      </c>
      <c r="C515" s="97" t="s">
        <v>2683</v>
      </c>
      <c r="D515" s="36" t="s">
        <v>19</v>
      </c>
      <c r="E515" s="97" t="s">
        <v>2684</v>
      </c>
      <c r="F515" s="16">
        <v>138.0</v>
      </c>
      <c r="G515" s="36" t="s">
        <v>21</v>
      </c>
      <c r="H515" s="79" t="s">
        <v>22</v>
      </c>
      <c r="I515" s="39">
        <v>46269.0</v>
      </c>
      <c r="J515" s="44" t="s">
        <v>2582</v>
      </c>
      <c r="K515" s="40"/>
      <c r="L515" s="41">
        <v>0.3333333333333333</v>
      </c>
      <c r="M515" s="41">
        <v>0.9166666666666666</v>
      </c>
      <c r="N515" s="96" t="s">
        <v>2685</v>
      </c>
      <c r="O515" s="95">
        <v>-7.2943175E7</v>
      </c>
      <c r="P515" s="95">
        <v>1.127410265E9</v>
      </c>
      <c r="Q515" s="42" t="s">
        <v>2686</v>
      </c>
      <c r="R515" s="43"/>
      <c r="S515" s="43"/>
      <c r="T515" s="43"/>
      <c r="U515" s="43"/>
      <c r="V515" s="43"/>
      <c r="W515" s="43"/>
      <c r="X515" s="43"/>
      <c r="Y515" s="43"/>
      <c r="Z515" s="43"/>
      <c r="AA515" s="43"/>
      <c r="AB515" s="43"/>
      <c r="AC515" s="43"/>
      <c r="AD515" s="43"/>
      <c r="AE515" s="43"/>
    </row>
    <row r="516">
      <c r="A516" s="13">
        <f t="shared" si="1"/>
        <v>515</v>
      </c>
      <c r="B516" s="6" t="s">
        <v>2687</v>
      </c>
      <c r="C516" s="98" t="s">
        <v>2688</v>
      </c>
      <c r="D516" s="6" t="s">
        <v>34</v>
      </c>
      <c r="E516" s="98" t="s">
        <v>2634</v>
      </c>
      <c r="F516" s="7">
        <v>1408.0</v>
      </c>
      <c r="G516" s="6" t="s">
        <v>21</v>
      </c>
      <c r="H516" s="7" t="s">
        <v>22</v>
      </c>
      <c r="I516" s="8">
        <v>46146.0</v>
      </c>
      <c r="J516" s="6" t="s">
        <v>2582</v>
      </c>
      <c r="L516" s="10">
        <v>0.4166666666666667</v>
      </c>
      <c r="M516" s="10">
        <v>0.875</v>
      </c>
      <c r="N516" s="50" t="s">
        <v>2689</v>
      </c>
      <c r="O516" s="51">
        <v>-7.2839081E7</v>
      </c>
      <c r="P516" s="51">
        <v>1.127578706E9</v>
      </c>
      <c r="Q516" s="12" t="s">
        <v>2690</v>
      </c>
    </row>
    <row r="517">
      <c r="A517" s="13">
        <f t="shared" si="1"/>
        <v>516</v>
      </c>
      <c r="B517" s="6" t="s">
        <v>2691</v>
      </c>
      <c r="C517" s="98" t="s">
        <v>2692</v>
      </c>
      <c r="D517" s="6" t="s">
        <v>34</v>
      </c>
      <c r="E517" s="98" t="s">
        <v>2693</v>
      </c>
      <c r="F517" s="7">
        <v>6739.0</v>
      </c>
      <c r="G517" s="6" t="s">
        <v>21</v>
      </c>
      <c r="H517" s="7">
        <v>0.0</v>
      </c>
      <c r="I517" s="8">
        <v>46116.0</v>
      </c>
      <c r="J517" s="6" t="s">
        <v>2582</v>
      </c>
      <c r="L517" s="10">
        <v>0.2916666666666667</v>
      </c>
      <c r="M517" s="10">
        <v>0.9166666666666666</v>
      </c>
      <c r="N517" s="50" t="s">
        <v>2694</v>
      </c>
      <c r="O517" s="51">
        <v>-7.2344314E7</v>
      </c>
      <c r="P517" s="51">
        <v>1.127397358E9</v>
      </c>
      <c r="Q517" s="12" t="s">
        <v>2695</v>
      </c>
    </row>
    <row r="518">
      <c r="A518" s="13">
        <f t="shared" si="1"/>
        <v>517</v>
      </c>
      <c r="B518" s="9" t="s">
        <v>2696</v>
      </c>
      <c r="C518" s="99" t="s">
        <v>2697</v>
      </c>
      <c r="D518" s="9" t="s">
        <v>46</v>
      </c>
      <c r="E518" s="100" t="s">
        <v>2698</v>
      </c>
      <c r="F518" s="15">
        <v>216.0</v>
      </c>
      <c r="G518" s="9" t="s">
        <v>21</v>
      </c>
      <c r="H518" s="26">
        <v>0.0</v>
      </c>
      <c r="I518" s="17">
        <v>46146.0</v>
      </c>
      <c r="J518" s="9" t="s">
        <v>23</v>
      </c>
      <c r="K518" s="9"/>
      <c r="L518" s="18">
        <v>0.0</v>
      </c>
      <c r="M518" s="18">
        <v>0.9993055555555556</v>
      </c>
      <c r="N518" s="6" t="s">
        <v>2699</v>
      </c>
      <c r="O518" s="11">
        <v>-7.2637159E7</v>
      </c>
      <c r="P518" s="94">
        <v>1.127428224E9</v>
      </c>
      <c r="Q518" s="22" t="s">
        <v>2700</v>
      </c>
      <c r="R518" s="23"/>
      <c r="S518" s="23"/>
      <c r="T518" s="23"/>
      <c r="U518" s="23"/>
      <c r="V518" s="23"/>
      <c r="W518" s="23"/>
      <c r="X518" s="23"/>
      <c r="Y518" s="23"/>
      <c r="Z518" s="23"/>
      <c r="AA518" s="23"/>
      <c r="AB518" s="23"/>
      <c r="AC518" s="23"/>
      <c r="AD518" s="23"/>
      <c r="AE518" s="23"/>
    </row>
    <row r="519">
      <c r="A519" s="13">
        <f t="shared" si="1"/>
        <v>518</v>
      </c>
      <c r="B519" s="6" t="s">
        <v>2701</v>
      </c>
      <c r="C519" s="98" t="s">
        <v>2702</v>
      </c>
      <c r="D519" s="6" t="s">
        <v>34</v>
      </c>
      <c r="E519" s="98" t="s">
        <v>2611</v>
      </c>
      <c r="F519" s="7">
        <v>441.0</v>
      </c>
      <c r="G519" s="6" t="s">
        <v>21</v>
      </c>
      <c r="H519" s="7">
        <v>25000.0</v>
      </c>
      <c r="I519" s="8">
        <v>46026.0</v>
      </c>
      <c r="J519" s="6" t="s">
        <v>2582</v>
      </c>
      <c r="L519" s="10">
        <v>0.4166666666666667</v>
      </c>
      <c r="M519" s="10">
        <v>0.0</v>
      </c>
      <c r="N519" s="50" t="s">
        <v>2703</v>
      </c>
      <c r="O519" s="51">
        <v>-7255943.0</v>
      </c>
      <c r="P519" s="51">
        <v>1.127315939E9</v>
      </c>
      <c r="Q519" s="12" t="s">
        <v>2704</v>
      </c>
    </row>
    <row r="520">
      <c r="A520" s="13">
        <f t="shared" si="1"/>
        <v>519</v>
      </c>
      <c r="B520" s="6" t="s">
        <v>2705</v>
      </c>
      <c r="C520" s="98" t="s">
        <v>2706</v>
      </c>
      <c r="D520" s="6" t="s">
        <v>34</v>
      </c>
      <c r="E520" s="98" t="s">
        <v>2707</v>
      </c>
      <c r="F520" s="7">
        <v>430.0</v>
      </c>
      <c r="G520" s="6" t="s">
        <v>21</v>
      </c>
      <c r="H520" s="7">
        <v>0.0</v>
      </c>
      <c r="I520" s="8">
        <v>46146.0</v>
      </c>
      <c r="J520" s="6" t="s">
        <v>2582</v>
      </c>
      <c r="K520" s="6"/>
      <c r="L520" s="10">
        <v>0.4583333333333333</v>
      </c>
      <c r="M520" s="10">
        <v>0.8958333333333334</v>
      </c>
      <c r="N520" s="50" t="s">
        <v>2708</v>
      </c>
      <c r="O520" s="51">
        <v>-7.2920203E7</v>
      </c>
      <c r="P520" s="51">
        <v>1.127169736E9</v>
      </c>
      <c r="Q520" s="12" t="s">
        <v>2709</v>
      </c>
    </row>
    <row r="521">
      <c r="A521" s="13">
        <f t="shared" si="1"/>
        <v>520</v>
      </c>
      <c r="B521" s="6" t="s">
        <v>2710</v>
      </c>
      <c r="C521" s="98" t="s">
        <v>2711</v>
      </c>
      <c r="D521" s="6" t="s">
        <v>34</v>
      </c>
      <c r="E521" s="98" t="s">
        <v>2712</v>
      </c>
      <c r="F521" s="7">
        <v>733.0</v>
      </c>
      <c r="G521" s="6" t="s">
        <v>21</v>
      </c>
      <c r="H521" s="7">
        <v>250000.0</v>
      </c>
      <c r="I521" s="8">
        <v>46177.0</v>
      </c>
      <c r="J521" s="6" t="s">
        <v>2582</v>
      </c>
      <c r="L521" s="10">
        <v>0.6666666666666666</v>
      </c>
      <c r="M521" s="10">
        <v>0.9166666666666666</v>
      </c>
      <c r="N521" s="50" t="s">
        <v>2713</v>
      </c>
      <c r="O521" s="51">
        <v>-7269212.0</v>
      </c>
      <c r="P521" s="51">
        <v>1.12749755E8</v>
      </c>
      <c r="Q521" s="12" t="s">
        <v>2714</v>
      </c>
    </row>
    <row r="522">
      <c r="A522" s="13">
        <f t="shared" si="1"/>
        <v>521</v>
      </c>
      <c r="B522" s="9" t="s">
        <v>2715</v>
      </c>
      <c r="C522" s="98" t="s">
        <v>2716</v>
      </c>
      <c r="D522" s="9" t="s">
        <v>34</v>
      </c>
      <c r="E522" s="98" t="s">
        <v>2717</v>
      </c>
      <c r="F522" s="15">
        <v>315.0</v>
      </c>
      <c r="G522" s="9" t="s">
        <v>21</v>
      </c>
      <c r="H522" s="26" t="s">
        <v>29</v>
      </c>
      <c r="I522" s="17">
        <v>46146.0</v>
      </c>
      <c r="J522" s="9" t="s">
        <v>23</v>
      </c>
      <c r="K522" s="9"/>
      <c r="L522" s="18">
        <v>0.25</v>
      </c>
      <c r="M522" s="18">
        <v>0.9166666666666666</v>
      </c>
      <c r="N522" s="101" t="s">
        <v>2718</v>
      </c>
      <c r="O522" s="11">
        <v>-7284928.0</v>
      </c>
      <c r="P522" s="94">
        <v>1.12739425E8</v>
      </c>
      <c r="Q522" s="22" t="s">
        <v>2719</v>
      </c>
      <c r="R522" s="43"/>
      <c r="S522" s="43"/>
      <c r="T522" s="43"/>
      <c r="U522" s="43"/>
      <c r="V522" s="43"/>
      <c r="W522" s="43"/>
      <c r="X522" s="43"/>
      <c r="Y522" s="43"/>
      <c r="Z522" s="43"/>
      <c r="AA522" s="43"/>
      <c r="AB522" s="43"/>
      <c r="AC522" s="43"/>
      <c r="AD522" s="43"/>
      <c r="AE522" s="43"/>
    </row>
    <row r="523">
      <c r="A523" s="13">
        <f t="shared" si="1"/>
        <v>522</v>
      </c>
      <c r="B523" s="6" t="s">
        <v>2720</v>
      </c>
      <c r="C523" s="98" t="s">
        <v>2721</v>
      </c>
      <c r="D523" s="6" t="s">
        <v>34</v>
      </c>
      <c r="E523" s="98" t="s">
        <v>2634</v>
      </c>
      <c r="F523" s="7">
        <v>163.0</v>
      </c>
      <c r="G523" s="6" t="s">
        <v>21</v>
      </c>
      <c r="H523" s="7">
        <v>25000.0</v>
      </c>
      <c r="I523" s="8">
        <v>46146.0</v>
      </c>
      <c r="J523" s="6" t="s">
        <v>2582</v>
      </c>
      <c r="L523" s="10">
        <v>0.4583333333333333</v>
      </c>
      <c r="M523" s="10">
        <v>0.9166666666666666</v>
      </c>
      <c r="N523" s="50" t="s">
        <v>2722</v>
      </c>
      <c r="O523" s="51">
        <v>-7.3001846E7</v>
      </c>
      <c r="P523" s="51">
        <v>1.127716963E9</v>
      </c>
      <c r="Q523" s="12" t="s">
        <v>2723</v>
      </c>
    </row>
    <row r="524">
      <c r="A524" s="13">
        <f t="shared" si="1"/>
        <v>523</v>
      </c>
      <c r="B524" s="6" t="s">
        <v>2724</v>
      </c>
      <c r="C524" s="98" t="s">
        <v>2725</v>
      </c>
      <c r="D524" s="6" t="s">
        <v>19</v>
      </c>
      <c r="E524" s="98" t="s">
        <v>2726</v>
      </c>
      <c r="F524" s="7">
        <v>1152.0</v>
      </c>
      <c r="G524" s="6" t="s">
        <v>21</v>
      </c>
      <c r="H524" s="7" t="s">
        <v>22</v>
      </c>
      <c r="I524" s="8">
        <v>46238.0</v>
      </c>
      <c r="J524" s="6" t="s">
        <v>2582</v>
      </c>
      <c r="L524" s="10">
        <v>0.3333333333333333</v>
      </c>
      <c r="M524" s="10">
        <v>0.8958333333333334</v>
      </c>
      <c r="N524" s="50" t="s">
        <v>2727</v>
      </c>
      <c r="O524" s="51">
        <v>-7.2658557E7</v>
      </c>
      <c r="P524" s="51">
        <v>1.127961571E9</v>
      </c>
      <c r="Q524" s="12" t="s">
        <v>2728</v>
      </c>
    </row>
    <row r="525">
      <c r="A525" s="13">
        <f t="shared" si="1"/>
        <v>524</v>
      </c>
      <c r="B525" s="28" t="s">
        <v>2729</v>
      </c>
      <c r="C525" s="92" t="s">
        <v>2730</v>
      </c>
      <c r="D525" s="28" t="s">
        <v>19</v>
      </c>
      <c r="E525" s="92" t="s">
        <v>2731</v>
      </c>
      <c r="F525" s="28">
        <v>395.0</v>
      </c>
      <c r="G525" s="28" t="s">
        <v>21</v>
      </c>
      <c r="H525" s="28" t="s">
        <v>22</v>
      </c>
      <c r="I525" s="29">
        <v>46207.0</v>
      </c>
      <c r="J525" s="28" t="s">
        <v>23</v>
      </c>
      <c r="K525" s="30"/>
      <c r="L525" s="31">
        <v>0.2916666666666667</v>
      </c>
      <c r="M525" s="31">
        <v>0.9583333333333334</v>
      </c>
      <c r="N525" s="96" t="s">
        <v>2732</v>
      </c>
      <c r="O525" s="95">
        <v>-7290993.0</v>
      </c>
      <c r="P525" s="95">
        <v>1.127350497E9</v>
      </c>
      <c r="Q525" s="42" t="s">
        <v>2733</v>
      </c>
      <c r="R525" s="43"/>
      <c r="S525" s="43"/>
      <c r="T525" s="43"/>
      <c r="U525" s="43"/>
      <c r="V525" s="43"/>
      <c r="W525" s="43"/>
      <c r="X525" s="43"/>
      <c r="Y525" s="43"/>
      <c r="Z525" s="43"/>
      <c r="AA525" s="43"/>
      <c r="AB525" s="43"/>
      <c r="AC525" s="43"/>
      <c r="AD525" s="43"/>
      <c r="AE525" s="43"/>
    </row>
    <row r="526">
      <c r="A526" s="13">
        <f t="shared" si="1"/>
        <v>525</v>
      </c>
      <c r="B526" s="6" t="s">
        <v>2734</v>
      </c>
      <c r="C526" s="98" t="s">
        <v>2735</v>
      </c>
      <c r="D526" s="6" t="s">
        <v>34</v>
      </c>
      <c r="E526" s="98" t="s">
        <v>2611</v>
      </c>
      <c r="F526" s="7">
        <v>34.0</v>
      </c>
      <c r="G526" s="6" t="s">
        <v>21</v>
      </c>
      <c r="H526" s="7">
        <v>25000.0</v>
      </c>
      <c r="I526" s="8">
        <v>46269.0</v>
      </c>
      <c r="J526" s="6" t="s">
        <v>2582</v>
      </c>
      <c r="L526" s="10">
        <v>0.75</v>
      </c>
      <c r="M526" s="10">
        <v>0.9166666666666666</v>
      </c>
      <c r="N526" s="50" t="s">
        <v>2736</v>
      </c>
      <c r="O526" s="51">
        <v>-7.2948976E7</v>
      </c>
      <c r="P526" s="51">
        <v>1.127339537E9</v>
      </c>
      <c r="Q526" s="12" t="s">
        <v>2737</v>
      </c>
    </row>
    <row r="527">
      <c r="A527" s="13">
        <f t="shared" si="1"/>
        <v>526</v>
      </c>
      <c r="B527" s="6" t="s">
        <v>2738</v>
      </c>
      <c r="C527" s="98" t="s">
        <v>2739</v>
      </c>
      <c r="D527" s="6" t="s">
        <v>34</v>
      </c>
      <c r="E527" s="98" t="s">
        <v>2597</v>
      </c>
      <c r="F527" s="7">
        <v>310.0</v>
      </c>
      <c r="G527" s="6" t="s">
        <v>21</v>
      </c>
      <c r="H527" s="7">
        <v>25000.0</v>
      </c>
      <c r="I527" s="8">
        <v>46116.0</v>
      </c>
      <c r="J527" s="6" t="s">
        <v>2582</v>
      </c>
      <c r="L527" s="10">
        <v>0.25</v>
      </c>
      <c r="M527" s="10">
        <v>0.9583333333333334</v>
      </c>
      <c r="N527" s="50" t="s">
        <v>2740</v>
      </c>
      <c r="O527" s="51">
        <v>-7268225.0</v>
      </c>
      <c r="P527" s="51">
        <v>1.126662802E9</v>
      </c>
      <c r="Q527" s="12" t="s">
        <v>2741</v>
      </c>
    </row>
    <row r="528">
      <c r="A528" s="13">
        <f t="shared" si="1"/>
        <v>527</v>
      </c>
      <c r="B528" s="6" t="s">
        <v>2742</v>
      </c>
      <c r="C528" s="98" t="s">
        <v>2743</v>
      </c>
      <c r="D528" s="6" t="s">
        <v>34</v>
      </c>
      <c r="E528" s="98" t="s">
        <v>2744</v>
      </c>
      <c r="F528" s="7">
        <v>546.0</v>
      </c>
      <c r="G528" s="6" t="s">
        <v>21</v>
      </c>
      <c r="H528" s="7" t="s">
        <v>22</v>
      </c>
      <c r="I528" s="8">
        <v>46057.0</v>
      </c>
      <c r="J528" s="6" t="s">
        <v>2582</v>
      </c>
      <c r="L528" s="10">
        <v>0.3333333333333333</v>
      </c>
      <c r="M528" s="10">
        <v>0.0</v>
      </c>
      <c r="N528" s="6" t="s">
        <v>2745</v>
      </c>
      <c r="O528" s="11">
        <v>-7.2826313E7</v>
      </c>
      <c r="P528" s="11">
        <v>1.127560031E9</v>
      </c>
      <c r="Q528" s="12" t="s">
        <v>2746</v>
      </c>
    </row>
    <row r="529">
      <c r="A529" s="13">
        <f t="shared" si="1"/>
        <v>528</v>
      </c>
      <c r="B529" s="27" t="s">
        <v>2747</v>
      </c>
      <c r="C529" s="98" t="s">
        <v>2748</v>
      </c>
      <c r="D529" s="9" t="s">
        <v>19</v>
      </c>
      <c r="E529" s="98" t="s">
        <v>2749</v>
      </c>
      <c r="F529" s="15">
        <v>1427.0</v>
      </c>
      <c r="G529" s="9" t="s">
        <v>21</v>
      </c>
      <c r="H529" s="26" t="s">
        <v>22</v>
      </c>
      <c r="I529" s="39">
        <v>46146.0</v>
      </c>
      <c r="J529" s="9" t="s">
        <v>23</v>
      </c>
      <c r="K529" s="9"/>
      <c r="L529" s="102">
        <v>0.375</v>
      </c>
      <c r="M529" s="102">
        <v>0.8958333333333334</v>
      </c>
      <c r="N529" s="94" t="s">
        <v>2750</v>
      </c>
      <c r="O529" s="94">
        <v>-7.2586409E7</v>
      </c>
      <c r="P529" s="94">
        <v>1.127383817E9</v>
      </c>
      <c r="Q529" s="42" t="s">
        <v>2751</v>
      </c>
      <c r="R529" s="43"/>
      <c r="S529" s="43"/>
      <c r="T529" s="43"/>
      <c r="U529" s="43"/>
      <c r="V529" s="43"/>
      <c r="W529" s="43"/>
      <c r="X529" s="43"/>
      <c r="Y529" s="43"/>
      <c r="Z529" s="43"/>
      <c r="AA529" s="43"/>
      <c r="AB529" s="43"/>
      <c r="AC529" s="43"/>
      <c r="AD529" s="43"/>
      <c r="AE529" s="43"/>
    </row>
    <row r="530">
      <c r="A530" s="13">
        <f t="shared" si="1"/>
        <v>529</v>
      </c>
      <c r="B530" s="28" t="s">
        <v>2752</v>
      </c>
      <c r="C530" s="92" t="s">
        <v>2753</v>
      </c>
      <c r="D530" s="28" t="s">
        <v>34</v>
      </c>
      <c r="E530" s="92" t="s">
        <v>2754</v>
      </c>
      <c r="F530" s="28">
        <v>6716.0</v>
      </c>
      <c r="G530" s="28" t="s">
        <v>21</v>
      </c>
      <c r="H530" s="28">
        <v>25000.0</v>
      </c>
      <c r="I530" s="29">
        <v>46146.0</v>
      </c>
      <c r="J530" s="28" t="s">
        <v>23</v>
      </c>
      <c r="K530" s="30"/>
      <c r="L530" s="31">
        <v>0.7083333333333334</v>
      </c>
      <c r="M530" s="31">
        <v>0.08333333333333333</v>
      </c>
      <c r="N530" s="96" t="s">
        <v>2755</v>
      </c>
      <c r="O530" s="95">
        <v>-7.2269964E7</v>
      </c>
      <c r="P530" s="95">
        <v>1.127455875E9</v>
      </c>
      <c r="Q530" s="42" t="s">
        <v>2756</v>
      </c>
      <c r="R530" s="43"/>
      <c r="S530" s="43"/>
      <c r="T530" s="43"/>
      <c r="U530" s="43"/>
      <c r="V530" s="43"/>
      <c r="W530" s="43"/>
      <c r="X530" s="43"/>
      <c r="Y530" s="43"/>
      <c r="Z530" s="43"/>
      <c r="AA530" s="43"/>
      <c r="AB530" s="43"/>
      <c r="AC530" s="43"/>
      <c r="AD530" s="43"/>
      <c r="AE530" s="43"/>
    </row>
    <row r="531">
      <c r="A531" s="13">
        <f t="shared" si="1"/>
        <v>530</v>
      </c>
      <c r="B531" s="9" t="s">
        <v>2757</v>
      </c>
      <c r="C531" s="100" t="s">
        <v>2758</v>
      </c>
      <c r="D531" s="9" t="s">
        <v>46</v>
      </c>
      <c r="E531" s="100" t="s">
        <v>2759</v>
      </c>
      <c r="F531" s="15">
        <v>482.0</v>
      </c>
      <c r="G531" s="9" t="s">
        <v>21</v>
      </c>
      <c r="H531" s="26">
        <v>0.0</v>
      </c>
      <c r="I531" s="17">
        <v>46207.0</v>
      </c>
      <c r="J531" s="9" t="s">
        <v>23</v>
      </c>
      <c r="K531" s="9"/>
      <c r="L531" s="18">
        <v>0.0</v>
      </c>
      <c r="M531" s="18">
        <v>0.9993055555555556</v>
      </c>
      <c r="N531" s="94" t="s">
        <v>2760</v>
      </c>
      <c r="O531" s="20" t="str">
        <f>IFERROR(__xludf.DUMMYFUNCTION("REGEXEXTRACT(N531,""^-?[0-9.]+"")"),"-7.2516880")</f>
        <v>-7.2516880</v>
      </c>
      <c r="P531" s="21" t="str">
        <f>IFERROR(__xludf.DUMMYFUNCTION("REGEXEXTRACT(N531,"",\s*(-?[0-9.]+)"")"),"112.7550740")</f>
        <v>112.7550740</v>
      </c>
      <c r="Q531" s="22" t="s">
        <v>2761</v>
      </c>
      <c r="R531" s="23"/>
      <c r="S531" s="23"/>
      <c r="T531" s="23"/>
      <c r="U531" s="23"/>
      <c r="V531" s="23"/>
      <c r="W531" s="23"/>
      <c r="X531" s="23"/>
      <c r="Y531" s="23"/>
      <c r="Z531" s="23"/>
      <c r="AA531" s="23"/>
      <c r="AB531" s="23"/>
      <c r="AC531" s="23"/>
      <c r="AD531" s="23"/>
      <c r="AE531" s="23"/>
    </row>
    <row r="532">
      <c r="A532" s="13">
        <f t="shared" si="1"/>
        <v>531</v>
      </c>
      <c r="B532" s="9" t="s">
        <v>2762</v>
      </c>
      <c r="C532" s="100" t="s">
        <v>2763</v>
      </c>
      <c r="D532" s="9" t="s">
        <v>46</v>
      </c>
      <c r="E532" s="100" t="s">
        <v>2764</v>
      </c>
      <c r="F532" s="15">
        <v>2381.0</v>
      </c>
      <c r="G532" s="9" t="s">
        <v>21</v>
      </c>
      <c r="H532" s="15" t="s">
        <v>2765</v>
      </c>
      <c r="I532" s="17">
        <v>46057.0</v>
      </c>
      <c r="J532" s="9" t="s">
        <v>23</v>
      </c>
      <c r="K532" s="9"/>
      <c r="L532" s="18">
        <v>0.3333333333333333</v>
      </c>
      <c r="M532" s="18">
        <v>0.7083333333333334</v>
      </c>
      <c r="N532" s="94" t="s">
        <v>2766</v>
      </c>
      <c r="O532" s="20" t="str">
        <f>IFERROR(__xludf.DUMMYFUNCTION("REGEXEXTRACT(N532,""^-?[0-9.]+"")"),"-7.2473195")</f>
        <v>-7.2473195</v>
      </c>
      <c r="P532" s="21" t="str">
        <f>IFERROR(__xludf.DUMMYFUNCTION("REGEXEXTRACT(N532,"",\s*(-?[0-9.]+)"")"),"112.8017382")</f>
        <v>112.8017382</v>
      </c>
      <c r="Q532" s="103" t="s">
        <v>2767</v>
      </c>
      <c r="R532" s="23"/>
      <c r="S532" s="23"/>
      <c r="T532" s="23"/>
      <c r="U532" s="23"/>
      <c r="V532" s="23"/>
      <c r="W532" s="23"/>
      <c r="X532" s="23"/>
      <c r="Y532" s="23"/>
      <c r="Z532" s="23"/>
      <c r="AA532" s="23"/>
      <c r="AB532" s="23"/>
      <c r="AC532" s="23"/>
      <c r="AD532" s="23"/>
      <c r="AE532" s="23"/>
    </row>
    <row r="533">
      <c r="A533" s="13">
        <f t="shared" si="1"/>
        <v>532</v>
      </c>
      <c r="B533" s="24" t="s">
        <v>2768</v>
      </c>
      <c r="C533" s="100" t="s">
        <v>2769</v>
      </c>
      <c r="D533" s="9" t="s">
        <v>19</v>
      </c>
      <c r="E533" s="100" t="s">
        <v>2770</v>
      </c>
      <c r="F533" s="15">
        <v>377.0</v>
      </c>
      <c r="G533" s="9" t="s">
        <v>21</v>
      </c>
      <c r="H533" s="26" t="s">
        <v>22</v>
      </c>
      <c r="I533" s="17">
        <v>46177.0</v>
      </c>
      <c r="J533" s="9" t="s">
        <v>23</v>
      </c>
      <c r="K533" s="9"/>
      <c r="L533" s="18">
        <v>0.3333333333333333</v>
      </c>
      <c r="M533" s="18">
        <v>0.9791666666666666</v>
      </c>
      <c r="N533" s="94" t="s">
        <v>2771</v>
      </c>
      <c r="O533" s="20" t="str">
        <f>IFERROR(__xludf.DUMMYFUNCTION("REGEXEXTRACT(N533,""^-?[0-9.]+"")"),"-7.2862409")</f>
        <v>-7.2862409</v>
      </c>
      <c r="P533" s="21" t="str">
        <f>IFERROR(__xludf.DUMMYFUNCTION("REGEXEXTRACT(N533,"",\s*(-?[0-9.]+)"")"),"112.7561595")</f>
        <v>112.7561595</v>
      </c>
      <c r="Q533" s="22" t="s">
        <v>2772</v>
      </c>
      <c r="R533" s="23"/>
      <c r="S533" s="23"/>
      <c r="T533" s="23"/>
      <c r="U533" s="23"/>
      <c r="V533" s="23"/>
      <c r="W533" s="23"/>
      <c r="X533" s="23"/>
      <c r="Y533" s="23"/>
      <c r="Z533" s="23"/>
      <c r="AA533" s="23"/>
      <c r="AB533" s="23"/>
      <c r="AC533" s="23"/>
      <c r="AD533" s="23"/>
      <c r="AE533" s="23"/>
    </row>
    <row r="534">
      <c r="A534" s="13">
        <f t="shared" si="1"/>
        <v>533</v>
      </c>
      <c r="B534" s="6" t="s">
        <v>2773</v>
      </c>
      <c r="C534" s="98" t="s">
        <v>2774</v>
      </c>
      <c r="D534" s="6" t="s">
        <v>34</v>
      </c>
      <c r="E534" s="98" t="s">
        <v>2679</v>
      </c>
      <c r="F534" s="7">
        <v>83.0</v>
      </c>
      <c r="G534" s="6" t="s">
        <v>21</v>
      </c>
      <c r="H534" s="7">
        <v>25000.0</v>
      </c>
      <c r="I534" s="8">
        <v>46269.0</v>
      </c>
      <c r="J534" s="6" t="s">
        <v>2582</v>
      </c>
      <c r="L534" s="10">
        <v>0.5</v>
      </c>
      <c r="M534" s="10">
        <v>0.8125</v>
      </c>
      <c r="N534" s="50" t="s">
        <v>2775</v>
      </c>
      <c r="O534" s="51">
        <v>-724932.0</v>
      </c>
      <c r="P534" s="51">
        <v>1.127311548E9</v>
      </c>
      <c r="Q534" s="12" t="s">
        <v>2776</v>
      </c>
    </row>
    <row r="535">
      <c r="A535" s="13">
        <f t="shared" si="1"/>
        <v>534</v>
      </c>
      <c r="B535" s="6" t="s">
        <v>2777</v>
      </c>
      <c r="C535" s="98" t="s">
        <v>2778</v>
      </c>
      <c r="D535" s="6" t="s">
        <v>34</v>
      </c>
      <c r="E535" s="98" t="s">
        <v>2580</v>
      </c>
      <c r="F535" s="7">
        <v>97.0</v>
      </c>
      <c r="G535" s="6" t="s">
        <v>21</v>
      </c>
      <c r="H535" s="7" t="s">
        <v>22</v>
      </c>
      <c r="I535" s="7" t="s">
        <v>314</v>
      </c>
      <c r="J535" s="6" t="s">
        <v>2582</v>
      </c>
      <c r="L535" s="10">
        <v>0.5</v>
      </c>
      <c r="M535" s="10">
        <v>0.8958333333333334</v>
      </c>
      <c r="N535" s="6" t="s">
        <v>2779</v>
      </c>
      <c r="O535" s="11">
        <v>-7.2596792E7</v>
      </c>
      <c r="P535" s="11">
        <v>1.12717104E8</v>
      </c>
      <c r="Q535" s="12" t="s">
        <v>2780</v>
      </c>
    </row>
    <row r="536">
      <c r="A536" s="13">
        <f t="shared" si="1"/>
        <v>535</v>
      </c>
      <c r="B536" s="24" t="s">
        <v>2781</v>
      </c>
      <c r="C536" s="100" t="s">
        <v>2782</v>
      </c>
      <c r="D536" s="9" t="s">
        <v>19</v>
      </c>
      <c r="E536" s="100" t="s">
        <v>2783</v>
      </c>
      <c r="F536" s="15">
        <v>331.0</v>
      </c>
      <c r="G536" s="9" t="s">
        <v>21</v>
      </c>
      <c r="H536" s="26" t="s">
        <v>22</v>
      </c>
      <c r="I536" s="17">
        <v>46116.0</v>
      </c>
      <c r="J536" s="9" t="s">
        <v>23</v>
      </c>
      <c r="K536" s="9"/>
      <c r="L536" s="18">
        <v>0.0</v>
      </c>
      <c r="M536" s="18">
        <v>0.9993055555555556</v>
      </c>
      <c r="N536" s="96" t="s">
        <v>2784</v>
      </c>
      <c r="O536" s="51">
        <v>-7.2689088E7</v>
      </c>
      <c r="P536" s="95">
        <v>1.127385203E9</v>
      </c>
      <c r="Q536" s="22" t="s">
        <v>2785</v>
      </c>
      <c r="R536" s="23"/>
      <c r="S536" s="23"/>
      <c r="T536" s="23"/>
      <c r="U536" s="23"/>
      <c r="V536" s="23"/>
      <c r="W536" s="23"/>
      <c r="X536" s="23"/>
      <c r="Y536" s="23"/>
      <c r="Z536" s="23"/>
      <c r="AA536" s="23"/>
      <c r="AB536" s="23"/>
      <c r="AC536" s="23"/>
      <c r="AD536" s="23"/>
      <c r="AE536" s="23"/>
    </row>
    <row r="537">
      <c r="A537" s="13">
        <f t="shared" si="1"/>
        <v>536</v>
      </c>
      <c r="B537" s="9" t="s">
        <v>2786</v>
      </c>
      <c r="C537" s="100" t="s">
        <v>2787</v>
      </c>
      <c r="D537" s="9" t="s">
        <v>19</v>
      </c>
      <c r="E537" s="100" t="s">
        <v>2788</v>
      </c>
      <c r="F537" s="15">
        <v>717.0</v>
      </c>
      <c r="G537" s="9" t="s">
        <v>21</v>
      </c>
      <c r="H537" s="26" t="s">
        <v>22</v>
      </c>
      <c r="I537" s="17">
        <v>46238.0</v>
      </c>
      <c r="J537" s="9" t="s">
        <v>23</v>
      </c>
      <c r="K537" s="9"/>
      <c r="L537" s="18">
        <v>0.3333333333333333</v>
      </c>
      <c r="M537" s="18">
        <v>0.875</v>
      </c>
      <c r="N537" s="94" t="s">
        <v>2789</v>
      </c>
      <c r="O537" s="11">
        <v>-7.2834071E7</v>
      </c>
      <c r="P537" s="94">
        <v>1.127463577E9</v>
      </c>
      <c r="Q537" s="22" t="s">
        <v>2790</v>
      </c>
      <c r="R537" s="23"/>
      <c r="S537" s="23"/>
      <c r="T537" s="23"/>
      <c r="U537" s="23"/>
      <c r="V537" s="23"/>
      <c r="W537" s="23"/>
      <c r="X537" s="23"/>
      <c r="Y537" s="23"/>
      <c r="Z537" s="23"/>
      <c r="AA537" s="23"/>
      <c r="AB537" s="23"/>
      <c r="AC537" s="23"/>
      <c r="AD537" s="23"/>
      <c r="AE537" s="23"/>
    </row>
    <row r="538">
      <c r="A538" s="13">
        <f t="shared" si="1"/>
        <v>537</v>
      </c>
      <c r="B538" s="6" t="s">
        <v>2791</v>
      </c>
      <c r="C538" s="98" t="s">
        <v>2792</v>
      </c>
      <c r="D538" s="6" t="s">
        <v>34</v>
      </c>
      <c r="E538" s="98" t="s">
        <v>2611</v>
      </c>
      <c r="F538" s="7">
        <v>1729.0</v>
      </c>
      <c r="G538" s="6" t="s">
        <v>21</v>
      </c>
      <c r="H538" s="7" t="s">
        <v>22</v>
      </c>
      <c r="I538" s="8">
        <v>46177.0</v>
      </c>
      <c r="J538" s="6" t="s">
        <v>2582</v>
      </c>
      <c r="L538" s="10">
        <v>0.4583333333333333</v>
      </c>
      <c r="M538" s="10">
        <v>0.9166666666666666</v>
      </c>
      <c r="N538" s="50" t="s">
        <v>2793</v>
      </c>
      <c r="O538" s="51">
        <v>-7.2730234E7</v>
      </c>
      <c r="P538" s="51">
        <v>1.127812138E9</v>
      </c>
      <c r="Q538" s="12" t="s">
        <v>2794</v>
      </c>
    </row>
    <row r="539">
      <c r="A539" s="13">
        <f t="shared" si="1"/>
        <v>538</v>
      </c>
      <c r="B539" s="6" t="s">
        <v>2795</v>
      </c>
      <c r="C539" s="98" t="s">
        <v>2796</v>
      </c>
      <c r="D539" s="6" t="s">
        <v>34</v>
      </c>
      <c r="E539" s="98" t="s">
        <v>2623</v>
      </c>
      <c r="F539" s="7">
        <v>3492.0</v>
      </c>
      <c r="G539" s="6" t="s">
        <v>21</v>
      </c>
      <c r="H539" s="7">
        <v>25000.0</v>
      </c>
      <c r="I539" s="8">
        <v>46146.0</v>
      </c>
      <c r="J539" s="6" t="s">
        <v>2582</v>
      </c>
      <c r="L539" s="10">
        <v>0.4375</v>
      </c>
      <c r="M539" s="10">
        <v>0.9375</v>
      </c>
      <c r="N539" s="50" t="s">
        <v>2797</v>
      </c>
      <c r="O539" s="51">
        <v>-7258714.0</v>
      </c>
      <c r="P539" s="51">
        <v>1.127573433E9</v>
      </c>
      <c r="Q539" s="12" t="s">
        <v>2798</v>
      </c>
    </row>
    <row r="540">
      <c r="A540" s="13">
        <f t="shared" si="1"/>
        <v>539</v>
      </c>
      <c r="B540" s="6" t="s">
        <v>2799</v>
      </c>
      <c r="C540" s="98" t="s">
        <v>2800</v>
      </c>
      <c r="D540" s="6" t="s">
        <v>34</v>
      </c>
      <c r="E540" s="98" t="s">
        <v>2611</v>
      </c>
      <c r="F540" s="7">
        <v>590.0</v>
      </c>
      <c r="G540" s="6" t="s">
        <v>21</v>
      </c>
      <c r="H540" s="7" t="s">
        <v>22</v>
      </c>
      <c r="I540" s="8">
        <v>46207.0</v>
      </c>
      <c r="J540" s="6" t="s">
        <v>2582</v>
      </c>
      <c r="L540" s="10">
        <v>0.25</v>
      </c>
      <c r="M540" s="10">
        <v>0.875</v>
      </c>
      <c r="N540" s="6" t="s">
        <v>2801</v>
      </c>
      <c r="O540" s="11">
        <v>-7.2674232E7</v>
      </c>
      <c r="P540" s="11">
        <v>1.127700636E9</v>
      </c>
      <c r="Q540" s="12" t="s">
        <v>2802</v>
      </c>
    </row>
    <row r="541">
      <c r="A541" s="13">
        <f t="shared" si="1"/>
        <v>540</v>
      </c>
      <c r="B541" s="6" t="s">
        <v>2803</v>
      </c>
      <c r="C541" s="98" t="s">
        <v>2804</v>
      </c>
      <c r="D541" s="6" t="s">
        <v>34</v>
      </c>
      <c r="E541" s="98" t="s">
        <v>2744</v>
      </c>
      <c r="F541" s="7">
        <v>3553.0</v>
      </c>
      <c r="G541" s="6" t="s">
        <v>21</v>
      </c>
      <c r="H541" s="7" t="s">
        <v>22</v>
      </c>
      <c r="I541" s="8">
        <v>46269.0</v>
      </c>
      <c r="J541" s="6" t="s">
        <v>2582</v>
      </c>
      <c r="L541" s="10">
        <v>0.7083333333333334</v>
      </c>
      <c r="M541" s="10">
        <v>0.0</v>
      </c>
      <c r="N541" s="50" t="s">
        <v>2805</v>
      </c>
      <c r="O541" s="51">
        <v>-7281022.0</v>
      </c>
      <c r="P541" s="51">
        <v>1.12746797E8</v>
      </c>
      <c r="Q541" s="12" t="s">
        <v>2806</v>
      </c>
    </row>
    <row r="542">
      <c r="A542" s="13">
        <f t="shared" si="1"/>
        <v>541</v>
      </c>
      <c r="B542" s="6" t="s">
        <v>2807</v>
      </c>
      <c r="C542" s="98" t="s">
        <v>2808</v>
      </c>
      <c r="D542" s="6" t="s">
        <v>34</v>
      </c>
      <c r="E542" s="98" t="s">
        <v>2679</v>
      </c>
      <c r="F542" s="7">
        <v>146.0</v>
      </c>
      <c r="G542" s="6" t="s">
        <v>21</v>
      </c>
      <c r="H542" s="7">
        <v>25000.0</v>
      </c>
      <c r="I542" s="8">
        <v>46207.0</v>
      </c>
      <c r="J542" s="6" t="s">
        <v>1438</v>
      </c>
      <c r="K542" s="6" t="s">
        <v>66</v>
      </c>
      <c r="L542" s="10">
        <v>0.4166666666666667</v>
      </c>
      <c r="M542" s="10">
        <v>0.875</v>
      </c>
      <c r="N542" s="50" t="s">
        <v>2809</v>
      </c>
      <c r="O542" s="51">
        <v>-7.2820461E7</v>
      </c>
      <c r="P542" s="51">
        <v>1.127176963E9</v>
      </c>
      <c r="Q542" s="12" t="s">
        <v>2810</v>
      </c>
    </row>
    <row r="543">
      <c r="A543" s="13">
        <f t="shared" si="1"/>
        <v>542</v>
      </c>
      <c r="B543" s="6" t="s">
        <v>2811</v>
      </c>
      <c r="C543" s="98" t="s">
        <v>2812</v>
      </c>
      <c r="D543" s="6" t="s">
        <v>34</v>
      </c>
      <c r="E543" s="98" t="s">
        <v>2679</v>
      </c>
      <c r="F543" s="7">
        <v>139.0</v>
      </c>
      <c r="G543" s="6" t="s">
        <v>21</v>
      </c>
      <c r="H543" s="7">
        <v>25000.0</v>
      </c>
      <c r="I543" s="8">
        <v>46146.0</v>
      </c>
      <c r="J543" s="6" t="s">
        <v>1438</v>
      </c>
      <c r="K543" s="6" t="s">
        <v>66</v>
      </c>
      <c r="L543" s="10">
        <v>0.4583333333333333</v>
      </c>
      <c r="M543" s="10">
        <v>0.7083333333333334</v>
      </c>
      <c r="N543" s="50" t="s">
        <v>2813</v>
      </c>
      <c r="O543" s="51">
        <v>-7.2437987E7</v>
      </c>
      <c r="P543" s="51">
        <v>1.127364346E9</v>
      </c>
      <c r="Q543" s="12" t="s">
        <v>2814</v>
      </c>
    </row>
    <row r="544">
      <c r="A544" s="13">
        <f t="shared" si="1"/>
        <v>543</v>
      </c>
      <c r="B544" s="6" t="s">
        <v>2815</v>
      </c>
      <c r="C544" s="98" t="s">
        <v>2816</v>
      </c>
      <c r="D544" s="6" t="s">
        <v>34</v>
      </c>
      <c r="E544" s="98" t="s">
        <v>2817</v>
      </c>
      <c r="F544" s="7">
        <v>7854.0</v>
      </c>
      <c r="G544" s="6" t="s">
        <v>21</v>
      </c>
      <c r="H544" s="7" t="s">
        <v>22</v>
      </c>
      <c r="I544" s="8">
        <v>46177.0</v>
      </c>
      <c r="J544" s="6" t="s">
        <v>2582</v>
      </c>
      <c r="L544" s="10">
        <v>0.4166666666666667</v>
      </c>
      <c r="M544" s="10">
        <v>0.9166666666666666</v>
      </c>
      <c r="N544" s="50" t="s">
        <v>2818</v>
      </c>
      <c r="O544" s="51">
        <v>-733136.0</v>
      </c>
      <c r="P544" s="51">
        <v>1127778.0</v>
      </c>
      <c r="Q544" s="12" t="s">
        <v>2819</v>
      </c>
    </row>
    <row r="545">
      <c r="A545" s="13">
        <f t="shared" si="1"/>
        <v>544</v>
      </c>
      <c r="B545" s="6" t="s">
        <v>2820</v>
      </c>
      <c r="C545" s="98" t="s">
        <v>2821</v>
      </c>
      <c r="D545" s="6" t="s">
        <v>34</v>
      </c>
      <c r="E545" s="98" t="s">
        <v>2679</v>
      </c>
      <c r="F545" s="7">
        <v>96.0</v>
      </c>
      <c r="G545" s="6" t="s">
        <v>21</v>
      </c>
      <c r="H545" s="7">
        <v>25000.0</v>
      </c>
      <c r="I545" s="8">
        <v>46269.0</v>
      </c>
      <c r="J545" s="6" t="s">
        <v>2582</v>
      </c>
      <c r="L545" s="10">
        <v>0.6770833333333334</v>
      </c>
      <c r="M545" s="10">
        <v>0.6770833333333334</v>
      </c>
      <c r="N545" s="50" t="s">
        <v>2822</v>
      </c>
      <c r="O545" s="51">
        <v>-731807.0</v>
      </c>
      <c r="P545" s="51">
        <v>1127377.0</v>
      </c>
      <c r="Q545" s="12" t="s">
        <v>2823</v>
      </c>
    </row>
    <row r="546">
      <c r="A546" s="13">
        <f t="shared" si="1"/>
        <v>545</v>
      </c>
      <c r="B546" s="6" t="s">
        <v>2824</v>
      </c>
      <c r="C546" s="98" t="s">
        <v>2825</v>
      </c>
      <c r="D546" s="6" t="s">
        <v>34</v>
      </c>
      <c r="E546" s="98" t="s">
        <v>2611</v>
      </c>
      <c r="F546" s="7">
        <v>328.0</v>
      </c>
      <c r="G546" s="6" t="s">
        <v>21</v>
      </c>
      <c r="H546" s="7" t="s">
        <v>22</v>
      </c>
      <c r="I546" s="8">
        <v>46177.0</v>
      </c>
      <c r="J546" s="6" t="s">
        <v>2826</v>
      </c>
      <c r="L546" s="10">
        <v>0.2916666666666667</v>
      </c>
      <c r="M546" s="10">
        <v>0.875</v>
      </c>
      <c r="N546" s="6" t="s">
        <v>2827</v>
      </c>
      <c r="O546" s="11">
        <v>-7.3328464E7</v>
      </c>
      <c r="P546" s="11">
        <v>1.127854082E9</v>
      </c>
      <c r="Q546" s="12" t="s">
        <v>2828</v>
      </c>
    </row>
    <row r="547">
      <c r="A547" s="13">
        <f t="shared" si="1"/>
        <v>546</v>
      </c>
      <c r="B547" s="6" t="s">
        <v>2829</v>
      </c>
      <c r="C547" s="98" t="s">
        <v>2830</v>
      </c>
      <c r="D547" s="6" t="s">
        <v>46</v>
      </c>
      <c r="E547" s="98" t="s">
        <v>2629</v>
      </c>
      <c r="F547" s="7">
        <v>93.0</v>
      </c>
      <c r="G547" s="6" t="s">
        <v>21</v>
      </c>
      <c r="H547" s="7">
        <v>0.0</v>
      </c>
      <c r="I547" s="8">
        <v>46085.0</v>
      </c>
      <c r="J547" s="6" t="s">
        <v>2582</v>
      </c>
      <c r="L547" s="10">
        <v>0.0</v>
      </c>
      <c r="M547" s="10">
        <v>0.9993055555555556</v>
      </c>
      <c r="N547" s="6" t="s">
        <v>2831</v>
      </c>
      <c r="O547" s="11">
        <v>-7.2732153E7</v>
      </c>
      <c r="P547" s="11">
        <v>1.12744102E9</v>
      </c>
      <c r="Q547" s="12" t="s">
        <v>2832</v>
      </c>
    </row>
    <row r="548">
      <c r="A548" s="13">
        <f t="shared" si="1"/>
        <v>547</v>
      </c>
      <c r="B548" s="6" t="s">
        <v>2833</v>
      </c>
      <c r="C548" s="98" t="s">
        <v>2834</v>
      </c>
      <c r="D548" s="6" t="s">
        <v>34</v>
      </c>
      <c r="E548" s="98" t="s">
        <v>2835</v>
      </c>
      <c r="F548" s="7">
        <v>2316.0</v>
      </c>
      <c r="G548" s="6" t="s">
        <v>21</v>
      </c>
      <c r="H548" s="7" t="s">
        <v>29</v>
      </c>
      <c r="I548" s="8">
        <v>46085.0</v>
      </c>
      <c r="J548" s="6" t="s">
        <v>2582</v>
      </c>
      <c r="L548" s="10">
        <v>0.4166666666666667</v>
      </c>
      <c r="M548" s="10">
        <v>0.9166666666666666</v>
      </c>
      <c r="N548" s="6" t="s">
        <v>2836</v>
      </c>
      <c r="O548" s="11">
        <v>-7.314033E7</v>
      </c>
      <c r="P548" s="11">
        <v>1.12756009E9</v>
      </c>
      <c r="Q548" s="12" t="s">
        <v>2837</v>
      </c>
    </row>
    <row r="549">
      <c r="A549" s="13">
        <f t="shared" si="1"/>
        <v>548</v>
      </c>
      <c r="B549" s="6" t="s">
        <v>2838</v>
      </c>
      <c r="C549" s="98" t="s">
        <v>2839</v>
      </c>
      <c r="D549" s="6" t="s">
        <v>19</v>
      </c>
      <c r="E549" s="98" t="s">
        <v>2726</v>
      </c>
      <c r="F549" s="7">
        <v>15.0</v>
      </c>
      <c r="G549" s="6" t="s">
        <v>21</v>
      </c>
      <c r="H549" s="7">
        <v>25000.0</v>
      </c>
      <c r="I549" s="8">
        <v>46269.0</v>
      </c>
      <c r="J549" s="6" t="s">
        <v>2582</v>
      </c>
      <c r="L549" s="10">
        <v>0.4166666666666667</v>
      </c>
      <c r="M549" s="10">
        <v>0.9166666666666666</v>
      </c>
      <c r="N549" s="50" t="s">
        <v>2840</v>
      </c>
      <c r="O549" s="51">
        <v>-7.3440274E7</v>
      </c>
      <c r="P549" s="51">
        <v>1.127800794E9</v>
      </c>
      <c r="Q549" s="12" t="s">
        <v>2841</v>
      </c>
    </row>
    <row r="550">
      <c r="A550" s="13">
        <f t="shared" si="1"/>
        <v>549</v>
      </c>
      <c r="B550" s="9" t="s">
        <v>2842</v>
      </c>
      <c r="C550" s="98" t="s">
        <v>2843</v>
      </c>
      <c r="D550" s="9" t="s">
        <v>34</v>
      </c>
      <c r="E550" s="98" t="s">
        <v>2844</v>
      </c>
      <c r="F550" s="15">
        <v>4464.0</v>
      </c>
      <c r="G550" s="9" t="s">
        <v>21</v>
      </c>
      <c r="H550" s="26" t="s">
        <v>2845</v>
      </c>
      <c r="I550" s="39">
        <v>46207.0</v>
      </c>
      <c r="J550" s="9" t="s">
        <v>23</v>
      </c>
      <c r="K550" s="9"/>
      <c r="L550" s="18">
        <v>0.2916666666666667</v>
      </c>
      <c r="M550" s="18">
        <v>0.9166666666666666</v>
      </c>
      <c r="N550" s="96" t="s">
        <v>2846</v>
      </c>
      <c r="O550" s="51">
        <v>-7.2805581E7</v>
      </c>
      <c r="P550" s="95">
        <v>1.127688904E9</v>
      </c>
      <c r="Q550" s="22" t="s">
        <v>2847</v>
      </c>
      <c r="R550" s="43"/>
      <c r="S550" s="43"/>
      <c r="T550" s="43"/>
      <c r="U550" s="43"/>
      <c r="V550" s="43"/>
      <c r="W550" s="43"/>
      <c r="X550" s="43"/>
      <c r="Y550" s="43"/>
      <c r="Z550" s="43"/>
      <c r="AA550" s="43"/>
      <c r="AB550" s="43"/>
      <c r="AC550" s="43"/>
      <c r="AD550" s="43"/>
      <c r="AE550" s="43"/>
    </row>
    <row r="551">
      <c r="A551" s="13">
        <f t="shared" si="1"/>
        <v>550</v>
      </c>
      <c r="B551" s="6" t="s">
        <v>2848</v>
      </c>
      <c r="C551" s="98" t="s">
        <v>2849</v>
      </c>
      <c r="D551" s="6" t="s">
        <v>34</v>
      </c>
      <c r="E551" s="98" t="s">
        <v>2679</v>
      </c>
      <c r="F551" s="7">
        <v>10.0</v>
      </c>
      <c r="G551" s="6" t="s">
        <v>21</v>
      </c>
      <c r="H551" s="7">
        <v>25000.0</v>
      </c>
      <c r="I551" s="7" t="s">
        <v>314</v>
      </c>
      <c r="J551" s="6" t="s">
        <v>2582</v>
      </c>
      <c r="L551" s="10">
        <v>0.4583333333333333</v>
      </c>
      <c r="M551" s="10">
        <v>0.875</v>
      </c>
      <c r="N551" s="50" t="s">
        <v>2850</v>
      </c>
      <c r="O551" s="51">
        <v>-7.2688324E7</v>
      </c>
      <c r="P551" s="51">
        <v>1.127258082E9</v>
      </c>
      <c r="Q551" s="12" t="s">
        <v>2851</v>
      </c>
    </row>
    <row r="552">
      <c r="A552" s="13">
        <f t="shared" si="1"/>
        <v>551</v>
      </c>
      <c r="B552" s="6" t="s">
        <v>2852</v>
      </c>
      <c r="C552" s="98" t="s">
        <v>2853</v>
      </c>
      <c r="D552" s="6" t="s">
        <v>46</v>
      </c>
      <c r="E552" s="98" t="s">
        <v>2854</v>
      </c>
      <c r="F552" s="7">
        <v>7528.0</v>
      </c>
      <c r="G552" s="6" t="s">
        <v>21</v>
      </c>
      <c r="H552" s="7">
        <v>0.0</v>
      </c>
      <c r="I552" s="8">
        <v>46146.0</v>
      </c>
      <c r="J552" s="6" t="s">
        <v>2582</v>
      </c>
      <c r="L552" s="10">
        <v>0.3333333333333333</v>
      </c>
      <c r="M552" s="10">
        <v>0.7083333333333334</v>
      </c>
      <c r="N552" s="6" t="s">
        <v>2855</v>
      </c>
      <c r="O552" s="11">
        <v>-7.3123075E7</v>
      </c>
      <c r="P552" s="11">
        <v>1.127891727E9</v>
      </c>
      <c r="Q552" s="12" t="s">
        <v>2856</v>
      </c>
    </row>
    <row r="553">
      <c r="A553" s="13">
        <f t="shared" si="1"/>
        <v>552</v>
      </c>
      <c r="B553" s="6" t="s">
        <v>2857</v>
      </c>
      <c r="C553" s="98" t="s">
        <v>2858</v>
      </c>
      <c r="D553" s="6" t="s">
        <v>34</v>
      </c>
      <c r="E553" s="98" t="s">
        <v>2634</v>
      </c>
      <c r="F553" s="7">
        <v>167.0</v>
      </c>
      <c r="G553" s="6" t="s">
        <v>21</v>
      </c>
      <c r="H553" s="7">
        <v>25000.0</v>
      </c>
      <c r="I553" s="8">
        <v>46207.0</v>
      </c>
      <c r="J553" s="6" t="s">
        <v>2582</v>
      </c>
      <c r="L553" s="10">
        <v>0.7083333333333334</v>
      </c>
      <c r="M553" s="10">
        <v>0.9583333333333334</v>
      </c>
      <c r="N553" s="50" t="s">
        <v>2859</v>
      </c>
      <c r="O553" s="51">
        <v>-7288167.0</v>
      </c>
      <c r="P553" s="51">
        <v>1.127201709E9</v>
      </c>
      <c r="Q553" s="12" t="s">
        <v>2860</v>
      </c>
    </row>
    <row r="554">
      <c r="A554" s="13">
        <f t="shared" si="1"/>
        <v>553</v>
      </c>
      <c r="B554" s="6" t="s">
        <v>2861</v>
      </c>
      <c r="C554" s="98" t="s">
        <v>2862</v>
      </c>
      <c r="D554" s="6" t="s">
        <v>34</v>
      </c>
      <c r="E554" s="98" t="s">
        <v>2817</v>
      </c>
      <c r="F554" s="7">
        <v>1218.0</v>
      </c>
      <c r="G554" s="6" t="s">
        <v>21</v>
      </c>
      <c r="H554" s="7" t="s">
        <v>22</v>
      </c>
      <c r="I554" s="8">
        <v>46026.0</v>
      </c>
      <c r="J554" s="6" t="s">
        <v>2582</v>
      </c>
      <c r="L554" s="10">
        <v>0.4166666666666667</v>
      </c>
      <c r="M554" s="10">
        <v>0.08333333333333333</v>
      </c>
      <c r="N554" s="6" t="s">
        <v>2863</v>
      </c>
      <c r="O554" s="11">
        <v>-7.2659794E7</v>
      </c>
      <c r="P554" s="11">
        <v>1.127663705E9</v>
      </c>
      <c r="Q554" s="12" t="s">
        <v>2864</v>
      </c>
    </row>
    <row r="555">
      <c r="A555" s="13">
        <f t="shared" si="1"/>
        <v>554</v>
      </c>
      <c r="B555" s="6" t="s">
        <v>2865</v>
      </c>
      <c r="C555" s="98" t="s">
        <v>2866</v>
      </c>
      <c r="D555" s="6" t="s">
        <v>34</v>
      </c>
      <c r="E555" s="98" t="s">
        <v>2679</v>
      </c>
      <c r="F555" s="7">
        <v>40.0</v>
      </c>
      <c r="G555" s="6" t="s">
        <v>21</v>
      </c>
      <c r="H555" s="7">
        <v>25000.0</v>
      </c>
      <c r="I555" s="8">
        <v>46116.0</v>
      </c>
      <c r="J555" s="6" t="s">
        <v>1438</v>
      </c>
      <c r="K555" s="6" t="s">
        <v>66</v>
      </c>
      <c r="L555" s="10">
        <v>0.4375</v>
      </c>
      <c r="M555" s="10">
        <v>0.75</v>
      </c>
      <c r="N555" s="50" t="s">
        <v>2867</v>
      </c>
      <c r="O555" s="51">
        <v>-7347493.0</v>
      </c>
      <c r="P555" s="51">
        <v>1.12729714E8</v>
      </c>
      <c r="Q555" s="12" t="s">
        <v>2868</v>
      </c>
    </row>
    <row r="556">
      <c r="A556" s="13">
        <f t="shared" si="1"/>
        <v>555</v>
      </c>
      <c r="B556" s="6" t="s">
        <v>2869</v>
      </c>
      <c r="C556" s="98" t="s">
        <v>2870</v>
      </c>
      <c r="D556" s="6" t="s">
        <v>34</v>
      </c>
      <c r="E556" s="98" t="s">
        <v>2679</v>
      </c>
      <c r="F556" s="7">
        <v>395.0</v>
      </c>
      <c r="G556" s="6" t="s">
        <v>21</v>
      </c>
      <c r="H556" s="7" t="s">
        <v>2871</v>
      </c>
      <c r="I556" s="8">
        <v>46116.0</v>
      </c>
      <c r="J556" s="6" t="s">
        <v>2582</v>
      </c>
      <c r="L556" s="10">
        <v>0.4166666666666667</v>
      </c>
      <c r="M556" s="10">
        <v>0.875</v>
      </c>
      <c r="N556" s="50" t="s">
        <v>2872</v>
      </c>
      <c r="O556" s="51">
        <v>-7.2544212E7</v>
      </c>
      <c r="P556" s="51">
        <v>1.12716809E8</v>
      </c>
      <c r="Q556" s="12" t="s">
        <v>2873</v>
      </c>
    </row>
    <row r="557">
      <c r="A557" s="13">
        <f t="shared" si="1"/>
        <v>556</v>
      </c>
      <c r="B557" s="6" t="s">
        <v>2874</v>
      </c>
      <c r="C557" s="98" t="s">
        <v>2875</v>
      </c>
      <c r="D557" s="6" t="s">
        <v>46</v>
      </c>
      <c r="E557" s="98" t="s">
        <v>2854</v>
      </c>
      <c r="F557" s="7">
        <v>58454.0</v>
      </c>
      <c r="G557" s="6" t="s">
        <v>21</v>
      </c>
      <c r="H557" s="7">
        <v>0.0</v>
      </c>
      <c r="I557" s="8">
        <v>46177.0</v>
      </c>
      <c r="J557" s="6" t="s">
        <v>2582</v>
      </c>
      <c r="L557" s="10">
        <v>0.0</v>
      </c>
      <c r="M557" s="10">
        <v>0.9993055555555556</v>
      </c>
      <c r="N557" s="6" t="s">
        <v>2876</v>
      </c>
      <c r="O557" s="11">
        <v>-7291408.0</v>
      </c>
      <c r="P557" s="11">
        <v>1.12739827E8</v>
      </c>
      <c r="Q557" s="12" t="s">
        <v>2877</v>
      </c>
    </row>
    <row r="558">
      <c r="A558" s="13">
        <f t="shared" si="1"/>
        <v>557</v>
      </c>
      <c r="B558" s="28" t="s">
        <v>2878</v>
      </c>
      <c r="C558" s="92" t="s">
        <v>2879</v>
      </c>
      <c r="D558" s="28" t="s">
        <v>46</v>
      </c>
      <c r="E558" s="92" t="s">
        <v>2880</v>
      </c>
      <c r="F558" s="28">
        <v>912.0</v>
      </c>
      <c r="G558" s="28" t="s">
        <v>21</v>
      </c>
      <c r="H558" s="28">
        <v>0.0</v>
      </c>
      <c r="I558" s="29">
        <v>46116.0</v>
      </c>
      <c r="J558" s="52" t="s">
        <v>23</v>
      </c>
      <c r="K558" s="30"/>
      <c r="L558" s="31">
        <v>0.3333333333333333</v>
      </c>
      <c r="M558" s="31">
        <v>0.6666666666666666</v>
      </c>
      <c r="N558" s="96" t="s">
        <v>2881</v>
      </c>
      <c r="O558" s="95">
        <v>-732967.0</v>
      </c>
      <c r="P558" s="95">
        <v>1.126912506E9</v>
      </c>
      <c r="Q558" s="42" t="s">
        <v>2882</v>
      </c>
      <c r="R558" s="43"/>
      <c r="S558" s="43"/>
    </row>
    <row r="559">
      <c r="A559" s="13">
        <f t="shared" si="1"/>
        <v>558</v>
      </c>
      <c r="B559" s="6" t="s">
        <v>2883</v>
      </c>
      <c r="C559" s="98" t="s">
        <v>2884</v>
      </c>
      <c r="D559" s="6" t="s">
        <v>34</v>
      </c>
      <c r="E559" s="98" t="s">
        <v>2580</v>
      </c>
      <c r="F559" s="7">
        <v>80.0</v>
      </c>
      <c r="G559" s="6" t="s">
        <v>21</v>
      </c>
      <c r="H559" s="7" t="s">
        <v>221</v>
      </c>
      <c r="I559" s="8">
        <v>46177.0</v>
      </c>
      <c r="J559" s="6" t="s">
        <v>2582</v>
      </c>
      <c r="L559" s="10">
        <v>0.4583333333333333</v>
      </c>
      <c r="M559" s="10">
        <v>0.9166666666666666</v>
      </c>
      <c r="N559" s="6" t="s">
        <v>2885</v>
      </c>
      <c r="O559" s="11">
        <v>-7.2592654E7</v>
      </c>
      <c r="P559" s="11">
        <v>1.12809289E9</v>
      </c>
      <c r="Q559" s="12" t="s">
        <v>2886</v>
      </c>
    </row>
    <row r="560">
      <c r="A560" s="13">
        <f t="shared" si="1"/>
        <v>559</v>
      </c>
      <c r="B560" s="6" t="s">
        <v>2887</v>
      </c>
      <c r="C560" s="98" t="s">
        <v>2888</v>
      </c>
      <c r="D560" s="6" t="s">
        <v>34</v>
      </c>
      <c r="E560" s="98" t="s">
        <v>2580</v>
      </c>
      <c r="F560" s="7">
        <v>5302.0</v>
      </c>
      <c r="G560" s="6" t="s">
        <v>21</v>
      </c>
      <c r="H560" s="7" t="s">
        <v>22</v>
      </c>
      <c r="I560" s="8">
        <v>46269.0</v>
      </c>
      <c r="J560" s="6" t="s">
        <v>2582</v>
      </c>
      <c r="K560" s="6"/>
      <c r="L560" s="10">
        <v>0.4583333333333333</v>
      </c>
      <c r="M560" s="10">
        <v>0.9166666666666666</v>
      </c>
      <c r="N560" s="50" t="s">
        <v>2889</v>
      </c>
      <c r="O560" s="51">
        <v>-7.2684478E7</v>
      </c>
      <c r="P560" s="51">
        <v>1.127400955E9</v>
      </c>
      <c r="Q560" s="12" t="s">
        <v>2890</v>
      </c>
    </row>
    <row r="561">
      <c r="A561" s="13">
        <f t="shared" si="1"/>
        <v>560</v>
      </c>
      <c r="B561" s="6" t="s">
        <v>2891</v>
      </c>
      <c r="C561" s="98" t="s">
        <v>2892</v>
      </c>
      <c r="D561" s="6" t="s">
        <v>34</v>
      </c>
      <c r="E561" s="98" t="s">
        <v>2893</v>
      </c>
      <c r="F561" s="7">
        <v>1975.0</v>
      </c>
      <c r="G561" s="6" t="s">
        <v>21</v>
      </c>
      <c r="H561" s="7">
        <v>25000.0</v>
      </c>
      <c r="I561" s="8">
        <v>46177.0</v>
      </c>
      <c r="J561" s="6" t="s">
        <v>2582</v>
      </c>
      <c r="L561" s="10">
        <v>0.75</v>
      </c>
      <c r="M561" s="10">
        <v>0.0</v>
      </c>
      <c r="N561" s="50" t="s">
        <v>2894</v>
      </c>
      <c r="O561" s="51">
        <v>-7.2617327E7</v>
      </c>
      <c r="P561" s="51">
        <v>1.127319957E9</v>
      </c>
      <c r="Q561" s="12" t="s">
        <v>2895</v>
      </c>
    </row>
    <row r="562">
      <c r="A562" s="13">
        <f t="shared" si="1"/>
        <v>561</v>
      </c>
      <c r="B562" s="36" t="s">
        <v>2896</v>
      </c>
      <c r="C562" s="97" t="s">
        <v>2897</v>
      </c>
      <c r="D562" s="36" t="s">
        <v>19</v>
      </c>
      <c r="E562" s="97" t="s">
        <v>2898</v>
      </c>
      <c r="F562" s="15">
        <v>737.0</v>
      </c>
      <c r="G562" s="36" t="s">
        <v>21</v>
      </c>
      <c r="H562" s="79" t="s">
        <v>22</v>
      </c>
      <c r="I562" s="39">
        <v>46207.0</v>
      </c>
      <c r="J562" s="44" t="s">
        <v>23</v>
      </c>
      <c r="K562" s="40"/>
      <c r="L562" s="41">
        <v>0.3333333333333333</v>
      </c>
      <c r="M562" s="41">
        <v>0.875</v>
      </c>
      <c r="N562" s="96" t="s">
        <v>2899</v>
      </c>
      <c r="O562" s="95">
        <v>-7.2945429E7</v>
      </c>
      <c r="P562" s="95">
        <v>1127684.0</v>
      </c>
      <c r="Q562" s="42" t="s">
        <v>2900</v>
      </c>
      <c r="R562" s="43"/>
      <c r="S562" s="43"/>
      <c r="T562" s="43"/>
      <c r="U562" s="43"/>
      <c r="V562" s="43"/>
      <c r="W562" s="43"/>
      <c r="X562" s="43"/>
      <c r="Y562" s="43"/>
      <c r="Z562" s="43"/>
      <c r="AA562" s="43"/>
      <c r="AB562" s="43"/>
      <c r="AC562" s="43"/>
      <c r="AD562" s="43"/>
      <c r="AE562" s="43"/>
    </row>
    <row r="563">
      <c r="A563" s="13">
        <f t="shared" si="1"/>
        <v>562</v>
      </c>
      <c r="B563" s="6" t="s">
        <v>2901</v>
      </c>
      <c r="C563" s="98" t="s">
        <v>2902</v>
      </c>
      <c r="D563" s="6" t="s">
        <v>34</v>
      </c>
      <c r="E563" s="98" t="s">
        <v>2817</v>
      </c>
      <c r="F563" s="7">
        <v>120.0</v>
      </c>
      <c r="G563" s="6" t="s">
        <v>21</v>
      </c>
      <c r="H563" s="7" t="s">
        <v>1306</v>
      </c>
      <c r="I563" s="8">
        <v>46207.0</v>
      </c>
      <c r="J563" s="6" t="s">
        <v>2582</v>
      </c>
      <c r="L563" s="10">
        <v>0.4583333333333333</v>
      </c>
      <c r="M563" s="10">
        <v>0.9166666666666666</v>
      </c>
      <c r="N563" s="50" t="s">
        <v>2903</v>
      </c>
      <c r="O563" s="51">
        <v>-7.2922352E7</v>
      </c>
      <c r="P563" s="51">
        <v>1.127333777E9</v>
      </c>
      <c r="Q563" s="12" t="s">
        <v>2904</v>
      </c>
    </row>
    <row r="564">
      <c r="A564" s="13">
        <f t="shared" si="1"/>
        <v>563</v>
      </c>
      <c r="B564" s="45" t="s">
        <v>2905</v>
      </c>
      <c r="C564" s="104" t="s">
        <v>2906</v>
      </c>
      <c r="D564" s="45" t="s">
        <v>46</v>
      </c>
      <c r="E564" s="104" t="s">
        <v>2907</v>
      </c>
      <c r="F564" s="28">
        <v>1108.0</v>
      </c>
      <c r="G564" s="45" t="s">
        <v>21</v>
      </c>
      <c r="H564" s="45">
        <v>0.0</v>
      </c>
      <c r="I564" s="29">
        <v>46177.0</v>
      </c>
      <c r="J564" s="45" t="s">
        <v>23</v>
      </c>
      <c r="K564" s="46"/>
      <c r="L564" s="47">
        <v>0.0</v>
      </c>
      <c r="M564" s="47">
        <v>0.9993055555555556</v>
      </c>
      <c r="N564" s="96" t="s">
        <v>2908</v>
      </c>
      <c r="O564" s="95">
        <v>-7.2830626E7</v>
      </c>
      <c r="P564" s="95">
        <v>1.127366007E9</v>
      </c>
      <c r="Q564" s="12" t="s">
        <v>2909</v>
      </c>
    </row>
    <row r="565">
      <c r="A565" s="13">
        <f t="shared" si="1"/>
        <v>564</v>
      </c>
      <c r="B565" s="6" t="s">
        <v>2910</v>
      </c>
      <c r="C565" s="98" t="s">
        <v>2911</v>
      </c>
      <c r="D565" s="6" t="s">
        <v>19</v>
      </c>
      <c r="E565" s="98" t="s">
        <v>2592</v>
      </c>
      <c r="F565" s="7">
        <v>1074.0</v>
      </c>
      <c r="G565" s="6" t="s">
        <v>21</v>
      </c>
      <c r="H565" s="7" t="s">
        <v>22</v>
      </c>
      <c r="I565" s="8">
        <v>46238.0</v>
      </c>
      <c r="J565" s="6" t="s">
        <v>2582</v>
      </c>
      <c r="L565" s="10">
        <v>0.0</v>
      </c>
      <c r="M565" s="10">
        <v>0.9993055555555556</v>
      </c>
      <c r="N565" s="6" t="s">
        <v>2912</v>
      </c>
      <c r="O565" s="11">
        <v>-7316752.0</v>
      </c>
      <c r="P565" s="11">
        <v>1.12752843E8</v>
      </c>
      <c r="Q565" s="35" t="s">
        <v>2913</v>
      </c>
    </row>
    <row r="566">
      <c r="A566" s="13">
        <f t="shared" si="1"/>
        <v>565</v>
      </c>
      <c r="B566" s="6" t="s">
        <v>2914</v>
      </c>
      <c r="C566" s="98" t="s">
        <v>2915</v>
      </c>
      <c r="D566" s="6" t="s">
        <v>34</v>
      </c>
      <c r="E566" s="98" t="s">
        <v>2611</v>
      </c>
      <c r="F566" s="7">
        <v>14.0</v>
      </c>
      <c r="G566" s="6" t="s">
        <v>21</v>
      </c>
      <c r="H566" s="7" t="s">
        <v>2916</v>
      </c>
      <c r="I566" s="8">
        <v>46269.0</v>
      </c>
      <c r="J566" s="6" t="s">
        <v>2582</v>
      </c>
      <c r="L566" s="10">
        <v>0.375</v>
      </c>
      <c r="M566" s="10">
        <v>0.9166666666666666</v>
      </c>
      <c r="N566" s="50" t="s">
        <v>2917</v>
      </c>
      <c r="O566" s="51">
        <v>-7.2974453E7</v>
      </c>
      <c r="P566" s="51">
        <v>1.127628114E9</v>
      </c>
      <c r="Q566" s="12" t="s">
        <v>2918</v>
      </c>
    </row>
    <row r="567">
      <c r="A567" s="13">
        <f t="shared" si="1"/>
        <v>566</v>
      </c>
      <c r="B567" s="6" t="s">
        <v>2919</v>
      </c>
      <c r="C567" s="98" t="s">
        <v>2920</v>
      </c>
      <c r="D567" s="6" t="s">
        <v>34</v>
      </c>
      <c r="E567" s="98" t="s">
        <v>2634</v>
      </c>
      <c r="F567" s="7">
        <v>581.0</v>
      </c>
      <c r="G567" s="6" t="s">
        <v>21</v>
      </c>
      <c r="H567" s="7">
        <v>25000.0</v>
      </c>
      <c r="I567" s="8">
        <v>46116.0</v>
      </c>
      <c r="J567" s="6" t="s">
        <v>2582</v>
      </c>
      <c r="L567" s="10">
        <v>0.4166666666666667</v>
      </c>
      <c r="M567" s="10">
        <v>0.9166666666666666</v>
      </c>
      <c r="N567" s="50" t="s">
        <v>2921</v>
      </c>
      <c r="O567" s="51">
        <v>-7.2983287E7</v>
      </c>
      <c r="P567" s="51">
        <v>1.127554751E9</v>
      </c>
      <c r="Q567" s="12" t="s">
        <v>2922</v>
      </c>
    </row>
    <row r="568">
      <c r="A568" s="13">
        <f t="shared" si="1"/>
        <v>567</v>
      </c>
      <c r="B568" s="6" t="s">
        <v>2923</v>
      </c>
      <c r="C568" s="98" t="s">
        <v>2924</v>
      </c>
      <c r="D568" s="6" t="s">
        <v>19</v>
      </c>
      <c r="E568" s="98" t="s">
        <v>2592</v>
      </c>
      <c r="F568" s="7">
        <v>919.0</v>
      </c>
      <c r="G568" s="6" t="s">
        <v>21</v>
      </c>
      <c r="H568" s="7" t="s">
        <v>22</v>
      </c>
      <c r="I568" s="8">
        <v>46177.0</v>
      </c>
      <c r="J568" s="6" t="s">
        <v>2582</v>
      </c>
      <c r="L568" s="10">
        <v>0.2916666666666667</v>
      </c>
      <c r="M568" s="10">
        <v>0.9583333333333334</v>
      </c>
      <c r="N568" s="50" t="s">
        <v>2925</v>
      </c>
      <c r="O568" s="51">
        <v>-7.3203757E7</v>
      </c>
      <c r="P568" s="51">
        <v>1.127663575E9</v>
      </c>
      <c r="Q568" s="12" t="s">
        <v>2926</v>
      </c>
    </row>
    <row r="569">
      <c r="A569" s="13">
        <f t="shared" si="1"/>
        <v>568</v>
      </c>
      <c r="B569" s="6" t="s">
        <v>2927</v>
      </c>
      <c r="C569" s="98" t="s">
        <v>2928</v>
      </c>
      <c r="D569" s="6" t="s">
        <v>34</v>
      </c>
      <c r="E569" s="98" t="s">
        <v>2929</v>
      </c>
      <c r="F569" s="7">
        <v>6518.0</v>
      </c>
      <c r="G569" s="6" t="s">
        <v>21</v>
      </c>
      <c r="H569" s="7" t="s">
        <v>22</v>
      </c>
      <c r="I569" s="8">
        <v>46177.0</v>
      </c>
      <c r="J569" s="6" t="s">
        <v>2930</v>
      </c>
      <c r="L569" s="10">
        <v>0.2916666666666667</v>
      </c>
      <c r="M569" s="10">
        <v>0.8958333333333334</v>
      </c>
      <c r="N569" s="50" t="s">
        <v>2931</v>
      </c>
      <c r="O569" s="51">
        <v>-7.2855718E7</v>
      </c>
      <c r="P569" s="51">
        <v>1.126956815E9</v>
      </c>
      <c r="Q569" s="12" t="s">
        <v>2932</v>
      </c>
    </row>
    <row r="570">
      <c r="A570" s="13">
        <f t="shared" si="1"/>
        <v>569</v>
      </c>
      <c r="B570" s="28" t="s">
        <v>2933</v>
      </c>
      <c r="C570" s="92" t="s">
        <v>2934</v>
      </c>
      <c r="D570" s="28" t="s">
        <v>34</v>
      </c>
      <c r="E570" s="92" t="s">
        <v>2935</v>
      </c>
      <c r="F570" s="28">
        <v>10674.0</v>
      </c>
      <c r="G570" s="28" t="s">
        <v>21</v>
      </c>
      <c r="H570" s="28" t="s">
        <v>22</v>
      </c>
      <c r="I570" s="29">
        <v>46177.0</v>
      </c>
      <c r="J570" s="52" t="s">
        <v>23</v>
      </c>
      <c r="K570" s="30"/>
      <c r="L570" s="31">
        <v>0.3333333333333333</v>
      </c>
      <c r="M570" s="31">
        <v>0.9166666666666666</v>
      </c>
      <c r="N570" s="96" t="s">
        <v>2936</v>
      </c>
      <c r="O570" s="95">
        <v>-7.2920822E7</v>
      </c>
      <c r="P570" s="95">
        <v>1.126544154E9</v>
      </c>
      <c r="Q570" s="42" t="s">
        <v>2937</v>
      </c>
      <c r="R570" s="43"/>
      <c r="S570" s="43"/>
      <c r="T570" s="43"/>
      <c r="U570" s="43"/>
      <c r="V570" s="43"/>
      <c r="W570" s="43"/>
      <c r="X570" s="43"/>
      <c r="Y570" s="43"/>
      <c r="Z570" s="43"/>
      <c r="AA570" s="43"/>
      <c r="AB570" s="43"/>
      <c r="AC570" s="43"/>
      <c r="AD570" s="43"/>
      <c r="AE570" s="43"/>
    </row>
    <row r="571">
      <c r="A571" s="13">
        <f t="shared" si="1"/>
        <v>570</v>
      </c>
      <c r="B571" s="6" t="s">
        <v>2938</v>
      </c>
      <c r="C571" s="98" t="s">
        <v>2939</v>
      </c>
      <c r="D571" s="6" t="s">
        <v>34</v>
      </c>
      <c r="E571" s="98" t="s">
        <v>2611</v>
      </c>
      <c r="F571" s="7">
        <v>163.0</v>
      </c>
      <c r="G571" s="6" t="s">
        <v>21</v>
      </c>
      <c r="H571" s="7">
        <v>250000.0</v>
      </c>
      <c r="I571" s="8">
        <v>46146.0</v>
      </c>
      <c r="J571" s="6" t="s">
        <v>2582</v>
      </c>
      <c r="L571" s="10">
        <v>0.4166666666666667</v>
      </c>
      <c r="M571" s="10">
        <v>0.9166666666666666</v>
      </c>
      <c r="N571" s="6" t="s">
        <v>2940</v>
      </c>
      <c r="O571" s="11">
        <v>-7.2901625E7</v>
      </c>
      <c r="P571" s="11">
        <v>1.126751242E9</v>
      </c>
      <c r="Q571" s="12" t="s">
        <v>2941</v>
      </c>
    </row>
    <row r="572">
      <c r="A572" s="13">
        <f t="shared" si="1"/>
        <v>571</v>
      </c>
      <c r="B572" s="6" t="s">
        <v>2942</v>
      </c>
      <c r="C572" s="98" t="s">
        <v>2943</v>
      </c>
      <c r="D572" s="6" t="s">
        <v>19</v>
      </c>
      <c r="E572" s="98" t="s">
        <v>2726</v>
      </c>
      <c r="F572" s="7">
        <v>474.0</v>
      </c>
      <c r="G572" s="6" t="s">
        <v>21</v>
      </c>
      <c r="H572" s="7" t="s">
        <v>22</v>
      </c>
      <c r="I572" s="8">
        <v>46146.0</v>
      </c>
      <c r="J572" s="6" t="s">
        <v>2582</v>
      </c>
      <c r="L572" s="10">
        <v>0.375</v>
      </c>
      <c r="M572" s="10">
        <v>0.9166666666666666</v>
      </c>
      <c r="N572" s="50" t="s">
        <v>2944</v>
      </c>
      <c r="O572" s="51">
        <v>-7.2784189E7</v>
      </c>
      <c r="P572" s="51">
        <v>1.127649477E9</v>
      </c>
      <c r="Q572" s="12" t="s">
        <v>2945</v>
      </c>
    </row>
    <row r="573">
      <c r="A573" s="13">
        <f t="shared" si="1"/>
        <v>572</v>
      </c>
      <c r="B573" s="9" t="s">
        <v>2946</v>
      </c>
      <c r="C573" s="100" t="s">
        <v>2947</v>
      </c>
      <c r="D573" s="9" t="s">
        <v>46</v>
      </c>
      <c r="E573" s="100" t="s">
        <v>2948</v>
      </c>
      <c r="F573" s="15">
        <v>6928.0</v>
      </c>
      <c r="G573" s="9" t="s">
        <v>21</v>
      </c>
      <c r="H573" s="15">
        <v>8000.0</v>
      </c>
      <c r="I573" s="17">
        <v>46238.0</v>
      </c>
      <c r="J573" s="9" t="s">
        <v>23</v>
      </c>
      <c r="K573" s="9"/>
      <c r="L573" s="18">
        <v>0.3333333333333333</v>
      </c>
      <c r="M573" s="18">
        <v>0.75</v>
      </c>
      <c r="N573" s="101" t="s">
        <v>2949</v>
      </c>
      <c r="O573" s="20" t="str">
        <f>IFERROR(__xludf.DUMMYFUNCTION("REGEXEXTRACT(N573,""^-?[0-9.]+"")"),"-7.245936")</f>
        <v>-7.245936</v>
      </c>
      <c r="P573" s="21" t="str">
        <f>IFERROR(__xludf.DUMMYFUNCTION("REGEXEXTRACT(N573,"",\s*(-?[0-9.]+)"")"),"112.737845")</f>
        <v>112.737845</v>
      </c>
      <c r="Q573" s="22" t="s">
        <v>2950</v>
      </c>
      <c r="R573" s="23"/>
      <c r="S573" s="23"/>
      <c r="T573" s="23"/>
      <c r="U573" s="23"/>
      <c r="V573" s="23"/>
      <c r="W573" s="23"/>
      <c r="X573" s="23"/>
      <c r="Y573" s="23"/>
      <c r="Z573" s="23"/>
      <c r="AA573" s="23"/>
      <c r="AB573" s="23"/>
      <c r="AC573" s="23"/>
      <c r="AD573" s="23"/>
      <c r="AE573" s="23"/>
    </row>
    <row r="574">
      <c r="A574" s="13">
        <f t="shared" si="1"/>
        <v>573</v>
      </c>
      <c r="B574" s="6" t="s">
        <v>2951</v>
      </c>
      <c r="C574" s="98" t="s">
        <v>2952</v>
      </c>
      <c r="D574" s="6" t="s">
        <v>19</v>
      </c>
      <c r="E574" s="98" t="s">
        <v>2726</v>
      </c>
      <c r="F574" s="7">
        <v>237.0</v>
      </c>
      <c r="G574" s="6" t="s">
        <v>21</v>
      </c>
      <c r="H574" s="7" t="s">
        <v>164</v>
      </c>
      <c r="I574" s="8">
        <v>46177.0</v>
      </c>
      <c r="J574" s="6" t="s">
        <v>2582</v>
      </c>
      <c r="L574" s="10">
        <v>0.3333333333333333</v>
      </c>
      <c r="M574" s="10">
        <v>0.9166666666666666</v>
      </c>
      <c r="N574" s="50" t="s">
        <v>2953</v>
      </c>
      <c r="O574" s="51">
        <v>-7.2898536E7</v>
      </c>
      <c r="P574" s="51">
        <v>1.126753665E9</v>
      </c>
      <c r="Q574" s="12" t="s">
        <v>2954</v>
      </c>
    </row>
    <row r="575">
      <c r="A575" s="13">
        <f t="shared" si="1"/>
        <v>574</v>
      </c>
      <c r="B575" s="6" t="s">
        <v>2955</v>
      </c>
      <c r="C575" s="98" t="s">
        <v>2956</v>
      </c>
      <c r="D575" s="6" t="s">
        <v>19</v>
      </c>
      <c r="E575" s="98" t="s">
        <v>2726</v>
      </c>
      <c r="F575" s="7">
        <v>124.0</v>
      </c>
      <c r="G575" s="6" t="s">
        <v>21</v>
      </c>
      <c r="H575" s="7" t="s">
        <v>22</v>
      </c>
      <c r="I575" s="8">
        <v>46238.0</v>
      </c>
      <c r="J575" s="6" t="s">
        <v>2582</v>
      </c>
      <c r="L575" s="10">
        <v>0.2916666666666667</v>
      </c>
      <c r="M575" s="10">
        <v>0.625</v>
      </c>
      <c r="N575" s="6" t="s">
        <v>2957</v>
      </c>
      <c r="O575" s="11">
        <v>-7266841.0</v>
      </c>
      <c r="P575" s="11">
        <v>1.127491922E9</v>
      </c>
      <c r="Q575" s="12" t="s">
        <v>2958</v>
      </c>
    </row>
    <row r="576">
      <c r="A576" s="13">
        <f t="shared" si="1"/>
        <v>575</v>
      </c>
      <c r="B576" s="6" t="s">
        <v>2959</v>
      </c>
      <c r="C576" s="98" t="s">
        <v>2960</v>
      </c>
      <c r="D576" s="6" t="s">
        <v>34</v>
      </c>
      <c r="E576" s="98" t="s">
        <v>2662</v>
      </c>
      <c r="F576" s="7">
        <v>523.0</v>
      </c>
      <c r="G576" s="6" t="s">
        <v>21</v>
      </c>
      <c r="H576" s="7">
        <v>25000.0</v>
      </c>
      <c r="I576" s="8">
        <v>46146.0</v>
      </c>
      <c r="J576" s="6" t="s">
        <v>2582</v>
      </c>
      <c r="L576" s="10">
        <v>0.3333333333333333</v>
      </c>
      <c r="M576" s="10">
        <v>0.8541666666666666</v>
      </c>
      <c r="N576" s="6" t="s">
        <v>2961</v>
      </c>
      <c r="O576" s="11">
        <v>-7296886.0</v>
      </c>
      <c r="P576" s="11">
        <v>1.12759711E8</v>
      </c>
      <c r="Q576" s="12" t="s">
        <v>2962</v>
      </c>
    </row>
    <row r="577">
      <c r="A577" s="13">
        <f t="shared" si="1"/>
        <v>576</v>
      </c>
      <c r="B577" s="6" t="s">
        <v>2963</v>
      </c>
      <c r="C577" s="98" t="s">
        <v>2964</v>
      </c>
      <c r="D577" s="6" t="s">
        <v>34</v>
      </c>
      <c r="E577" s="98" t="s">
        <v>2707</v>
      </c>
      <c r="F577" s="7">
        <v>3799.0</v>
      </c>
      <c r="G577" s="6" t="s">
        <v>21</v>
      </c>
      <c r="H577" s="7" t="s">
        <v>2965</v>
      </c>
      <c r="I577" s="8">
        <v>46177.0</v>
      </c>
      <c r="J577" s="6" t="s">
        <v>2582</v>
      </c>
      <c r="L577" s="10">
        <v>0.4583333333333333</v>
      </c>
      <c r="M577" s="10">
        <v>0.9583333333333334</v>
      </c>
      <c r="N577" s="6" t="s">
        <v>2966</v>
      </c>
      <c r="O577" s="11">
        <v>-7.2658483E7</v>
      </c>
      <c r="P577" s="11">
        <v>1.127514572E9</v>
      </c>
      <c r="Q577" s="12" t="s">
        <v>2967</v>
      </c>
    </row>
    <row r="578">
      <c r="A578" s="13">
        <f t="shared" si="1"/>
        <v>577</v>
      </c>
      <c r="B578" s="6" t="s">
        <v>2968</v>
      </c>
      <c r="C578" s="98" t="s">
        <v>2969</v>
      </c>
      <c r="D578" s="6" t="s">
        <v>46</v>
      </c>
      <c r="E578" s="98" t="s">
        <v>2970</v>
      </c>
      <c r="F578" s="7">
        <v>7082.0</v>
      </c>
      <c r="G578" s="6" t="s">
        <v>21</v>
      </c>
      <c r="H578" s="7">
        <v>0.0</v>
      </c>
      <c r="I578" s="8">
        <v>46146.0</v>
      </c>
      <c r="J578" s="6" t="s">
        <v>2582</v>
      </c>
      <c r="L578" s="10">
        <v>0.0</v>
      </c>
      <c r="M578" s="10">
        <v>0.9993055555555556</v>
      </c>
      <c r="N578" s="6" t="s">
        <v>2971</v>
      </c>
      <c r="O578" s="11">
        <v>-7.2516046E7</v>
      </c>
      <c r="P578" s="11">
        <v>1.127545983E9</v>
      </c>
      <c r="Q578" s="12" t="s">
        <v>2972</v>
      </c>
    </row>
    <row r="579">
      <c r="A579" s="13">
        <f t="shared" si="1"/>
        <v>578</v>
      </c>
      <c r="B579" s="6" t="s">
        <v>2973</v>
      </c>
      <c r="C579" s="98" t="s">
        <v>2974</v>
      </c>
      <c r="D579" s="6" t="s">
        <v>34</v>
      </c>
      <c r="E579" s="98" t="s">
        <v>2744</v>
      </c>
      <c r="F579" s="7">
        <v>793.0</v>
      </c>
      <c r="G579" s="6" t="s">
        <v>21</v>
      </c>
      <c r="H579" s="7" t="s">
        <v>22</v>
      </c>
      <c r="I579" s="8">
        <v>46116.0</v>
      </c>
      <c r="J579" s="6" t="s">
        <v>2582</v>
      </c>
      <c r="L579" s="10">
        <v>0.375</v>
      </c>
      <c r="M579" s="10">
        <v>0.9166666666666666</v>
      </c>
      <c r="N579" s="6" t="s">
        <v>2975</v>
      </c>
      <c r="O579" s="11">
        <v>-7.2765687E7</v>
      </c>
      <c r="P579" s="11">
        <v>1.127547232E9</v>
      </c>
      <c r="Q579" s="12" t="s">
        <v>2976</v>
      </c>
    </row>
    <row r="580">
      <c r="A580" s="13">
        <f t="shared" si="1"/>
        <v>579</v>
      </c>
      <c r="B580" s="6" t="s">
        <v>2977</v>
      </c>
      <c r="C580" s="98" t="s">
        <v>2978</v>
      </c>
      <c r="D580" s="6" t="s">
        <v>19</v>
      </c>
      <c r="E580" s="98" t="s">
        <v>2979</v>
      </c>
      <c r="F580" s="7">
        <v>636.0</v>
      </c>
      <c r="G580" s="6" t="s">
        <v>21</v>
      </c>
      <c r="H580" s="7" t="s">
        <v>22</v>
      </c>
      <c r="I580" s="8">
        <v>46207.0</v>
      </c>
      <c r="J580" s="6" t="s">
        <v>2582</v>
      </c>
      <c r="L580" s="10">
        <v>0.375</v>
      </c>
      <c r="M580" s="10">
        <v>0.9583333333333334</v>
      </c>
      <c r="N580" s="6" t="s">
        <v>2980</v>
      </c>
      <c r="O580" s="11">
        <v>-7.2664116E7</v>
      </c>
      <c r="P580" s="11">
        <v>1.127714516E9</v>
      </c>
      <c r="Q580" s="12" t="s">
        <v>2981</v>
      </c>
    </row>
    <row r="581">
      <c r="A581" s="13">
        <f t="shared" si="1"/>
        <v>580</v>
      </c>
      <c r="B581" s="6" t="s">
        <v>2982</v>
      </c>
      <c r="C581" s="98" t="s">
        <v>2983</v>
      </c>
      <c r="D581" s="6" t="s">
        <v>19</v>
      </c>
      <c r="E581" s="98" t="s">
        <v>2984</v>
      </c>
      <c r="F581" s="7">
        <v>1205.0</v>
      </c>
      <c r="G581" s="6" t="s">
        <v>21</v>
      </c>
      <c r="H581" s="7" t="s">
        <v>22</v>
      </c>
      <c r="I581" s="8">
        <v>46177.0</v>
      </c>
      <c r="J581" s="6" t="s">
        <v>2582</v>
      </c>
      <c r="L581" s="10">
        <v>0.3333333333333333</v>
      </c>
      <c r="M581" s="10">
        <v>0.0</v>
      </c>
      <c r="N581" s="6" t="s">
        <v>2985</v>
      </c>
      <c r="O581" s="11">
        <v>-7.2726221E7</v>
      </c>
      <c r="P581" s="11">
        <v>1.127821647E9</v>
      </c>
      <c r="Q581" s="12" t="s">
        <v>2986</v>
      </c>
    </row>
    <row r="582">
      <c r="A582" s="13">
        <f t="shared" si="1"/>
        <v>581</v>
      </c>
      <c r="B582" s="6" t="s">
        <v>2987</v>
      </c>
      <c r="C582" s="98" t="s">
        <v>2988</v>
      </c>
      <c r="D582" s="6" t="s">
        <v>34</v>
      </c>
      <c r="E582" s="98" t="s">
        <v>2989</v>
      </c>
      <c r="F582" s="7">
        <v>3373.0</v>
      </c>
      <c r="G582" s="6" t="s">
        <v>21</v>
      </c>
      <c r="H582" s="7" t="s">
        <v>882</v>
      </c>
      <c r="I582" s="8">
        <v>46177.0</v>
      </c>
      <c r="J582" s="6" t="s">
        <v>2582</v>
      </c>
      <c r="L582" s="10">
        <v>0.3333333333333333</v>
      </c>
      <c r="M582" s="10">
        <v>0.9166666666666666</v>
      </c>
      <c r="N582" s="6" t="s">
        <v>2990</v>
      </c>
      <c r="O582" s="11">
        <v>-7.2801373E7</v>
      </c>
      <c r="P582" s="11">
        <v>1.127749205E9</v>
      </c>
      <c r="Q582" s="12" t="s">
        <v>2991</v>
      </c>
    </row>
    <row r="583">
      <c r="A583" s="13">
        <f t="shared" si="1"/>
        <v>582</v>
      </c>
      <c r="B583" s="6" t="s">
        <v>2992</v>
      </c>
      <c r="C583" s="98" t="s">
        <v>2993</v>
      </c>
      <c r="D583" s="6" t="s">
        <v>2617</v>
      </c>
      <c r="E583" s="98" t="s">
        <v>2617</v>
      </c>
      <c r="F583" s="7">
        <v>1840.0</v>
      </c>
      <c r="G583" s="6" t="s">
        <v>21</v>
      </c>
      <c r="H583" s="7">
        <v>0.0</v>
      </c>
      <c r="I583" s="8">
        <v>46207.0</v>
      </c>
      <c r="J583" s="6" t="s">
        <v>58</v>
      </c>
      <c r="K583" s="6" t="s">
        <v>59</v>
      </c>
      <c r="L583" s="10">
        <v>0.3333333333333333</v>
      </c>
      <c r="M583" s="10">
        <v>0.6666666666666666</v>
      </c>
      <c r="N583" s="6" t="s">
        <v>2994</v>
      </c>
      <c r="O583" s="11">
        <v>-7.2353939E7</v>
      </c>
      <c r="P583" s="11">
        <v>1.127367646E9</v>
      </c>
      <c r="Q583" s="12" t="s">
        <v>2995</v>
      </c>
    </row>
    <row r="584">
      <c r="A584" s="13">
        <f t="shared" si="1"/>
        <v>583</v>
      </c>
      <c r="B584" s="6" t="s">
        <v>2996</v>
      </c>
      <c r="C584" s="98" t="s">
        <v>2997</v>
      </c>
      <c r="D584" s="6" t="s">
        <v>34</v>
      </c>
      <c r="E584" s="98" t="s">
        <v>2744</v>
      </c>
      <c r="F584" s="7">
        <v>1516.0</v>
      </c>
      <c r="G584" s="6" t="s">
        <v>21</v>
      </c>
      <c r="H584" s="7" t="s">
        <v>22</v>
      </c>
      <c r="I584" s="8">
        <v>46116.0</v>
      </c>
      <c r="J584" s="6" t="s">
        <v>2582</v>
      </c>
      <c r="L584" s="10">
        <v>0.6666666666666666</v>
      </c>
      <c r="M584" s="10">
        <v>0.9166666666666666</v>
      </c>
      <c r="N584" s="6" t="s">
        <v>2998</v>
      </c>
      <c r="O584" s="11">
        <v>-7.2769269E7</v>
      </c>
      <c r="P584" s="11">
        <v>1.127098654E9</v>
      </c>
      <c r="Q584" s="12" t="s">
        <v>2999</v>
      </c>
    </row>
    <row r="585">
      <c r="A585" s="13">
        <f t="shared" si="1"/>
        <v>584</v>
      </c>
      <c r="B585" s="6" t="s">
        <v>3000</v>
      </c>
      <c r="C585" s="98" t="s">
        <v>3001</v>
      </c>
      <c r="D585" s="6" t="s">
        <v>34</v>
      </c>
      <c r="E585" s="98" t="s">
        <v>2817</v>
      </c>
      <c r="F585" s="7">
        <v>1150.0</v>
      </c>
      <c r="G585" s="6" t="s">
        <v>21</v>
      </c>
      <c r="H585" s="7" t="s">
        <v>29</v>
      </c>
      <c r="I585" s="8">
        <v>46146.0</v>
      </c>
      <c r="J585" s="6" t="s">
        <v>2582</v>
      </c>
      <c r="L585" s="10">
        <v>0.4583333333333333</v>
      </c>
      <c r="M585" s="10">
        <v>0.8958333333333334</v>
      </c>
      <c r="N585" s="6" t="s">
        <v>3002</v>
      </c>
      <c r="O585" s="11">
        <v>-7.2725329E7</v>
      </c>
      <c r="P585" s="11">
        <v>1.12748591E8</v>
      </c>
      <c r="Q585" s="12" t="s">
        <v>3003</v>
      </c>
    </row>
    <row r="586">
      <c r="A586" s="13">
        <f t="shared" si="1"/>
        <v>585</v>
      </c>
      <c r="B586" s="6" t="s">
        <v>3004</v>
      </c>
      <c r="C586" s="98" t="s">
        <v>3005</v>
      </c>
      <c r="D586" s="6" t="s">
        <v>34</v>
      </c>
      <c r="E586" s="98" t="s">
        <v>3006</v>
      </c>
      <c r="F586" s="7">
        <v>396.0</v>
      </c>
      <c r="G586" s="6" t="s">
        <v>21</v>
      </c>
      <c r="H586" s="7">
        <v>250000.0</v>
      </c>
      <c r="I586" s="8">
        <v>46238.0</v>
      </c>
      <c r="J586" s="6" t="s">
        <v>58</v>
      </c>
      <c r="K586" s="6" t="s">
        <v>59</v>
      </c>
      <c r="L586" s="10">
        <v>0.75</v>
      </c>
      <c r="M586" s="10">
        <v>0.9166666666666666</v>
      </c>
      <c r="N586" s="6" t="s">
        <v>3007</v>
      </c>
      <c r="O586" s="11">
        <v>-7.2906763E7</v>
      </c>
      <c r="P586" s="11">
        <v>1.127348857E9</v>
      </c>
      <c r="Q586" s="12" t="s">
        <v>3008</v>
      </c>
    </row>
    <row r="587">
      <c r="A587" s="13">
        <f t="shared" si="1"/>
        <v>586</v>
      </c>
      <c r="B587" s="6" t="s">
        <v>3009</v>
      </c>
      <c r="C587" s="98" t="s">
        <v>3010</v>
      </c>
      <c r="D587" s="6" t="s">
        <v>34</v>
      </c>
      <c r="E587" s="98" t="s">
        <v>2817</v>
      </c>
      <c r="F587" s="7">
        <v>153.0</v>
      </c>
      <c r="G587" s="6" t="s">
        <v>21</v>
      </c>
      <c r="H587" s="7" t="s">
        <v>22</v>
      </c>
      <c r="I587" s="8">
        <v>46085.0</v>
      </c>
      <c r="J587" s="6" t="s">
        <v>2582</v>
      </c>
      <c r="L587" s="10">
        <v>0.4166666666666667</v>
      </c>
      <c r="M587" s="10">
        <v>0.9166666666666666</v>
      </c>
      <c r="N587" s="6" t="s">
        <v>3011</v>
      </c>
      <c r="O587" s="11">
        <v>-7296549.0</v>
      </c>
      <c r="P587" s="11">
        <v>1.126527154E9</v>
      </c>
      <c r="Q587" s="12" t="s">
        <v>3012</v>
      </c>
    </row>
    <row r="588">
      <c r="A588" s="13">
        <f t="shared" si="1"/>
        <v>587</v>
      </c>
      <c r="B588" s="6" t="s">
        <v>3013</v>
      </c>
      <c r="C588" s="98" t="s">
        <v>3014</v>
      </c>
      <c r="D588" s="6" t="s">
        <v>34</v>
      </c>
      <c r="E588" s="98" t="s">
        <v>2587</v>
      </c>
      <c r="F588" s="7">
        <v>92.0</v>
      </c>
      <c r="G588" s="6" t="s">
        <v>21</v>
      </c>
      <c r="H588" s="7">
        <v>25000.0</v>
      </c>
      <c r="I588" s="8">
        <v>46207.0</v>
      </c>
      <c r="J588" s="6" t="s">
        <v>58</v>
      </c>
      <c r="K588" s="6" t="s">
        <v>3015</v>
      </c>
      <c r="L588" s="10">
        <v>0.3541666666666667</v>
      </c>
      <c r="M588" s="10">
        <v>0.7083333333333334</v>
      </c>
      <c r="N588" s="6" t="s">
        <v>3016</v>
      </c>
      <c r="O588" s="11">
        <v>-7.2661046E7</v>
      </c>
      <c r="P588" s="11">
        <v>1.127642002E9</v>
      </c>
      <c r="Q588" s="12" t="s">
        <v>3017</v>
      </c>
    </row>
    <row r="589">
      <c r="A589" s="13">
        <f t="shared" si="1"/>
        <v>588</v>
      </c>
      <c r="B589" s="9" t="s">
        <v>3018</v>
      </c>
      <c r="C589" s="100" t="s">
        <v>3019</v>
      </c>
      <c r="D589" s="9" t="s">
        <v>19</v>
      </c>
      <c r="E589" s="100" t="s">
        <v>3020</v>
      </c>
      <c r="F589" s="15">
        <v>89.0</v>
      </c>
      <c r="G589" s="9" t="s">
        <v>21</v>
      </c>
      <c r="H589" s="26" t="s">
        <v>72</v>
      </c>
      <c r="I589" s="17">
        <v>46177.0</v>
      </c>
      <c r="J589" s="9" t="s">
        <v>23</v>
      </c>
      <c r="K589" s="9"/>
      <c r="L589" s="18">
        <v>0.3333333333333333</v>
      </c>
      <c r="M589" s="18">
        <v>0.9166666666666666</v>
      </c>
      <c r="N589" s="19" t="s">
        <v>3021</v>
      </c>
      <c r="O589" s="20" t="str">
        <f>IFERROR(__xludf.DUMMYFUNCTION("REGEXEXTRACT(N589,""^-?[0-9.]+"")"),"-7.259980929522554")</f>
        <v>-7.259980929522554</v>
      </c>
      <c r="P589" s="21" t="str">
        <f>IFERROR(__xludf.DUMMYFUNCTION("REGEXEXTRACT(N589,"",\s*(-?[0-9.]+)"")"),"112.74463290674586")</f>
        <v>112.74463290674586</v>
      </c>
      <c r="Q589" s="22" t="s">
        <v>3022</v>
      </c>
      <c r="R589" s="23"/>
      <c r="S589" s="23"/>
      <c r="T589" s="23"/>
      <c r="U589" s="23"/>
      <c r="V589" s="23"/>
      <c r="W589" s="23"/>
      <c r="X589" s="23"/>
      <c r="Y589" s="23"/>
      <c r="Z589" s="23"/>
      <c r="AA589" s="23"/>
      <c r="AB589" s="23"/>
      <c r="AC589" s="23"/>
      <c r="AD589" s="23"/>
      <c r="AE589" s="23"/>
    </row>
    <row r="590">
      <c r="A590" s="13">
        <f t="shared" si="1"/>
        <v>589</v>
      </c>
      <c r="B590" s="6" t="s">
        <v>3023</v>
      </c>
      <c r="C590" s="98" t="s">
        <v>3024</v>
      </c>
      <c r="D590" s="6" t="s">
        <v>34</v>
      </c>
      <c r="E590" s="98" t="s">
        <v>3025</v>
      </c>
      <c r="F590" s="7">
        <v>3002.0</v>
      </c>
      <c r="G590" s="6" t="s">
        <v>21</v>
      </c>
      <c r="H590" s="7" t="s">
        <v>22</v>
      </c>
      <c r="I590" s="8">
        <v>46177.0</v>
      </c>
      <c r="J590" s="6" t="s">
        <v>2582</v>
      </c>
      <c r="L590" s="10">
        <v>0.7083333333333334</v>
      </c>
      <c r="M590" s="10">
        <v>0.875</v>
      </c>
      <c r="N590" s="6" t="s">
        <v>3026</v>
      </c>
      <c r="O590" s="11">
        <v>-7.2482689E7</v>
      </c>
      <c r="P590" s="11">
        <v>1.127471493E9</v>
      </c>
      <c r="Q590" s="12" t="s">
        <v>3027</v>
      </c>
    </row>
    <row r="591">
      <c r="A591" s="13">
        <f t="shared" si="1"/>
        <v>590</v>
      </c>
      <c r="B591" s="36" t="s">
        <v>3028</v>
      </c>
      <c r="C591" s="97" t="s">
        <v>3029</v>
      </c>
      <c r="D591" s="36" t="s">
        <v>34</v>
      </c>
      <c r="E591" s="97" t="s">
        <v>3030</v>
      </c>
      <c r="F591" s="15">
        <v>16738.0</v>
      </c>
      <c r="G591" s="36" t="s">
        <v>21</v>
      </c>
      <c r="H591" s="79" t="s">
        <v>22</v>
      </c>
      <c r="I591" s="39">
        <v>46146.0</v>
      </c>
      <c r="J591" s="36" t="s">
        <v>23</v>
      </c>
      <c r="K591" s="40"/>
      <c r="L591" s="105">
        <v>0.25</v>
      </c>
      <c r="M591" s="105">
        <v>0.875</v>
      </c>
      <c r="N591" s="19" t="s">
        <v>3031</v>
      </c>
      <c r="O591" s="19" t="s">
        <v>3032</v>
      </c>
      <c r="P591" s="21" t="s">
        <v>3033</v>
      </c>
      <c r="Q591" s="42" t="s">
        <v>3034</v>
      </c>
      <c r="R591" s="43"/>
      <c r="S591" s="43"/>
      <c r="T591" s="43"/>
      <c r="U591" s="43"/>
      <c r="V591" s="43"/>
      <c r="W591" s="43"/>
      <c r="X591" s="43"/>
      <c r="Y591" s="43"/>
      <c r="Z591" s="43"/>
      <c r="AA591" s="43"/>
      <c r="AB591" s="43"/>
      <c r="AC591" s="43"/>
      <c r="AD591" s="43"/>
      <c r="AE591" s="43"/>
    </row>
    <row r="592">
      <c r="A592" s="13">
        <f t="shared" si="1"/>
        <v>591</v>
      </c>
      <c r="B592" s="6" t="s">
        <v>3035</v>
      </c>
      <c r="C592" s="98" t="s">
        <v>3036</v>
      </c>
      <c r="D592" s="6" t="s">
        <v>34</v>
      </c>
      <c r="E592" s="98" t="s">
        <v>2817</v>
      </c>
      <c r="F592" s="7">
        <v>3152.0</v>
      </c>
      <c r="G592" s="6" t="s">
        <v>21</v>
      </c>
      <c r="H592" s="7" t="s">
        <v>221</v>
      </c>
      <c r="I592" s="8">
        <v>46207.0</v>
      </c>
      <c r="J592" s="6" t="s">
        <v>2582</v>
      </c>
      <c r="L592" s="10">
        <v>0.4166666666666667</v>
      </c>
      <c r="M592" s="10">
        <v>0.875</v>
      </c>
      <c r="N592" s="6" t="s">
        <v>3037</v>
      </c>
      <c r="O592" s="11">
        <v>-7.2892522E7</v>
      </c>
      <c r="P592" s="11">
        <v>1.127531971E9</v>
      </c>
      <c r="Q592" s="12" t="s">
        <v>3038</v>
      </c>
    </row>
    <row r="593">
      <c r="A593" s="13">
        <f t="shared" si="1"/>
        <v>592</v>
      </c>
      <c r="B593" s="6" t="s">
        <v>3039</v>
      </c>
      <c r="C593" s="98" t="s">
        <v>3040</v>
      </c>
      <c r="D593" s="6" t="s">
        <v>19</v>
      </c>
      <c r="E593" s="98" t="s">
        <v>2726</v>
      </c>
      <c r="F593" s="7">
        <v>59.0</v>
      </c>
      <c r="G593" s="6" t="s">
        <v>21</v>
      </c>
      <c r="H593" s="7" t="s">
        <v>22</v>
      </c>
      <c r="I593" s="7" t="s">
        <v>314</v>
      </c>
      <c r="J593" s="6" t="s">
        <v>2582</v>
      </c>
      <c r="K593" s="6" t="s">
        <v>1971</v>
      </c>
      <c r="L593" s="10">
        <v>0.4166666666666667</v>
      </c>
      <c r="M593" s="10">
        <v>0.9166666666666666</v>
      </c>
      <c r="N593" s="6" t="s">
        <v>3041</v>
      </c>
      <c r="O593" s="11">
        <v>-7.2918455E7</v>
      </c>
      <c r="P593" s="11">
        <v>1.128123006E9</v>
      </c>
      <c r="Q593" s="12" t="s">
        <v>3042</v>
      </c>
    </row>
    <row r="594">
      <c r="A594" s="13">
        <f t="shared" si="1"/>
        <v>593</v>
      </c>
      <c r="B594" s="6" t="s">
        <v>3043</v>
      </c>
      <c r="C594" s="98" t="s">
        <v>3044</v>
      </c>
      <c r="D594" s="6" t="s">
        <v>34</v>
      </c>
      <c r="E594" s="98" t="s">
        <v>2817</v>
      </c>
      <c r="F594" s="7">
        <v>1099.0</v>
      </c>
      <c r="G594" s="6" t="s">
        <v>21</v>
      </c>
      <c r="H594" s="7" t="s">
        <v>22</v>
      </c>
      <c r="I594" s="8">
        <v>46146.0</v>
      </c>
      <c r="J594" s="6" t="s">
        <v>2582</v>
      </c>
      <c r="L594" s="10">
        <v>0.5</v>
      </c>
      <c r="M594" s="10">
        <v>0.875</v>
      </c>
      <c r="N594" s="6" t="s">
        <v>3045</v>
      </c>
      <c r="O594" s="11">
        <v>2.50280665E8</v>
      </c>
      <c r="P594" s="11">
        <v>1.215512797E9</v>
      </c>
      <c r="Q594" s="12" t="s">
        <v>3046</v>
      </c>
    </row>
    <row r="595">
      <c r="A595" s="13">
        <f t="shared" si="1"/>
        <v>594</v>
      </c>
      <c r="B595" s="6" t="s">
        <v>3047</v>
      </c>
      <c r="C595" s="98" t="s">
        <v>3048</v>
      </c>
      <c r="D595" s="6" t="s">
        <v>34</v>
      </c>
      <c r="E595" s="98" t="s">
        <v>2634</v>
      </c>
      <c r="F595" s="7">
        <v>180.0</v>
      </c>
      <c r="G595" s="6" t="s">
        <v>21</v>
      </c>
      <c r="H595" s="7">
        <v>25000.0</v>
      </c>
      <c r="I595" s="8">
        <v>46207.0</v>
      </c>
      <c r="J595" s="6" t="s">
        <v>2582</v>
      </c>
      <c r="L595" s="10">
        <v>0.7083333333333334</v>
      </c>
      <c r="M595" s="10">
        <v>0.0</v>
      </c>
      <c r="N595" s="6" t="s">
        <v>3049</v>
      </c>
      <c r="O595" s="11">
        <v>-7.2833795E7</v>
      </c>
      <c r="P595" s="11">
        <v>1.127158772E9</v>
      </c>
      <c r="Q595" s="12" t="s">
        <v>3050</v>
      </c>
    </row>
    <row r="596">
      <c r="A596" s="13">
        <f t="shared" si="1"/>
        <v>595</v>
      </c>
      <c r="B596" s="28" t="s">
        <v>3051</v>
      </c>
      <c r="C596" s="92" t="s">
        <v>3052</v>
      </c>
      <c r="D596" s="28" t="s">
        <v>46</v>
      </c>
      <c r="E596" s="92" t="s">
        <v>3053</v>
      </c>
      <c r="F596" s="28">
        <v>751.0</v>
      </c>
      <c r="G596" s="28" t="s">
        <v>21</v>
      </c>
      <c r="H596" s="28">
        <v>0.0</v>
      </c>
      <c r="I596" s="29">
        <v>46116.0</v>
      </c>
      <c r="J596" s="52" t="s">
        <v>23</v>
      </c>
      <c r="K596" s="30"/>
      <c r="L596" s="31">
        <v>0.22916666666666666</v>
      </c>
      <c r="M596" s="31">
        <v>0.875</v>
      </c>
      <c r="N596" s="94" t="s">
        <v>3054</v>
      </c>
      <c r="O596" s="94">
        <v>-7.3148799E7</v>
      </c>
      <c r="P596" s="94">
        <v>1.126899537E9</v>
      </c>
      <c r="Q596" s="42" t="s">
        <v>3055</v>
      </c>
      <c r="R596" s="43"/>
      <c r="S596" s="43"/>
      <c r="T596" s="43"/>
      <c r="U596" s="43"/>
    </row>
    <row r="597">
      <c r="A597" s="13">
        <f t="shared" si="1"/>
        <v>596</v>
      </c>
      <c r="B597" s="6" t="s">
        <v>3056</v>
      </c>
      <c r="C597" s="98" t="s">
        <v>3057</v>
      </c>
      <c r="D597" s="6" t="s">
        <v>34</v>
      </c>
      <c r="E597" s="98" t="s">
        <v>2580</v>
      </c>
      <c r="F597" s="7">
        <v>325.0</v>
      </c>
      <c r="G597" s="6" t="s">
        <v>21</v>
      </c>
      <c r="H597" s="7" t="s">
        <v>1386</v>
      </c>
      <c r="I597" s="8">
        <v>46057.0</v>
      </c>
      <c r="J597" s="6" t="s">
        <v>2582</v>
      </c>
      <c r="L597" s="10">
        <v>0.7083333333333334</v>
      </c>
      <c r="M597" s="10">
        <v>0.9166666666666666</v>
      </c>
      <c r="N597" s="6" t="s">
        <v>3058</v>
      </c>
      <c r="O597" s="11">
        <v>-7.3341376E7</v>
      </c>
      <c r="P597" s="11">
        <v>1.127047365E9</v>
      </c>
      <c r="Q597" s="12" t="s">
        <v>3059</v>
      </c>
    </row>
    <row r="598">
      <c r="A598" s="13">
        <f t="shared" si="1"/>
        <v>597</v>
      </c>
      <c r="B598" s="6" t="s">
        <v>3060</v>
      </c>
      <c r="C598" s="98" t="s">
        <v>3061</v>
      </c>
      <c r="D598" s="6" t="s">
        <v>34</v>
      </c>
      <c r="E598" s="98" t="s">
        <v>3062</v>
      </c>
      <c r="F598" s="7">
        <v>513.0</v>
      </c>
      <c r="G598" s="6" t="s">
        <v>21</v>
      </c>
      <c r="H598" s="7" t="s">
        <v>22</v>
      </c>
      <c r="I598" s="8">
        <v>46146.0</v>
      </c>
      <c r="J598" s="6" t="s">
        <v>1438</v>
      </c>
      <c r="K598" s="6" t="s">
        <v>66</v>
      </c>
      <c r="L598" s="10">
        <v>0.4166666666666667</v>
      </c>
      <c r="M598" s="10">
        <v>0.75</v>
      </c>
      <c r="N598" s="6" t="s">
        <v>3063</v>
      </c>
      <c r="O598" s="11">
        <v>-7.2590294E7</v>
      </c>
      <c r="P598" s="11">
        <v>1.127504043E9</v>
      </c>
      <c r="Q598" s="12" t="s">
        <v>3064</v>
      </c>
    </row>
    <row r="599">
      <c r="A599" s="13">
        <f t="shared" si="1"/>
        <v>598</v>
      </c>
      <c r="B599" s="6" t="s">
        <v>3065</v>
      </c>
      <c r="C599" s="98" t="s">
        <v>3066</v>
      </c>
      <c r="D599" s="6" t="s">
        <v>34</v>
      </c>
      <c r="E599" s="98" t="s">
        <v>2611</v>
      </c>
      <c r="F599" s="7">
        <v>273.0</v>
      </c>
      <c r="G599" s="6" t="s">
        <v>21</v>
      </c>
      <c r="H599" s="7" t="s">
        <v>649</v>
      </c>
      <c r="I599" s="8">
        <v>46207.0</v>
      </c>
      <c r="J599" s="6" t="s">
        <v>2582</v>
      </c>
      <c r="L599" s="10">
        <v>0.4166666666666667</v>
      </c>
      <c r="M599" s="10">
        <v>0.9583333333333334</v>
      </c>
      <c r="N599" s="6" t="s">
        <v>3067</v>
      </c>
      <c r="O599" s="11">
        <v>-7.2936891E7</v>
      </c>
      <c r="P599" s="11">
        <v>1.126761626E9</v>
      </c>
      <c r="Q599" s="12" t="s">
        <v>3068</v>
      </c>
    </row>
    <row r="600">
      <c r="A600" s="13">
        <f t="shared" si="1"/>
        <v>599</v>
      </c>
      <c r="B600" s="6" t="s">
        <v>3069</v>
      </c>
      <c r="C600" s="98" t="s">
        <v>3070</v>
      </c>
      <c r="D600" s="6" t="s">
        <v>19</v>
      </c>
      <c r="E600" s="98" t="s">
        <v>2592</v>
      </c>
      <c r="F600" s="7">
        <v>209.0</v>
      </c>
      <c r="G600" s="6" t="s">
        <v>21</v>
      </c>
      <c r="H600" s="7" t="s">
        <v>22</v>
      </c>
      <c r="I600" s="8">
        <v>46269.0</v>
      </c>
      <c r="J600" s="6" t="s">
        <v>2582</v>
      </c>
      <c r="L600" s="10">
        <v>0.375</v>
      </c>
      <c r="M600" s="10">
        <v>0.875</v>
      </c>
      <c r="N600" s="6" t="s">
        <v>3071</v>
      </c>
      <c r="O600" s="11">
        <v>-7.2526441E7</v>
      </c>
      <c r="P600" s="11">
        <v>1.127446897E9</v>
      </c>
      <c r="Q600" s="12" t="s">
        <v>3072</v>
      </c>
    </row>
    <row r="601">
      <c r="A601" s="13">
        <f t="shared" si="1"/>
        <v>600</v>
      </c>
      <c r="B601" s="6" t="s">
        <v>3073</v>
      </c>
      <c r="C601" s="98" t="s">
        <v>3074</v>
      </c>
      <c r="D601" s="6" t="s">
        <v>34</v>
      </c>
      <c r="E601" s="98" t="s">
        <v>2611</v>
      </c>
      <c r="F601" s="7">
        <v>41.0</v>
      </c>
      <c r="G601" s="6" t="s">
        <v>21</v>
      </c>
      <c r="H601" s="7">
        <v>25000.0</v>
      </c>
      <c r="I601" s="8">
        <v>46207.0</v>
      </c>
      <c r="J601" s="6" t="s">
        <v>2582</v>
      </c>
      <c r="L601" s="10">
        <v>0.375</v>
      </c>
      <c r="M601" s="10">
        <v>0.0</v>
      </c>
      <c r="N601" s="6" t="s">
        <v>3075</v>
      </c>
      <c r="O601" s="11">
        <v>-7265323.0</v>
      </c>
      <c r="P601" s="11">
        <v>1.127270665E9</v>
      </c>
      <c r="Q601" s="12" t="s">
        <v>3076</v>
      </c>
    </row>
    <row r="602">
      <c r="A602" s="13">
        <f t="shared" si="1"/>
        <v>601</v>
      </c>
      <c r="B602" s="6" t="s">
        <v>3077</v>
      </c>
      <c r="C602" s="98" t="s">
        <v>3078</v>
      </c>
      <c r="D602" s="6" t="s">
        <v>34</v>
      </c>
      <c r="E602" s="98" t="s">
        <v>3079</v>
      </c>
      <c r="F602" s="7">
        <v>3847.0</v>
      </c>
      <c r="G602" s="6" t="s">
        <v>21</v>
      </c>
      <c r="H602" s="7" t="s">
        <v>22</v>
      </c>
      <c r="I602" s="8">
        <v>46085.0</v>
      </c>
      <c r="J602" s="6" t="s">
        <v>2582</v>
      </c>
      <c r="L602" s="10">
        <v>0.25</v>
      </c>
      <c r="M602" s="10">
        <v>0.875</v>
      </c>
      <c r="N602" s="6" t="s">
        <v>3080</v>
      </c>
      <c r="O602" s="11">
        <v>-7.3048615E7</v>
      </c>
      <c r="P602" s="11">
        <v>1.127592702E9</v>
      </c>
      <c r="Q602" s="12" t="s">
        <v>3081</v>
      </c>
    </row>
    <row r="603">
      <c r="A603" s="13">
        <f t="shared" si="1"/>
        <v>602</v>
      </c>
      <c r="B603" s="36" t="s">
        <v>3082</v>
      </c>
      <c r="C603" s="97" t="s">
        <v>3083</v>
      </c>
      <c r="D603" s="36" t="s">
        <v>34</v>
      </c>
      <c r="E603" s="97" t="s">
        <v>3084</v>
      </c>
      <c r="F603" s="15">
        <v>2404.0</v>
      </c>
      <c r="G603" s="36" t="s">
        <v>21</v>
      </c>
      <c r="H603" s="38">
        <v>181000.0</v>
      </c>
      <c r="I603" s="39">
        <v>46207.0</v>
      </c>
      <c r="J603" s="36" t="s">
        <v>23</v>
      </c>
      <c r="K603" s="40"/>
      <c r="L603" s="105">
        <v>0.25</v>
      </c>
      <c r="M603" s="105">
        <v>0.9166666666666666</v>
      </c>
      <c r="N603" s="19" t="s">
        <v>3085</v>
      </c>
      <c r="O603" s="19" t="s">
        <v>3086</v>
      </c>
      <c r="P603" s="21" t="s">
        <v>3087</v>
      </c>
      <c r="Q603" s="42" t="s">
        <v>3088</v>
      </c>
      <c r="R603" s="43"/>
      <c r="S603" s="43"/>
      <c r="T603" s="43"/>
      <c r="U603" s="43"/>
      <c r="V603" s="43"/>
      <c r="W603" s="43"/>
      <c r="X603" s="43"/>
      <c r="Y603" s="43"/>
      <c r="Z603" s="43"/>
      <c r="AA603" s="43"/>
      <c r="AB603" s="43"/>
      <c r="AC603" s="43"/>
      <c r="AD603" s="43"/>
      <c r="AE603" s="43"/>
    </row>
    <row r="604">
      <c r="A604" s="13">
        <f t="shared" si="1"/>
        <v>603</v>
      </c>
      <c r="B604" s="9" t="s">
        <v>3089</v>
      </c>
      <c r="C604" s="100" t="s">
        <v>3090</v>
      </c>
      <c r="D604" s="9" t="s">
        <v>19</v>
      </c>
      <c r="E604" s="100" t="s">
        <v>3091</v>
      </c>
      <c r="F604" s="15">
        <v>270.0</v>
      </c>
      <c r="G604" s="9" t="s">
        <v>21</v>
      </c>
      <c r="H604" s="26" t="s">
        <v>22</v>
      </c>
      <c r="I604" s="17">
        <v>46177.0</v>
      </c>
      <c r="J604" s="9" t="s">
        <v>23</v>
      </c>
      <c r="K604" s="9"/>
      <c r="L604" s="18">
        <v>0.375</v>
      </c>
      <c r="M604" s="18">
        <v>0.9166666666666666</v>
      </c>
      <c r="N604" s="19" t="s">
        <v>3092</v>
      </c>
      <c r="O604" s="20" t="str">
        <f>IFERROR(__xludf.DUMMYFUNCTION("REGEXEXTRACT(N604,""^-?[0-9.]+"")"),"-7.276577411552014")</f>
        <v>-7.276577411552014</v>
      </c>
      <c r="P604" s="21" t="str">
        <f>IFERROR(__xludf.DUMMYFUNCTION("REGEXEXTRACT(N604,"",\s*(-?[0-9.]+)"")"),"112.75816798210771")</f>
        <v>112.75816798210771</v>
      </c>
      <c r="Q604" s="22" t="s">
        <v>3093</v>
      </c>
      <c r="R604" s="23"/>
      <c r="S604" s="23"/>
      <c r="T604" s="23"/>
      <c r="U604" s="23"/>
      <c r="V604" s="23"/>
      <c r="W604" s="23"/>
      <c r="X604" s="23"/>
      <c r="Y604" s="23"/>
      <c r="Z604" s="23"/>
      <c r="AA604" s="23"/>
      <c r="AB604" s="23"/>
      <c r="AC604" s="23"/>
      <c r="AD604" s="23"/>
      <c r="AE604" s="23"/>
    </row>
    <row r="605">
      <c r="A605" s="13">
        <f t="shared" si="1"/>
        <v>604</v>
      </c>
      <c r="B605" s="6" t="s">
        <v>3094</v>
      </c>
      <c r="C605" s="98" t="s">
        <v>3095</v>
      </c>
      <c r="D605" s="6" t="s">
        <v>34</v>
      </c>
      <c r="E605" s="98" t="s">
        <v>2634</v>
      </c>
      <c r="F605" s="7">
        <v>209.0</v>
      </c>
      <c r="G605" s="6" t="s">
        <v>21</v>
      </c>
      <c r="H605" s="7">
        <v>25000.0</v>
      </c>
      <c r="I605" s="8">
        <v>46207.0</v>
      </c>
      <c r="J605" s="6" t="s">
        <v>2582</v>
      </c>
      <c r="L605" s="10">
        <v>0.5</v>
      </c>
      <c r="M605" s="10">
        <v>0.8333333333333334</v>
      </c>
      <c r="N605" s="6" t="s">
        <v>3096</v>
      </c>
      <c r="O605" s="11">
        <v>-7307765.0</v>
      </c>
      <c r="P605" s="11">
        <v>1.1267602E7</v>
      </c>
      <c r="Q605" s="12" t="s">
        <v>3097</v>
      </c>
    </row>
    <row r="606">
      <c r="A606" s="13">
        <f t="shared" si="1"/>
        <v>605</v>
      </c>
      <c r="B606" s="28" t="s">
        <v>3098</v>
      </c>
      <c r="C606" s="92" t="s">
        <v>3099</v>
      </c>
      <c r="D606" s="28" t="s">
        <v>19</v>
      </c>
      <c r="E606" s="92" t="s">
        <v>3100</v>
      </c>
      <c r="F606" s="28">
        <v>7222.0</v>
      </c>
      <c r="G606" s="28" t="s">
        <v>21</v>
      </c>
      <c r="H606" s="28" t="s">
        <v>1939</v>
      </c>
      <c r="I606" s="29">
        <v>46207.0</v>
      </c>
      <c r="J606" s="52" t="s">
        <v>23</v>
      </c>
      <c r="K606" s="30"/>
      <c r="L606" s="31">
        <v>0.4166666666666667</v>
      </c>
      <c r="M606" s="31">
        <v>0.9166666666666666</v>
      </c>
      <c r="N606" s="48" t="s">
        <v>3101</v>
      </c>
      <c r="O606" s="94">
        <v>-7.2718687E7</v>
      </c>
      <c r="P606" s="94">
        <v>1.127483661E9</v>
      </c>
      <c r="Q606" s="42" t="s">
        <v>3102</v>
      </c>
      <c r="R606" s="43"/>
      <c r="S606" s="43"/>
      <c r="T606" s="43"/>
      <c r="U606" s="43"/>
      <c r="V606" s="43"/>
      <c r="W606" s="43"/>
      <c r="X606" s="43"/>
      <c r="Y606" s="43"/>
      <c r="Z606" s="43"/>
      <c r="AA606" s="43"/>
      <c r="AB606" s="43"/>
      <c r="AC606" s="43"/>
      <c r="AD606" s="43"/>
      <c r="AE606" s="43"/>
    </row>
    <row r="607">
      <c r="A607" s="13">
        <f t="shared" si="1"/>
        <v>606</v>
      </c>
      <c r="B607" s="6" t="s">
        <v>3103</v>
      </c>
      <c r="C607" s="98" t="s">
        <v>3104</v>
      </c>
      <c r="D607" s="6" t="s">
        <v>34</v>
      </c>
      <c r="E607" s="98" t="s">
        <v>2929</v>
      </c>
      <c r="F607" s="7">
        <v>802.0</v>
      </c>
      <c r="G607" s="6" t="s">
        <v>21</v>
      </c>
      <c r="H607" s="7">
        <v>25000.0</v>
      </c>
      <c r="I607" s="8">
        <v>46116.0</v>
      </c>
      <c r="J607" s="6" t="s">
        <v>2582</v>
      </c>
      <c r="L607" s="10">
        <v>0.7916666666666666</v>
      </c>
      <c r="M607" s="10">
        <v>0.14583333333333334</v>
      </c>
      <c r="N607" s="6" t="s">
        <v>3105</v>
      </c>
      <c r="O607" s="11">
        <v>-7.2785677E7</v>
      </c>
      <c r="P607" s="11">
        <v>1.12758943E8</v>
      </c>
      <c r="Q607" s="12" t="s">
        <v>3106</v>
      </c>
    </row>
    <row r="608">
      <c r="A608" s="13">
        <f t="shared" si="1"/>
        <v>607</v>
      </c>
      <c r="B608" s="6" t="s">
        <v>3107</v>
      </c>
      <c r="C608" s="98" t="s">
        <v>3108</v>
      </c>
      <c r="D608" s="6" t="s">
        <v>34</v>
      </c>
      <c r="E608" s="98" t="s">
        <v>2580</v>
      </c>
      <c r="F608" s="7">
        <v>655.0</v>
      </c>
      <c r="G608" s="6" t="s">
        <v>21</v>
      </c>
      <c r="H608" s="7" t="s">
        <v>1736</v>
      </c>
      <c r="I608" s="8">
        <v>46207.0</v>
      </c>
      <c r="J608" s="6" t="s">
        <v>2582</v>
      </c>
      <c r="L608" s="10">
        <v>0.4583333333333333</v>
      </c>
      <c r="M608" s="10">
        <v>0.9166666666666666</v>
      </c>
      <c r="N608" s="6" t="s">
        <v>3109</v>
      </c>
      <c r="O608" s="11">
        <v>-7.2693994E7</v>
      </c>
      <c r="P608" s="11">
        <v>1.126944568E9</v>
      </c>
      <c r="Q608" s="12" t="s">
        <v>3110</v>
      </c>
    </row>
    <row r="609">
      <c r="A609" s="13">
        <f t="shared" si="1"/>
        <v>608</v>
      </c>
      <c r="B609" s="6" t="s">
        <v>3111</v>
      </c>
      <c r="C609" s="98" t="s">
        <v>3112</v>
      </c>
      <c r="D609" s="6" t="s">
        <v>34</v>
      </c>
      <c r="E609" s="98" t="s">
        <v>2592</v>
      </c>
      <c r="F609" s="7">
        <v>17.0</v>
      </c>
      <c r="G609" s="6" t="s">
        <v>21</v>
      </c>
      <c r="H609" s="7">
        <v>25000.0</v>
      </c>
      <c r="I609" s="8">
        <v>46238.0</v>
      </c>
      <c r="J609" s="6" t="s">
        <v>2582</v>
      </c>
      <c r="L609" s="10">
        <v>0.3333333333333333</v>
      </c>
      <c r="M609" s="10">
        <v>0.9166666666666666</v>
      </c>
      <c r="N609" s="6" t="s">
        <v>3113</v>
      </c>
      <c r="O609" s="11">
        <v>-7.3073849E7</v>
      </c>
      <c r="P609" s="11">
        <v>1.126656085E9</v>
      </c>
      <c r="Q609" s="12" t="s">
        <v>3114</v>
      </c>
    </row>
    <row r="610">
      <c r="A610" s="13">
        <f t="shared" si="1"/>
        <v>609</v>
      </c>
      <c r="B610" s="6" t="s">
        <v>3115</v>
      </c>
      <c r="C610" s="98" t="s">
        <v>3116</v>
      </c>
      <c r="D610" s="6" t="s">
        <v>34</v>
      </c>
      <c r="E610" s="98" t="s">
        <v>2929</v>
      </c>
      <c r="F610" s="7">
        <v>778.0</v>
      </c>
      <c r="G610" s="6" t="s">
        <v>21</v>
      </c>
      <c r="H610" s="7">
        <v>25000.0</v>
      </c>
      <c r="I610" s="8">
        <v>46177.0</v>
      </c>
      <c r="J610" s="6" t="s">
        <v>2582</v>
      </c>
      <c r="L610" s="10">
        <v>0.2916666666666667</v>
      </c>
      <c r="M610" s="10">
        <v>0.875</v>
      </c>
      <c r="N610" s="6" t="s">
        <v>3117</v>
      </c>
      <c r="O610" s="11">
        <v>-7.2768032E7</v>
      </c>
      <c r="P610" s="11">
        <v>1.127547234E9</v>
      </c>
      <c r="Q610" s="12" t="s">
        <v>3118</v>
      </c>
    </row>
    <row r="611">
      <c r="A611" s="13">
        <f t="shared" si="1"/>
        <v>610</v>
      </c>
      <c r="B611" s="6" t="s">
        <v>3119</v>
      </c>
      <c r="C611" s="98" t="s">
        <v>3120</v>
      </c>
      <c r="D611" s="6" t="s">
        <v>34</v>
      </c>
      <c r="E611" s="98" t="s">
        <v>2623</v>
      </c>
      <c r="F611" s="7">
        <v>144.0</v>
      </c>
      <c r="G611" s="6" t="s">
        <v>21</v>
      </c>
      <c r="H611" s="7" t="s">
        <v>22</v>
      </c>
      <c r="I611" s="8">
        <v>46116.0</v>
      </c>
      <c r="J611" s="6" t="s">
        <v>2582</v>
      </c>
      <c r="L611" s="10">
        <v>0.25</v>
      </c>
      <c r="M611" s="10">
        <v>0.875</v>
      </c>
      <c r="N611" s="6" t="s">
        <v>3121</v>
      </c>
      <c r="O611" s="11">
        <v>-7.3518978E7</v>
      </c>
      <c r="P611" s="11">
        <v>1.127289576E9</v>
      </c>
      <c r="Q611" s="12" t="s">
        <v>3122</v>
      </c>
    </row>
    <row r="612">
      <c r="A612" s="13">
        <f t="shared" si="1"/>
        <v>611</v>
      </c>
      <c r="B612" s="6" t="s">
        <v>3123</v>
      </c>
      <c r="C612" s="98" t="s">
        <v>3124</v>
      </c>
      <c r="D612" s="6" t="s">
        <v>34</v>
      </c>
      <c r="E612" s="98" t="s">
        <v>2817</v>
      </c>
      <c r="F612" s="7">
        <v>2694.0</v>
      </c>
      <c r="G612" s="6" t="s">
        <v>21</v>
      </c>
      <c r="H612" s="7">
        <v>25000.0</v>
      </c>
      <c r="I612" s="8">
        <v>46116.0</v>
      </c>
      <c r="J612" s="6" t="s">
        <v>2582</v>
      </c>
      <c r="L612" s="10">
        <v>0.2916666666666667</v>
      </c>
      <c r="M612" s="10">
        <v>0.0</v>
      </c>
      <c r="N612" s="6" t="s">
        <v>3125</v>
      </c>
      <c r="O612" s="11">
        <v>-7.2683301E7</v>
      </c>
      <c r="P612" s="11">
        <v>1.127741892E9</v>
      </c>
      <c r="Q612" s="12" t="s">
        <v>3126</v>
      </c>
    </row>
    <row r="613">
      <c r="A613" s="13">
        <f t="shared" si="1"/>
        <v>612</v>
      </c>
      <c r="B613" s="6" t="s">
        <v>3127</v>
      </c>
      <c r="C613" s="98" t="s">
        <v>3128</v>
      </c>
      <c r="D613" s="6" t="s">
        <v>34</v>
      </c>
      <c r="E613" s="98" t="s">
        <v>2611</v>
      </c>
      <c r="F613" s="7">
        <v>9.0</v>
      </c>
      <c r="G613" s="6" t="s">
        <v>21</v>
      </c>
      <c r="H613" s="7">
        <v>25000.0</v>
      </c>
      <c r="I613" s="8">
        <v>46238.0</v>
      </c>
      <c r="J613" s="6" t="s">
        <v>2582</v>
      </c>
      <c r="L613" s="10">
        <v>0.4166666666666667</v>
      </c>
      <c r="M613" s="10">
        <v>0.9166666666666666</v>
      </c>
      <c r="N613" s="6" t="s">
        <v>3129</v>
      </c>
      <c r="O613" s="11">
        <v>-7.2554767E7</v>
      </c>
      <c r="P613" s="11">
        <v>1.127172477E9</v>
      </c>
      <c r="Q613" s="12" t="s">
        <v>3130</v>
      </c>
    </row>
    <row r="614">
      <c r="A614" s="13">
        <f t="shared" si="1"/>
        <v>613</v>
      </c>
      <c r="B614" s="6" t="s">
        <v>3131</v>
      </c>
      <c r="C614" s="98" t="s">
        <v>3132</v>
      </c>
      <c r="D614" s="6" t="s">
        <v>34</v>
      </c>
      <c r="E614" s="98" t="s">
        <v>3133</v>
      </c>
      <c r="F614" s="7">
        <v>648.0</v>
      </c>
      <c r="G614" s="6" t="s">
        <v>21</v>
      </c>
      <c r="H614" s="7" t="s">
        <v>22</v>
      </c>
      <c r="I614" s="8">
        <v>46057.0</v>
      </c>
      <c r="J614" s="6" t="s">
        <v>2582</v>
      </c>
      <c r="L614" s="10">
        <v>0.375</v>
      </c>
      <c r="M614" s="10">
        <v>0.875</v>
      </c>
      <c r="N614" s="6" t="s">
        <v>3134</v>
      </c>
      <c r="O614" s="11">
        <v>-7.2711255E7</v>
      </c>
      <c r="P614" s="11">
        <v>1.127458387E9</v>
      </c>
      <c r="Q614" s="12" t="s">
        <v>3135</v>
      </c>
    </row>
    <row r="615">
      <c r="A615" s="13">
        <f t="shared" si="1"/>
        <v>614</v>
      </c>
      <c r="B615" s="6" t="s">
        <v>3136</v>
      </c>
      <c r="C615" s="98" t="s">
        <v>3137</v>
      </c>
      <c r="D615" s="6" t="s">
        <v>46</v>
      </c>
      <c r="E615" s="98" t="s">
        <v>2629</v>
      </c>
      <c r="F615" s="7">
        <v>19.0</v>
      </c>
      <c r="G615" s="6" t="s">
        <v>21</v>
      </c>
      <c r="H615" s="7">
        <v>0.0</v>
      </c>
      <c r="I615" s="8">
        <v>46146.0</v>
      </c>
      <c r="J615" s="6" t="s">
        <v>2582</v>
      </c>
      <c r="L615" s="10">
        <v>0.0</v>
      </c>
      <c r="M615" s="10">
        <v>0.9993055555555556</v>
      </c>
      <c r="N615" s="6" t="s">
        <v>3138</v>
      </c>
      <c r="O615" s="11">
        <v>-7.2643734E7</v>
      </c>
      <c r="P615" s="11">
        <v>1.128003615E9</v>
      </c>
      <c r="Q615" s="12" t="s">
        <v>3139</v>
      </c>
    </row>
    <row r="616">
      <c r="A616" s="13">
        <f t="shared" si="1"/>
        <v>615</v>
      </c>
      <c r="B616" s="28" t="s">
        <v>3140</v>
      </c>
      <c r="C616" s="92" t="s">
        <v>3141</v>
      </c>
      <c r="D616" s="28" t="s">
        <v>46</v>
      </c>
      <c r="E616" s="92" t="s">
        <v>3142</v>
      </c>
      <c r="F616" s="28">
        <v>892.0</v>
      </c>
      <c r="G616" s="28" t="s">
        <v>21</v>
      </c>
      <c r="H616" s="28">
        <v>0.0</v>
      </c>
      <c r="I616" s="29">
        <v>46207.0</v>
      </c>
      <c r="J616" s="52" t="s">
        <v>23</v>
      </c>
      <c r="K616" s="30"/>
      <c r="L616" s="31">
        <v>0.25</v>
      </c>
      <c r="M616" s="31">
        <v>0.9166666666666666</v>
      </c>
      <c r="N616" s="94" t="s">
        <v>3143</v>
      </c>
      <c r="O616" s="94">
        <v>-7.3311981E7</v>
      </c>
      <c r="P616" s="94">
        <v>1.126945173E9</v>
      </c>
      <c r="Q616" s="12" t="s">
        <v>3144</v>
      </c>
    </row>
    <row r="617">
      <c r="A617" s="13">
        <f t="shared" si="1"/>
        <v>616</v>
      </c>
      <c r="B617" s="6" t="s">
        <v>3145</v>
      </c>
      <c r="C617" s="98" t="s">
        <v>3146</v>
      </c>
      <c r="D617" s="6" t="s">
        <v>19</v>
      </c>
      <c r="E617" s="98" t="s">
        <v>2726</v>
      </c>
      <c r="F617" s="7">
        <v>96.0</v>
      </c>
      <c r="G617" s="6" t="s">
        <v>21</v>
      </c>
      <c r="H617" s="7" t="s">
        <v>22</v>
      </c>
      <c r="I617" s="8">
        <v>46207.0</v>
      </c>
      <c r="J617" s="6" t="s">
        <v>2582</v>
      </c>
      <c r="L617" s="10">
        <v>0.2916666666666667</v>
      </c>
      <c r="M617" s="10">
        <v>0.9583333333333334</v>
      </c>
      <c r="N617" s="6" t="s">
        <v>3147</v>
      </c>
      <c r="O617" s="11">
        <v>-7.3379189E7</v>
      </c>
      <c r="P617" s="11">
        <v>1.127140611E9</v>
      </c>
      <c r="Q617" s="12" t="s">
        <v>3148</v>
      </c>
    </row>
    <row r="618">
      <c r="A618" s="13">
        <f t="shared" si="1"/>
        <v>617</v>
      </c>
      <c r="B618" s="6" t="s">
        <v>3149</v>
      </c>
      <c r="C618" s="98" t="s">
        <v>3150</v>
      </c>
      <c r="D618" s="6" t="s">
        <v>34</v>
      </c>
      <c r="E618" s="98" t="s">
        <v>2580</v>
      </c>
      <c r="F618" s="7">
        <v>280.0</v>
      </c>
      <c r="G618" s="6" t="s">
        <v>21</v>
      </c>
      <c r="H618" s="7" t="s">
        <v>785</v>
      </c>
      <c r="I618" s="8">
        <v>46207.0</v>
      </c>
      <c r="J618" s="6" t="s">
        <v>2582</v>
      </c>
      <c r="L618" s="10">
        <v>0.0</v>
      </c>
      <c r="M618" s="10">
        <v>0.9993055555555556</v>
      </c>
      <c r="N618" s="6" t="s">
        <v>3151</v>
      </c>
      <c r="O618" s="11">
        <v>-7.2673684E7</v>
      </c>
      <c r="P618" s="11">
        <v>1.12680199E8</v>
      </c>
      <c r="Q618" s="12" t="s">
        <v>3152</v>
      </c>
    </row>
    <row r="619">
      <c r="A619" s="13">
        <f t="shared" si="1"/>
        <v>618</v>
      </c>
      <c r="B619" s="36" t="s">
        <v>3153</v>
      </c>
      <c r="C619" s="97" t="s">
        <v>3154</v>
      </c>
      <c r="D619" s="36" t="s">
        <v>19</v>
      </c>
      <c r="E619" s="97" t="s">
        <v>3155</v>
      </c>
      <c r="F619" s="15">
        <v>1006.0</v>
      </c>
      <c r="G619" s="36" t="s">
        <v>21</v>
      </c>
      <c r="H619" s="79" t="s">
        <v>22</v>
      </c>
      <c r="I619" s="39">
        <v>46207.0</v>
      </c>
      <c r="J619" s="36" t="s">
        <v>23</v>
      </c>
      <c r="K619" s="40"/>
      <c r="L619" s="41">
        <v>0.3333333333333333</v>
      </c>
      <c r="M619" s="41">
        <v>0.9166666666666666</v>
      </c>
      <c r="N619" s="19" t="s">
        <v>3156</v>
      </c>
      <c r="O619" s="19" t="s">
        <v>3157</v>
      </c>
      <c r="P619" s="21" t="s">
        <v>3158</v>
      </c>
      <c r="Q619" s="42" t="s">
        <v>3159</v>
      </c>
      <c r="R619" s="43"/>
      <c r="S619" s="43"/>
      <c r="T619" s="43"/>
      <c r="U619" s="43"/>
      <c r="V619" s="43"/>
      <c r="W619" s="43"/>
      <c r="X619" s="43"/>
      <c r="Y619" s="43"/>
      <c r="Z619" s="43"/>
      <c r="AA619" s="43"/>
      <c r="AB619" s="43"/>
      <c r="AC619" s="43"/>
      <c r="AD619" s="43"/>
      <c r="AE619" s="43"/>
    </row>
    <row r="620">
      <c r="A620" s="13">
        <f t="shared" si="1"/>
        <v>619</v>
      </c>
      <c r="B620" s="6" t="s">
        <v>3160</v>
      </c>
      <c r="C620" s="98" t="s">
        <v>3161</v>
      </c>
      <c r="D620" s="6" t="s">
        <v>34</v>
      </c>
      <c r="E620" s="98" t="s">
        <v>3162</v>
      </c>
      <c r="F620" s="7">
        <v>419.0</v>
      </c>
      <c r="G620" s="6" t="s">
        <v>21</v>
      </c>
      <c r="H620" s="7">
        <v>250000.0</v>
      </c>
      <c r="I620" s="8">
        <v>46238.0</v>
      </c>
      <c r="J620" s="6" t="s">
        <v>2582</v>
      </c>
      <c r="L620" s="10">
        <v>0.5</v>
      </c>
      <c r="M620" s="10">
        <v>0.9166666666666666</v>
      </c>
      <c r="N620" s="6" t="s">
        <v>3163</v>
      </c>
      <c r="O620" s="11">
        <v>-7286151.0</v>
      </c>
      <c r="P620" s="11">
        <v>1.126993219E9</v>
      </c>
      <c r="Q620" s="12" t="s">
        <v>3164</v>
      </c>
    </row>
    <row r="621">
      <c r="A621" s="13">
        <f t="shared" si="1"/>
        <v>620</v>
      </c>
      <c r="B621" s="6" t="s">
        <v>3165</v>
      </c>
      <c r="C621" s="98" t="s">
        <v>3166</v>
      </c>
      <c r="D621" s="6" t="s">
        <v>34</v>
      </c>
      <c r="E621" s="98" t="s">
        <v>2817</v>
      </c>
      <c r="F621" s="7">
        <v>1073.0</v>
      </c>
      <c r="G621" s="6" t="s">
        <v>21</v>
      </c>
      <c r="H621" s="7" t="s">
        <v>22</v>
      </c>
      <c r="I621" s="8">
        <v>46146.0</v>
      </c>
      <c r="J621" s="6" t="s">
        <v>2582</v>
      </c>
      <c r="L621" s="10">
        <v>0.4583333333333333</v>
      </c>
      <c r="M621" s="10">
        <v>0.875</v>
      </c>
      <c r="N621" s="6" t="s">
        <v>3167</v>
      </c>
      <c r="O621" s="11">
        <v>-7323501.0</v>
      </c>
      <c r="P621" s="11">
        <v>1.127450202E9</v>
      </c>
      <c r="Q621" s="12" t="s">
        <v>3168</v>
      </c>
    </row>
    <row r="622">
      <c r="A622" s="13">
        <f t="shared" si="1"/>
        <v>621</v>
      </c>
      <c r="B622" s="6" t="s">
        <v>3169</v>
      </c>
      <c r="C622" s="98" t="s">
        <v>3170</v>
      </c>
      <c r="D622" s="6" t="s">
        <v>34</v>
      </c>
      <c r="E622" s="98" t="s">
        <v>2580</v>
      </c>
      <c r="F622" s="7">
        <v>954.0</v>
      </c>
      <c r="G622" s="6" t="s">
        <v>21</v>
      </c>
      <c r="H622" s="7" t="s">
        <v>29</v>
      </c>
      <c r="I622" s="8">
        <v>46207.0</v>
      </c>
      <c r="J622" s="6" t="s">
        <v>2582</v>
      </c>
      <c r="L622" s="10">
        <v>0.5</v>
      </c>
      <c r="M622" s="10">
        <v>0.9166666666666666</v>
      </c>
      <c r="N622" s="6" t="s">
        <v>3171</v>
      </c>
      <c r="O622" s="11">
        <v>-7.2962376E7</v>
      </c>
      <c r="P622" s="11">
        <v>1.127821927E9</v>
      </c>
      <c r="Q622" s="12" t="s">
        <v>3172</v>
      </c>
    </row>
    <row r="623">
      <c r="A623" s="13">
        <f t="shared" si="1"/>
        <v>622</v>
      </c>
      <c r="B623" s="6" t="s">
        <v>3173</v>
      </c>
      <c r="C623" s="98" t="s">
        <v>3174</v>
      </c>
      <c r="D623" s="6" t="s">
        <v>34</v>
      </c>
      <c r="E623" s="98" t="s">
        <v>2580</v>
      </c>
      <c r="F623" s="7">
        <v>90.0</v>
      </c>
      <c r="G623" s="6" t="s">
        <v>21</v>
      </c>
      <c r="H623" s="7" t="s">
        <v>785</v>
      </c>
      <c r="I623" s="8">
        <v>46026.0</v>
      </c>
      <c r="J623" s="6" t="s">
        <v>2582</v>
      </c>
      <c r="L623" s="10">
        <v>0.625</v>
      </c>
      <c r="M623" s="10">
        <v>0.9166666666666666</v>
      </c>
      <c r="N623" s="6" t="s">
        <v>3175</v>
      </c>
      <c r="O623" s="11">
        <v>-7.2984099E7</v>
      </c>
      <c r="P623" s="11">
        <v>1.12759588E8</v>
      </c>
      <c r="Q623" s="12" t="s">
        <v>3176</v>
      </c>
    </row>
    <row r="624">
      <c r="A624" s="13">
        <f t="shared" si="1"/>
        <v>623</v>
      </c>
      <c r="B624" s="6" t="s">
        <v>3177</v>
      </c>
      <c r="C624" s="98" t="s">
        <v>3178</v>
      </c>
      <c r="D624" s="6" t="s">
        <v>34</v>
      </c>
      <c r="E624" s="98" t="s">
        <v>2929</v>
      </c>
      <c r="F624" s="7">
        <v>148.0</v>
      </c>
      <c r="G624" s="6" t="s">
        <v>21</v>
      </c>
      <c r="H624" s="7">
        <v>25000.0</v>
      </c>
      <c r="I624" s="8">
        <v>46177.0</v>
      </c>
      <c r="J624" s="6" t="s">
        <v>2582</v>
      </c>
      <c r="L624" s="10">
        <v>0.375</v>
      </c>
      <c r="M624" s="10">
        <v>0.875</v>
      </c>
      <c r="N624" s="6" t="s">
        <v>3179</v>
      </c>
      <c r="O624" s="11">
        <v>-7.2885189E7</v>
      </c>
      <c r="P624" s="11">
        <v>1.127118234E9</v>
      </c>
      <c r="Q624" s="12" t="s">
        <v>3180</v>
      </c>
    </row>
    <row r="625">
      <c r="A625" s="13">
        <f t="shared" si="1"/>
        <v>624</v>
      </c>
      <c r="B625" s="6" t="s">
        <v>3181</v>
      </c>
      <c r="C625" s="98" t="s">
        <v>3182</v>
      </c>
      <c r="D625" s="6" t="s">
        <v>34</v>
      </c>
      <c r="E625" s="98" t="s">
        <v>2817</v>
      </c>
      <c r="F625" s="7">
        <v>64.0</v>
      </c>
      <c r="G625" s="6" t="s">
        <v>21</v>
      </c>
      <c r="H625" s="7" t="s">
        <v>22</v>
      </c>
      <c r="I625" s="7" t="s">
        <v>3183</v>
      </c>
      <c r="J625" s="6" t="s">
        <v>2582</v>
      </c>
      <c r="L625" s="10">
        <v>0.4375</v>
      </c>
      <c r="M625" s="10">
        <v>0.8958333333333334</v>
      </c>
      <c r="N625" s="6" t="s">
        <v>3184</v>
      </c>
      <c r="O625" s="11">
        <v>-7.2907207E7</v>
      </c>
      <c r="P625" s="11">
        <v>1.127094514E9</v>
      </c>
      <c r="Q625" s="12" t="s">
        <v>3185</v>
      </c>
    </row>
    <row r="626">
      <c r="A626" s="13">
        <f t="shared" si="1"/>
        <v>625</v>
      </c>
      <c r="B626" s="6" t="s">
        <v>3186</v>
      </c>
      <c r="C626" s="98" t="s">
        <v>3187</v>
      </c>
      <c r="D626" s="6" t="s">
        <v>34</v>
      </c>
      <c r="E626" s="98" t="s">
        <v>2929</v>
      </c>
      <c r="F626" s="7">
        <v>132.0</v>
      </c>
      <c r="G626" s="6" t="s">
        <v>21</v>
      </c>
      <c r="H626" s="7">
        <v>25000.0</v>
      </c>
      <c r="I626" s="8">
        <v>46207.0</v>
      </c>
      <c r="J626" s="6" t="s">
        <v>58</v>
      </c>
      <c r="K626" s="6" t="s">
        <v>59</v>
      </c>
      <c r="L626" s="10">
        <v>0.3333333333333333</v>
      </c>
      <c r="M626" s="10">
        <v>0.8333333333333334</v>
      </c>
      <c r="N626" s="6" t="s">
        <v>3188</v>
      </c>
      <c r="O626" s="11">
        <v>-7.2848715E7</v>
      </c>
      <c r="P626" s="11">
        <v>1.127154187E9</v>
      </c>
      <c r="Q626" s="12" t="s">
        <v>3189</v>
      </c>
    </row>
    <row r="627">
      <c r="A627" s="13">
        <f t="shared" si="1"/>
        <v>626</v>
      </c>
      <c r="B627" s="6" t="s">
        <v>3190</v>
      </c>
      <c r="C627" s="98" t="s">
        <v>3191</v>
      </c>
      <c r="D627" s="6" t="s">
        <v>34</v>
      </c>
      <c r="E627" s="98" t="s">
        <v>3192</v>
      </c>
      <c r="F627" s="7">
        <v>757.0</v>
      </c>
      <c r="G627" s="6" t="s">
        <v>21</v>
      </c>
      <c r="H627" s="7">
        <v>25000.0</v>
      </c>
      <c r="I627" s="8">
        <v>46177.0</v>
      </c>
      <c r="J627" s="6" t="s">
        <v>2582</v>
      </c>
      <c r="L627" s="10">
        <v>0.6666666666666666</v>
      </c>
      <c r="M627" s="10">
        <v>0.9583333333333334</v>
      </c>
      <c r="N627" s="6" t="s">
        <v>3193</v>
      </c>
      <c r="O627" s="11">
        <v>-7.2764012E7</v>
      </c>
      <c r="P627" s="11">
        <v>1.127358155E9</v>
      </c>
      <c r="Q627" s="12" t="s">
        <v>3194</v>
      </c>
    </row>
    <row r="628">
      <c r="A628" s="13">
        <f t="shared" si="1"/>
        <v>627</v>
      </c>
      <c r="B628" s="6" t="s">
        <v>3195</v>
      </c>
      <c r="C628" s="98" t="s">
        <v>3196</v>
      </c>
      <c r="D628" s="6" t="s">
        <v>34</v>
      </c>
      <c r="E628" s="98" t="s">
        <v>2634</v>
      </c>
      <c r="F628" s="7">
        <v>982.0</v>
      </c>
      <c r="G628" s="6" t="s">
        <v>21</v>
      </c>
      <c r="H628" s="7">
        <v>25000.0</v>
      </c>
      <c r="I628" s="8">
        <v>46207.0</v>
      </c>
      <c r="J628" s="6" t="s">
        <v>2582</v>
      </c>
      <c r="L628" s="10">
        <v>0.5</v>
      </c>
      <c r="M628" s="10">
        <v>0.9166666666666666</v>
      </c>
      <c r="N628" s="6" t="s">
        <v>3197</v>
      </c>
      <c r="O628" s="11">
        <v>-7.2980104E7</v>
      </c>
      <c r="P628" s="11">
        <v>1.127287321E9</v>
      </c>
      <c r="Q628" s="12" t="s">
        <v>3198</v>
      </c>
    </row>
    <row r="629">
      <c r="A629" s="13">
        <f t="shared" si="1"/>
        <v>628</v>
      </c>
      <c r="B629" s="6" t="s">
        <v>3199</v>
      </c>
      <c r="C629" s="98" t="s">
        <v>3200</v>
      </c>
      <c r="D629" s="6" t="s">
        <v>46</v>
      </c>
      <c r="E629" s="98" t="s">
        <v>3201</v>
      </c>
      <c r="F629" s="7">
        <v>8064.0</v>
      </c>
      <c r="G629" s="6" t="s">
        <v>21</v>
      </c>
      <c r="H629" s="7">
        <v>0.0</v>
      </c>
      <c r="I629" s="8">
        <v>46085.0</v>
      </c>
      <c r="J629" s="6" t="s">
        <v>2582</v>
      </c>
      <c r="L629" s="10">
        <v>0.3333333333333333</v>
      </c>
      <c r="M629" s="10">
        <v>0.6666666666666666</v>
      </c>
      <c r="N629" s="6" t="s">
        <v>3202</v>
      </c>
      <c r="O629" s="11">
        <v>-7.3073636E7</v>
      </c>
      <c r="P629" s="11">
        <v>1.128232904E9</v>
      </c>
      <c r="Q629" s="12" t="s">
        <v>3203</v>
      </c>
    </row>
    <row r="630">
      <c r="A630" s="13">
        <f t="shared" si="1"/>
        <v>629</v>
      </c>
      <c r="B630" s="6" t="s">
        <v>3204</v>
      </c>
      <c r="C630" s="98" t="s">
        <v>3205</v>
      </c>
      <c r="D630" s="6" t="s">
        <v>34</v>
      </c>
      <c r="E630" s="98" t="s">
        <v>2817</v>
      </c>
      <c r="F630" s="7">
        <v>52.0</v>
      </c>
      <c r="G630" s="6" t="s">
        <v>21</v>
      </c>
      <c r="H630" s="7">
        <v>25000.0</v>
      </c>
      <c r="I630" s="8">
        <v>46177.0</v>
      </c>
      <c r="J630" s="6" t="s">
        <v>2582</v>
      </c>
      <c r="L630" s="10">
        <v>0.25</v>
      </c>
      <c r="M630" s="10">
        <v>0.0</v>
      </c>
      <c r="N630" s="6" t="s">
        <v>3206</v>
      </c>
      <c r="O630" s="11">
        <v>-7.2709262E7</v>
      </c>
      <c r="P630" s="11">
        <v>1.127352418E9</v>
      </c>
      <c r="Q630" s="12" t="s">
        <v>3207</v>
      </c>
    </row>
    <row r="631">
      <c r="A631" s="13">
        <f t="shared" si="1"/>
        <v>630</v>
      </c>
      <c r="B631" s="6" t="s">
        <v>3208</v>
      </c>
      <c r="C631" s="98" t="s">
        <v>3209</v>
      </c>
      <c r="D631" s="6" t="s">
        <v>34</v>
      </c>
      <c r="E631" s="98" t="s">
        <v>2597</v>
      </c>
      <c r="F631" s="7">
        <v>1135.0</v>
      </c>
      <c r="G631" s="6" t="s">
        <v>21</v>
      </c>
      <c r="H631" s="7">
        <v>25000.0</v>
      </c>
      <c r="I631" s="8">
        <v>46116.0</v>
      </c>
      <c r="J631" s="6" t="s">
        <v>2582</v>
      </c>
      <c r="L631" s="10">
        <v>0.2916666666666667</v>
      </c>
      <c r="M631" s="10">
        <v>0.0</v>
      </c>
      <c r="N631" s="6" t="s">
        <v>3210</v>
      </c>
      <c r="O631" s="11">
        <v>-7295064.0</v>
      </c>
      <c r="P631" s="11">
        <v>1.127612661E9</v>
      </c>
      <c r="Q631" s="12" t="s">
        <v>3211</v>
      </c>
    </row>
    <row r="632">
      <c r="A632" s="13">
        <f t="shared" si="1"/>
        <v>631</v>
      </c>
      <c r="B632" s="6" t="s">
        <v>3212</v>
      </c>
      <c r="C632" s="98" t="s">
        <v>3213</v>
      </c>
      <c r="D632" s="6" t="s">
        <v>34</v>
      </c>
      <c r="E632" s="98" t="s">
        <v>2929</v>
      </c>
      <c r="F632" s="7">
        <v>85.0</v>
      </c>
      <c r="G632" s="6" t="s">
        <v>21</v>
      </c>
      <c r="H632" s="7">
        <v>25000.0</v>
      </c>
      <c r="I632" s="8">
        <v>46238.0</v>
      </c>
      <c r="J632" s="6" t="s">
        <v>2582</v>
      </c>
      <c r="L632" s="10">
        <v>0.4791666666666667</v>
      </c>
      <c r="M632" s="10">
        <v>0.9166666666666666</v>
      </c>
      <c r="N632" s="6" t="s">
        <v>3214</v>
      </c>
      <c r="O632" s="11">
        <v>-7259535.0</v>
      </c>
      <c r="P632" s="11">
        <v>1.127328812E9</v>
      </c>
      <c r="Q632" s="12" t="s">
        <v>3215</v>
      </c>
    </row>
    <row r="633">
      <c r="A633" s="13">
        <f t="shared" si="1"/>
        <v>632</v>
      </c>
      <c r="B633" s="6" t="s">
        <v>3216</v>
      </c>
      <c r="C633" s="98" t="s">
        <v>3217</v>
      </c>
      <c r="D633" s="6" t="s">
        <v>34</v>
      </c>
      <c r="E633" s="98" t="s">
        <v>2597</v>
      </c>
      <c r="F633" s="7">
        <v>2176.0</v>
      </c>
      <c r="G633" s="6" t="s">
        <v>21</v>
      </c>
      <c r="H633" s="7">
        <v>25000.0</v>
      </c>
      <c r="I633" s="8">
        <v>46026.0</v>
      </c>
      <c r="J633" s="6" t="s">
        <v>2582</v>
      </c>
      <c r="L633" s="10">
        <v>0.4166666666666667</v>
      </c>
      <c r="M633" s="10">
        <v>0.0</v>
      </c>
      <c r="N633" s="6" t="s">
        <v>3218</v>
      </c>
      <c r="O633" s="11">
        <v>-7.2747433E7</v>
      </c>
      <c r="P633" s="11">
        <v>1.127415447E9</v>
      </c>
      <c r="Q633" s="12" t="s">
        <v>3219</v>
      </c>
    </row>
    <row r="634">
      <c r="A634" s="13">
        <f t="shared" si="1"/>
        <v>633</v>
      </c>
      <c r="B634" s="6" t="s">
        <v>3220</v>
      </c>
      <c r="C634" s="98" t="s">
        <v>3221</v>
      </c>
      <c r="D634" s="6" t="s">
        <v>34</v>
      </c>
      <c r="E634" s="98" t="s">
        <v>3222</v>
      </c>
      <c r="F634" s="7">
        <v>275.0</v>
      </c>
      <c r="G634" s="6" t="s">
        <v>21</v>
      </c>
      <c r="H634" s="7" t="s">
        <v>22</v>
      </c>
      <c r="I634" s="8">
        <v>46116.0</v>
      </c>
      <c r="J634" s="6" t="s">
        <v>2582</v>
      </c>
      <c r="L634" s="10">
        <v>0.2916666666666667</v>
      </c>
      <c r="M634" s="10">
        <v>0.0</v>
      </c>
      <c r="N634" s="6" t="s">
        <v>3223</v>
      </c>
      <c r="O634" s="11">
        <v>-7.2919495E7</v>
      </c>
      <c r="P634" s="11">
        <v>1.127243631E9</v>
      </c>
      <c r="Q634" s="12" t="s">
        <v>3224</v>
      </c>
    </row>
    <row r="635">
      <c r="A635" s="13">
        <f t="shared" si="1"/>
        <v>634</v>
      </c>
      <c r="B635" s="6" t="s">
        <v>3225</v>
      </c>
      <c r="C635" s="98" t="s">
        <v>3226</v>
      </c>
      <c r="D635" s="6" t="s">
        <v>34</v>
      </c>
      <c r="E635" s="98" t="s">
        <v>3227</v>
      </c>
      <c r="F635" s="7">
        <v>572.0</v>
      </c>
      <c r="G635" s="6" t="s">
        <v>21</v>
      </c>
      <c r="H635" s="7">
        <v>25000.0</v>
      </c>
      <c r="I635" s="8">
        <v>46177.0</v>
      </c>
      <c r="J635" s="6" t="s">
        <v>1438</v>
      </c>
      <c r="K635" s="6" t="s">
        <v>66</v>
      </c>
      <c r="L635" s="10">
        <v>0.25</v>
      </c>
      <c r="M635" s="10">
        <v>0.8541666666666666</v>
      </c>
      <c r="N635" s="6" t="s">
        <v>3228</v>
      </c>
      <c r="O635" s="11">
        <v>-7.2743434E7</v>
      </c>
      <c r="P635" s="11">
        <v>1.127527633E9</v>
      </c>
      <c r="Q635" s="12" t="s">
        <v>3229</v>
      </c>
    </row>
    <row r="636">
      <c r="A636" s="13">
        <f t="shared" si="1"/>
        <v>635</v>
      </c>
      <c r="B636" s="6" t="s">
        <v>3230</v>
      </c>
      <c r="C636" s="98" t="s">
        <v>3231</v>
      </c>
      <c r="D636" s="6" t="s">
        <v>19</v>
      </c>
      <c r="E636" s="98" t="s">
        <v>2592</v>
      </c>
      <c r="F636" s="7">
        <v>3763.0</v>
      </c>
      <c r="G636" s="6" t="s">
        <v>21</v>
      </c>
      <c r="H636" s="7" t="s">
        <v>22</v>
      </c>
      <c r="I636" s="8">
        <v>46238.0</v>
      </c>
      <c r="J636" s="6" t="s">
        <v>2582</v>
      </c>
      <c r="L636" s="10">
        <v>0.4583333333333333</v>
      </c>
      <c r="M636" s="10">
        <v>0.125</v>
      </c>
      <c r="N636" s="6" t="s">
        <v>3232</v>
      </c>
      <c r="O636" s="11">
        <v>-7.2755699E7</v>
      </c>
      <c r="P636" s="11">
        <v>1.127460441E9</v>
      </c>
      <c r="Q636" s="12" t="s">
        <v>3233</v>
      </c>
    </row>
    <row r="637">
      <c r="A637" s="13">
        <f t="shared" si="1"/>
        <v>636</v>
      </c>
      <c r="B637" s="6" t="s">
        <v>3234</v>
      </c>
      <c r="C637" s="98" t="s">
        <v>3235</v>
      </c>
      <c r="D637" s="6" t="s">
        <v>34</v>
      </c>
      <c r="E637" s="98" t="s">
        <v>3236</v>
      </c>
      <c r="F637" s="7">
        <v>126.0</v>
      </c>
      <c r="G637" s="6" t="s">
        <v>21</v>
      </c>
      <c r="H637" s="7">
        <v>25000.0</v>
      </c>
      <c r="I637" s="8">
        <v>46177.0</v>
      </c>
      <c r="J637" s="6" t="s">
        <v>2582</v>
      </c>
      <c r="L637" s="10">
        <v>0.2916666666666667</v>
      </c>
      <c r="M637" s="10">
        <v>0.041666666666666664</v>
      </c>
      <c r="N637" s="6" t="s">
        <v>3237</v>
      </c>
      <c r="O637" s="11">
        <v>-7268225.0</v>
      </c>
      <c r="P637" s="11">
        <v>1.126652151E9</v>
      </c>
      <c r="Q637" s="12" t="s">
        <v>3238</v>
      </c>
    </row>
    <row r="638">
      <c r="A638" s="13">
        <f t="shared" si="1"/>
        <v>637</v>
      </c>
      <c r="B638" s="6" t="s">
        <v>3239</v>
      </c>
      <c r="C638" s="98" t="s">
        <v>3240</v>
      </c>
      <c r="D638" s="6" t="s">
        <v>34</v>
      </c>
      <c r="E638" s="98" t="s">
        <v>3241</v>
      </c>
      <c r="F638" s="7">
        <v>11157.0</v>
      </c>
      <c r="G638" s="6" t="s">
        <v>21</v>
      </c>
      <c r="H638" s="7" t="s">
        <v>3242</v>
      </c>
      <c r="I638" s="8">
        <v>46177.0</v>
      </c>
      <c r="J638" s="6" t="s">
        <v>2582</v>
      </c>
      <c r="L638" s="10">
        <v>0.4166666666666667</v>
      </c>
      <c r="M638" s="10">
        <v>0.9166666666666666</v>
      </c>
      <c r="N638" s="6" t="s">
        <v>3243</v>
      </c>
      <c r="O638" s="11">
        <v>-7.2634139E7</v>
      </c>
      <c r="P638" s="11">
        <v>1.127461219E9</v>
      </c>
      <c r="Q638" s="12" t="s">
        <v>3244</v>
      </c>
    </row>
    <row r="639">
      <c r="A639" s="13">
        <f t="shared" si="1"/>
        <v>638</v>
      </c>
      <c r="B639" s="6" t="s">
        <v>3245</v>
      </c>
      <c r="C639" s="98" t="s">
        <v>3246</v>
      </c>
      <c r="D639" s="6" t="s">
        <v>19</v>
      </c>
      <c r="E639" s="98" t="s">
        <v>3247</v>
      </c>
      <c r="F639" s="7">
        <v>3005.0</v>
      </c>
      <c r="G639" s="6" t="s">
        <v>21</v>
      </c>
      <c r="H639" s="7" t="s">
        <v>3248</v>
      </c>
      <c r="I639" s="8">
        <v>46146.0</v>
      </c>
      <c r="J639" s="6" t="s">
        <v>2582</v>
      </c>
      <c r="L639" s="10">
        <v>0.375</v>
      </c>
      <c r="M639" s="10">
        <v>0.08333333333333333</v>
      </c>
      <c r="N639" s="6" t="s">
        <v>3249</v>
      </c>
      <c r="O639" s="11">
        <v>-7.2638516E7</v>
      </c>
      <c r="P639" s="11">
        <v>1.127433775E9</v>
      </c>
      <c r="Q639" s="12" t="s">
        <v>3250</v>
      </c>
    </row>
    <row r="640">
      <c r="A640" s="13">
        <f t="shared" si="1"/>
        <v>639</v>
      </c>
      <c r="B640" s="6" t="s">
        <v>3251</v>
      </c>
      <c r="C640" s="98" t="s">
        <v>3252</v>
      </c>
      <c r="D640" s="6" t="s">
        <v>46</v>
      </c>
      <c r="E640" s="98" t="s">
        <v>3253</v>
      </c>
      <c r="F640" s="7">
        <v>296.0</v>
      </c>
      <c r="G640" s="6" t="s">
        <v>21</v>
      </c>
      <c r="H640" s="7">
        <v>0.0</v>
      </c>
      <c r="I640" s="8">
        <v>46146.0</v>
      </c>
      <c r="J640" s="6" t="s">
        <v>2582</v>
      </c>
      <c r="L640" s="10">
        <v>0.20833333333333334</v>
      </c>
      <c r="M640" s="10">
        <v>0.75</v>
      </c>
      <c r="N640" s="6" t="s">
        <v>3254</v>
      </c>
      <c r="O640" s="11">
        <v>-7.3222072E7</v>
      </c>
      <c r="P640" s="11">
        <v>1.127038626E9</v>
      </c>
      <c r="Q640" s="12" t="s">
        <v>3255</v>
      </c>
    </row>
    <row r="641">
      <c r="A641" s="13">
        <f t="shared" si="1"/>
        <v>640</v>
      </c>
      <c r="B641" s="6" t="s">
        <v>3256</v>
      </c>
      <c r="C641" s="98" t="s">
        <v>3257</v>
      </c>
      <c r="D641" s="6" t="s">
        <v>34</v>
      </c>
      <c r="E641" s="98" t="s">
        <v>2634</v>
      </c>
      <c r="F641" s="7">
        <v>2265.0</v>
      </c>
      <c r="G641" s="6" t="s">
        <v>21</v>
      </c>
      <c r="H641" s="7">
        <v>25000.0</v>
      </c>
      <c r="I641" s="8">
        <v>46177.0</v>
      </c>
      <c r="J641" s="6" t="s">
        <v>2582</v>
      </c>
      <c r="L641" s="10">
        <v>0.4166666666666667</v>
      </c>
      <c r="M641" s="10">
        <v>0.875</v>
      </c>
      <c r="N641" s="6" t="s">
        <v>3258</v>
      </c>
      <c r="O641" s="11">
        <v>-7.2926469E7</v>
      </c>
      <c r="P641" s="11">
        <v>1.127417471E9</v>
      </c>
      <c r="Q641" s="12" t="s">
        <v>3259</v>
      </c>
    </row>
    <row r="642">
      <c r="A642" s="13">
        <f t="shared" si="1"/>
        <v>641</v>
      </c>
      <c r="B642" s="6" t="s">
        <v>3260</v>
      </c>
      <c r="C642" s="98" t="s">
        <v>3261</v>
      </c>
      <c r="D642" s="6" t="s">
        <v>34</v>
      </c>
      <c r="E642" s="98" t="s">
        <v>2611</v>
      </c>
      <c r="F642" s="7">
        <v>433.0</v>
      </c>
      <c r="G642" s="6" t="s">
        <v>21</v>
      </c>
      <c r="H642" s="7" t="s">
        <v>22</v>
      </c>
      <c r="I642" s="8">
        <v>46085.0</v>
      </c>
      <c r="J642" s="6" t="s">
        <v>58</v>
      </c>
      <c r="K642" s="6" t="s">
        <v>3015</v>
      </c>
      <c r="L642" s="10">
        <v>0.5416666666666666</v>
      </c>
      <c r="M642" s="10">
        <v>0.9166666666666666</v>
      </c>
      <c r="N642" s="6" t="s">
        <v>3262</v>
      </c>
      <c r="O642" s="11">
        <v>-7.3162677E7</v>
      </c>
      <c r="P642" s="11">
        <v>1.127048635E9</v>
      </c>
      <c r="Q642" s="12" t="s">
        <v>3263</v>
      </c>
    </row>
    <row r="643">
      <c r="A643" s="13">
        <f t="shared" si="1"/>
        <v>642</v>
      </c>
      <c r="B643" s="6" t="s">
        <v>3264</v>
      </c>
      <c r="C643" s="98" t="s">
        <v>3265</v>
      </c>
      <c r="D643" s="6" t="s">
        <v>34</v>
      </c>
      <c r="E643" s="98" t="s">
        <v>2634</v>
      </c>
      <c r="F643" s="7">
        <v>241.0</v>
      </c>
      <c r="G643" s="6" t="s">
        <v>21</v>
      </c>
      <c r="H643" s="7" t="s">
        <v>22</v>
      </c>
      <c r="I643" s="8">
        <v>46146.0</v>
      </c>
      <c r="J643" s="6" t="s">
        <v>2582</v>
      </c>
      <c r="L643" s="10">
        <v>0.375</v>
      </c>
      <c r="M643" s="10">
        <v>0.9166666666666666</v>
      </c>
      <c r="N643" s="6" t="s">
        <v>3266</v>
      </c>
      <c r="O643" s="11">
        <v>-7.2798577E7</v>
      </c>
      <c r="P643" s="11">
        <v>1.127188516E9</v>
      </c>
      <c r="Q643" s="12" t="s">
        <v>3267</v>
      </c>
    </row>
    <row r="644">
      <c r="A644" s="13">
        <f t="shared" si="1"/>
        <v>643</v>
      </c>
      <c r="B644" s="6" t="s">
        <v>3268</v>
      </c>
      <c r="C644" s="98" t="s">
        <v>3269</v>
      </c>
      <c r="D644" s="6" t="s">
        <v>34</v>
      </c>
      <c r="E644" s="98" t="s">
        <v>2662</v>
      </c>
      <c r="F644" s="7">
        <v>2098.0</v>
      </c>
      <c r="G644" s="6" t="s">
        <v>21</v>
      </c>
      <c r="H644" s="7" t="s">
        <v>22</v>
      </c>
      <c r="I644" s="8">
        <v>46085.0</v>
      </c>
      <c r="J644" s="6" t="s">
        <v>2582</v>
      </c>
      <c r="L644" s="10">
        <v>0.25</v>
      </c>
      <c r="M644" s="10">
        <v>0.8333333333333334</v>
      </c>
      <c r="N644" s="6" t="s">
        <v>3270</v>
      </c>
      <c r="O644" s="11">
        <v>-7.2615223E7</v>
      </c>
      <c r="P644" s="11">
        <v>1.127476246E9</v>
      </c>
      <c r="Q644" s="12" t="s">
        <v>3271</v>
      </c>
    </row>
    <row r="645">
      <c r="A645" s="13">
        <f t="shared" si="1"/>
        <v>644</v>
      </c>
      <c r="B645" s="45" t="s">
        <v>3272</v>
      </c>
      <c r="C645" s="104" t="s">
        <v>3273</v>
      </c>
      <c r="D645" s="45" t="s">
        <v>46</v>
      </c>
      <c r="E645" s="104" t="s">
        <v>3274</v>
      </c>
      <c r="F645" s="28">
        <v>54.0</v>
      </c>
      <c r="G645" s="45" t="s">
        <v>21</v>
      </c>
      <c r="H645" s="45">
        <v>0.0</v>
      </c>
      <c r="I645" s="29">
        <v>46238.0</v>
      </c>
      <c r="J645" s="45" t="s">
        <v>287</v>
      </c>
      <c r="K645" s="45" t="s">
        <v>3275</v>
      </c>
      <c r="L645" s="47">
        <v>0.375</v>
      </c>
      <c r="M645" s="47">
        <v>0.625</v>
      </c>
      <c r="N645" s="48" t="s">
        <v>3276</v>
      </c>
      <c r="O645" s="33" t="s">
        <v>3277</v>
      </c>
      <c r="P645" s="34" t="s">
        <v>3278</v>
      </c>
      <c r="Q645" s="42" t="s">
        <v>3279</v>
      </c>
      <c r="R645" s="43"/>
      <c r="S645" s="43"/>
      <c r="T645" s="43"/>
      <c r="U645" s="43"/>
      <c r="V645" s="43"/>
      <c r="W645" s="43"/>
      <c r="X645" s="43"/>
      <c r="Y645" s="43"/>
      <c r="Z645" s="43"/>
      <c r="AA645" s="43"/>
      <c r="AB645" s="43"/>
      <c r="AC645" s="43"/>
      <c r="AD645" s="43"/>
      <c r="AE645" s="43"/>
    </row>
    <row r="646">
      <c r="A646" s="13">
        <f t="shared" si="1"/>
        <v>645</v>
      </c>
      <c r="B646" s="6" t="s">
        <v>3280</v>
      </c>
      <c r="C646" s="98" t="s">
        <v>3281</v>
      </c>
      <c r="D646" s="6" t="s">
        <v>34</v>
      </c>
      <c r="E646" s="98" t="s">
        <v>2679</v>
      </c>
      <c r="F646" s="7">
        <v>865.0</v>
      </c>
      <c r="G646" s="6" t="s">
        <v>21</v>
      </c>
      <c r="H646" s="7">
        <v>25000.0</v>
      </c>
      <c r="I646" s="8">
        <v>46207.0</v>
      </c>
      <c r="J646" s="6" t="s">
        <v>2582</v>
      </c>
      <c r="L646" s="10">
        <v>0.4583333333333333</v>
      </c>
      <c r="M646" s="10">
        <v>0.9583333333333334</v>
      </c>
      <c r="N646" s="6" t="s">
        <v>3282</v>
      </c>
      <c r="O646" s="11">
        <v>-7278608.0</v>
      </c>
      <c r="P646" s="11">
        <v>1.1272055E7</v>
      </c>
      <c r="Q646" s="12" t="s">
        <v>3283</v>
      </c>
    </row>
    <row r="647">
      <c r="A647" s="13">
        <f t="shared" si="1"/>
        <v>646</v>
      </c>
      <c r="B647" s="6" t="s">
        <v>3284</v>
      </c>
      <c r="C647" s="98" t="s">
        <v>3285</v>
      </c>
      <c r="D647" s="6" t="s">
        <v>19</v>
      </c>
      <c r="E647" s="98" t="s">
        <v>2592</v>
      </c>
      <c r="F647" s="7">
        <v>222.0</v>
      </c>
      <c r="G647" s="6" t="s">
        <v>21</v>
      </c>
      <c r="H647" s="7" t="s">
        <v>22</v>
      </c>
      <c r="I647" s="8">
        <v>46207.0</v>
      </c>
      <c r="J647" s="6" t="s">
        <v>2582</v>
      </c>
      <c r="L647" s="10">
        <v>0.2916666666666667</v>
      </c>
      <c r="M647" s="10">
        <v>0.875</v>
      </c>
      <c r="N647" s="6" t="s">
        <v>3286</v>
      </c>
      <c r="O647" s="11">
        <v>-7.2808387E7</v>
      </c>
      <c r="P647" s="11">
        <v>1.126968022E9</v>
      </c>
      <c r="Q647" s="12" t="s">
        <v>3287</v>
      </c>
    </row>
    <row r="648">
      <c r="A648" s="13">
        <f t="shared" si="1"/>
        <v>647</v>
      </c>
      <c r="B648" s="6" t="s">
        <v>3288</v>
      </c>
      <c r="C648" s="98" t="s">
        <v>3289</v>
      </c>
      <c r="D648" s="6" t="s">
        <v>34</v>
      </c>
      <c r="E648" s="98" t="s">
        <v>2817</v>
      </c>
      <c r="F648" s="7">
        <v>2046.0</v>
      </c>
      <c r="G648" s="6" t="s">
        <v>21</v>
      </c>
      <c r="H648" s="7">
        <v>25000.0</v>
      </c>
      <c r="I648" s="8">
        <v>46207.0</v>
      </c>
      <c r="J648" s="6" t="s">
        <v>3290</v>
      </c>
      <c r="K648" s="6" t="s">
        <v>66</v>
      </c>
      <c r="L648" s="10">
        <v>0.2916666666666667</v>
      </c>
      <c r="M648" s="10">
        <v>0.7916666666666666</v>
      </c>
      <c r="N648" s="6" t="s">
        <v>3291</v>
      </c>
      <c r="O648" s="11">
        <v>-7.3294662E7</v>
      </c>
      <c r="P648" s="11">
        <v>1.127906868E9</v>
      </c>
      <c r="Q648" s="12" t="s">
        <v>3292</v>
      </c>
    </row>
    <row r="649">
      <c r="A649" s="13">
        <f t="shared" si="1"/>
        <v>648</v>
      </c>
      <c r="B649" s="9" t="s">
        <v>3293</v>
      </c>
      <c r="C649" s="98" t="s">
        <v>3294</v>
      </c>
      <c r="D649" s="9" t="s">
        <v>34</v>
      </c>
      <c r="E649" s="98" t="s">
        <v>3295</v>
      </c>
      <c r="F649" s="15">
        <v>8351.0</v>
      </c>
      <c r="G649" s="9" t="s">
        <v>21</v>
      </c>
      <c r="H649" s="15" t="s">
        <v>22</v>
      </c>
      <c r="I649" s="17">
        <v>46116.0</v>
      </c>
      <c r="J649" s="9" t="s">
        <v>23</v>
      </c>
      <c r="K649" s="9"/>
      <c r="L649" s="102">
        <v>0.3333333333333333</v>
      </c>
      <c r="M649" s="18">
        <v>0.8333333333333334</v>
      </c>
      <c r="N649" s="19" t="s">
        <v>3296</v>
      </c>
      <c r="O649" s="20" t="str">
        <f>IFERROR(__xludf.DUMMYFUNCTION("REGEXEXTRACT(N649,""^-?[0-9.]+"")"),"-7.327857680352759")</f>
        <v>-7.327857680352759</v>
      </c>
      <c r="P649" s="21" t="str">
        <f>IFERROR(__xludf.DUMMYFUNCTION("REGEXEXTRACT(N649,"",\s*(-?[0-9.]+)"")"),"112.73202985525755")</f>
        <v>112.73202985525755</v>
      </c>
      <c r="Q649" s="22" t="s">
        <v>3297</v>
      </c>
      <c r="R649" s="43"/>
      <c r="S649" s="43"/>
      <c r="T649" s="43"/>
      <c r="U649" s="43"/>
      <c r="V649" s="43"/>
      <c r="W649" s="43"/>
      <c r="X649" s="43"/>
      <c r="Y649" s="43"/>
      <c r="Z649" s="43"/>
      <c r="AA649" s="43"/>
      <c r="AB649" s="43"/>
      <c r="AC649" s="43"/>
      <c r="AD649" s="43"/>
      <c r="AE649" s="43"/>
    </row>
    <row r="650">
      <c r="A650" s="13">
        <f t="shared" si="1"/>
        <v>649</v>
      </c>
      <c r="B650" s="6" t="s">
        <v>3298</v>
      </c>
      <c r="C650" s="98" t="s">
        <v>3299</v>
      </c>
      <c r="D650" s="6" t="s">
        <v>34</v>
      </c>
      <c r="E650" s="98" t="s">
        <v>2623</v>
      </c>
      <c r="F650" s="7">
        <v>1212.0</v>
      </c>
      <c r="G650" s="6" t="s">
        <v>21</v>
      </c>
      <c r="H650" s="7" t="s">
        <v>22</v>
      </c>
      <c r="I650" s="8">
        <v>46146.0</v>
      </c>
      <c r="J650" s="6" t="s">
        <v>2582</v>
      </c>
      <c r="L650" s="10">
        <v>0.4583333333333333</v>
      </c>
      <c r="M650" s="10">
        <v>0.9166666666666666</v>
      </c>
      <c r="N650" s="6" t="s">
        <v>3300</v>
      </c>
      <c r="O650" s="11">
        <v>-7.2570304E7</v>
      </c>
      <c r="P650" s="11">
        <v>1.127647202E9</v>
      </c>
      <c r="Q650" s="12" t="s">
        <v>3301</v>
      </c>
    </row>
    <row r="651">
      <c r="A651" s="13">
        <f t="shared" si="1"/>
        <v>650</v>
      </c>
      <c r="B651" s="6" t="s">
        <v>3302</v>
      </c>
      <c r="C651" s="98" t="s">
        <v>3303</v>
      </c>
      <c r="D651" s="6" t="s">
        <v>34</v>
      </c>
      <c r="E651" s="98" t="s">
        <v>2634</v>
      </c>
      <c r="F651" s="7">
        <v>463.0</v>
      </c>
      <c r="G651" s="6" t="s">
        <v>21</v>
      </c>
      <c r="H651" s="7">
        <v>25000.0</v>
      </c>
      <c r="I651" s="8">
        <v>46116.0</v>
      </c>
      <c r="J651" s="6" t="s">
        <v>2582</v>
      </c>
      <c r="L651" s="10">
        <v>0.4583333333333333</v>
      </c>
      <c r="M651" s="10">
        <v>0.0</v>
      </c>
      <c r="N651" s="6" t="s">
        <v>3304</v>
      </c>
      <c r="O651" s="11">
        <v>-7.2931879E7</v>
      </c>
      <c r="P651" s="11">
        <v>1.127328471E9</v>
      </c>
      <c r="Q651" s="12" t="s">
        <v>3305</v>
      </c>
    </row>
    <row r="652">
      <c r="A652" s="13">
        <f t="shared" si="1"/>
        <v>651</v>
      </c>
      <c r="B652" s="6" t="s">
        <v>3306</v>
      </c>
      <c r="C652" s="98" t="s">
        <v>3307</v>
      </c>
      <c r="D652" s="6" t="s">
        <v>19</v>
      </c>
      <c r="E652" s="98" t="s">
        <v>2592</v>
      </c>
      <c r="F652" s="7">
        <v>116.0</v>
      </c>
      <c r="G652" s="6" t="s">
        <v>21</v>
      </c>
      <c r="H652" s="7" t="s">
        <v>22</v>
      </c>
      <c r="I652" s="8">
        <v>46238.0</v>
      </c>
      <c r="J652" s="6" t="s">
        <v>2582</v>
      </c>
      <c r="L652" s="10">
        <v>0.2916666666666667</v>
      </c>
      <c r="M652" s="10">
        <v>0.9166666666666666</v>
      </c>
      <c r="N652" s="6" t="s">
        <v>3308</v>
      </c>
      <c r="O652" s="11">
        <v>-7.3304813E7</v>
      </c>
      <c r="P652" s="11">
        <v>1.126940546E9</v>
      </c>
      <c r="Q652" s="12" t="s">
        <v>3309</v>
      </c>
    </row>
    <row r="653">
      <c r="A653" s="13">
        <f t="shared" si="1"/>
        <v>652</v>
      </c>
      <c r="B653" s="6" t="s">
        <v>3310</v>
      </c>
      <c r="C653" s="98" t="s">
        <v>3311</v>
      </c>
      <c r="D653" s="6" t="s">
        <v>34</v>
      </c>
      <c r="E653" s="98" t="s">
        <v>3312</v>
      </c>
      <c r="F653" s="7">
        <v>1784.0</v>
      </c>
      <c r="G653" s="6" t="s">
        <v>21</v>
      </c>
      <c r="H653" s="7" t="s">
        <v>22</v>
      </c>
      <c r="I653" s="8">
        <v>46146.0</v>
      </c>
      <c r="J653" s="6" t="s">
        <v>2582</v>
      </c>
      <c r="L653" s="10">
        <v>0.4166666666666667</v>
      </c>
      <c r="M653" s="10">
        <v>0.9583333333333334</v>
      </c>
      <c r="N653" s="6" t="s">
        <v>3313</v>
      </c>
      <c r="O653" s="11">
        <v>-7.3173083E7</v>
      </c>
      <c r="P653" s="11">
        <v>1.127629097E9</v>
      </c>
      <c r="Q653" s="12" t="s">
        <v>3314</v>
      </c>
    </row>
    <row r="654">
      <c r="A654" s="13">
        <f t="shared" si="1"/>
        <v>653</v>
      </c>
      <c r="B654" s="6" t="s">
        <v>3315</v>
      </c>
      <c r="C654" s="98" t="s">
        <v>3316</v>
      </c>
      <c r="D654" s="6" t="s">
        <v>19</v>
      </c>
      <c r="E654" s="98" t="s">
        <v>3247</v>
      </c>
      <c r="F654" s="7">
        <v>801.0</v>
      </c>
      <c r="G654" s="6" t="s">
        <v>21</v>
      </c>
      <c r="H654" s="7" t="s">
        <v>22</v>
      </c>
      <c r="I654" s="8">
        <v>46116.0</v>
      </c>
      <c r="J654" s="6" t="s">
        <v>2582</v>
      </c>
      <c r="L654" s="10">
        <v>0.0</v>
      </c>
      <c r="M654" s="10">
        <v>0.9993055555555556</v>
      </c>
      <c r="N654" s="6" t="s">
        <v>3317</v>
      </c>
      <c r="O654" s="11">
        <v>-7.2623458E7</v>
      </c>
      <c r="P654" s="11">
        <v>1.127402984E9</v>
      </c>
      <c r="Q654" s="12" t="s">
        <v>3318</v>
      </c>
    </row>
    <row r="655">
      <c r="A655" s="13">
        <f t="shared" si="1"/>
        <v>654</v>
      </c>
      <c r="B655" s="6" t="s">
        <v>3319</v>
      </c>
      <c r="C655" s="98" t="s">
        <v>3320</v>
      </c>
      <c r="D655" s="6" t="s">
        <v>34</v>
      </c>
      <c r="E655" s="98" t="s">
        <v>3321</v>
      </c>
      <c r="F655" s="7">
        <v>15.0</v>
      </c>
      <c r="G655" s="6" t="s">
        <v>21</v>
      </c>
      <c r="H655" s="7">
        <v>25000.0</v>
      </c>
      <c r="I655" s="7" t="s">
        <v>314</v>
      </c>
      <c r="J655" s="6" t="s">
        <v>2582</v>
      </c>
      <c r="L655" s="10">
        <v>0.7083333333333334</v>
      </c>
      <c r="M655" s="10">
        <v>0.9791666666666666</v>
      </c>
      <c r="N655" s="6" t="s">
        <v>3322</v>
      </c>
      <c r="O655" s="11">
        <v>-7.3230784E7</v>
      </c>
      <c r="P655" s="11">
        <v>1.127703778E9</v>
      </c>
      <c r="Q655" s="12" t="s">
        <v>3323</v>
      </c>
    </row>
    <row r="656">
      <c r="A656" s="13">
        <f t="shared" si="1"/>
        <v>655</v>
      </c>
      <c r="B656" s="6" t="s">
        <v>3324</v>
      </c>
      <c r="C656" s="98" t="s">
        <v>3325</v>
      </c>
      <c r="D656" s="6" t="s">
        <v>34</v>
      </c>
      <c r="E656" s="98" t="s">
        <v>2744</v>
      </c>
      <c r="F656" s="7">
        <v>78.0</v>
      </c>
      <c r="G656" s="6" t="s">
        <v>21</v>
      </c>
      <c r="H656" s="7">
        <v>25000.0</v>
      </c>
      <c r="I656" s="8">
        <v>46238.0</v>
      </c>
      <c r="J656" s="6" t="s">
        <v>2582</v>
      </c>
      <c r="L656" s="10">
        <v>0.6666666666666666</v>
      </c>
      <c r="M656" s="10">
        <v>0.875</v>
      </c>
      <c r="N656" s="6" t="s">
        <v>3326</v>
      </c>
      <c r="O656" s="11">
        <v>-7.2628288E7</v>
      </c>
      <c r="P656" s="11">
        <v>1.127598266E9</v>
      </c>
      <c r="Q656" s="12" t="s">
        <v>3327</v>
      </c>
    </row>
    <row r="657">
      <c r="A657" s="13">
        <f t="shared" si="1"/>
        <v>656</v>
      </c>
      <c r="B657" s="6" t="s">
        <v>3328</v>
      </c>
      <c r="C657" s="98" t="s">
        <v>3329</v>
      </c>
      <c r="D657" s="6" t="s">
        <v>19</v>
      </c>
      <c r="E657" s="98" t="s">
        <v>3330</v>
      </c>
      <c r="F657" s="7">
        <v>346.0</v>
      </c>
      <c r="G657" s="6" t="s">
        <v>21</v>
      </c>
      <c r="H657" s="7" t="s">
        <v>22</v>
      </c>
      <c r="I657" s="8">
        <v>46177.0</v>
      </c>
      <c r="J657" s="6" t="s">
        <v>2582</v>
      </c>
      <c r="L657" s="10">
        <v>0.0</v>
      </c>
      <c r="M657" s="10">
        <v>0.9993055555555556</v>
      </c>
      <c r="N657" s="6" t="s">
        <v>3331</v>
      </c>
      <c r="O657" s="11">
        <v>-7.2957171E7</v>
      </c>
      <c r="P657" s="11">
        <v>1.127813592E9</v>
      </c>
      <c r="Q657" s="12" t="s">
        <v>3332</v>
      </c>
    </row>
    <row r="658">
      <c r="A658" s="13">
        <f t="shared" si="1"/>
        <v>657</v>
      </c>
      <c r="B658" s="6" t="s">
        <v>3333</v>
      </c>
      <c r="C658" s="98" t="s">
        <v>3334</v>
      </c>
      <c r="D658" s="6" t="s">
        <v>34</v>
      </c>
      <c r="E658" s="98" t="s">
        <v>2597</v>
      </c>
      <c r="F658" s="7">
        <v>2158.0</v>
      </c>
      <c r="G658" s="6" t="s">
        <v>21</v>
      </c>
      <c r="H658" s="7" t="s">
        <v>3335</v>
      </c>
      <c r="I658" s="8">
        <v>46146.0</v>
      </c>
      <c r="J658" s="6" t="s">
        <v>2582</v>
      </c>
      <c r="L658" s="10">
        <v>0.4166666666666667</v>
      </c>
      <c r="M658" s="10">
        <v>0.9583333333333334</v>
      </c>
      <c r="N658" s="6" t="s">
        <v>3336</v>
      </c>
      <c r="O658" s="11">
        <v>-7.3162762E7</v>
      </c>
      <c r="P658" s="11">
        <v>1.127352576E9</v>
      </c>
      <c r="Q658" s="12" t="s">
        <v>3337</v>
      </c>
    </row>
    <row r="659">
      <c r="A659" s="13">
        <f t="shared" si="1"/>
        <v>658</v>
      </c>
      <c r="B659" s="6" t="s">
        <v>3338</v>
      </c>
      <c r="C659" s="98" t="s">
        <v>3339</v>
      </c>
      <c r="D659" s="6" t="s">
        <v>34</v>
      </c>
      <c r="E659" s="98" t="s">
        <v>2623</v>
      </c>
      <c r="F659" s="7">
        <v>653.0</v>
      </c>
      <c r="G659" s="6" t="s">
        <v>21</v>
      </c>
      <c r="H659" s="7" t="s">
        <v>22</v>
      </c>
      <c r="I659" s="8">
        <v>46116.0</v>
      </c>
      <c r="J659" s="6" t="s">
        <v>2582</v>
      </c>
      <c r="L659" s="10">
        <v>0.4166666666666667</v>
      </c>
      <c r="M659" s="10">
        <v>0.9166666666666666</v>
      </c>
      <c r="N659" s="6" t="s">
        <v>3340</v>
      </c>
      <c r="O659" s="11">
        <v>-7322962.0</v>
      </c>
      <c r="P659" s="11">
        <v>1.1278073E7</v>
      </c>
      <c r="Q659" s="12" t="s">
        <v>3341</v>
      </c>
    </row>
    <row r="660">
      <c r="A660" s="13">
        <f t="shared" si="1"/>
        <v>659</v>
      </c>
      <c r="B660" s="6" t="s">
        <v>3342</v>
      </c>
      <c r="C660" s="98" t="s">
        <v>3343</v>
      </c>
      <c r="D660" s="6" t="s">
        <v>34</v>
      </c>
      <c r="E660" s="98" t="s">
        <v>2817</v>
      </c>
      <c r="F660" s="7">
        <v>3886.0</v>
      </c>
      <c r="G660" s="6" t="s">
        <v>21</v>
      </c>
      <c r="H660" s="7" t="s">
        <v>221</v>
      </c>
      <c r="I660" s="8">
        <v>46177.0</v>
      </c>
      <c r="J660" s="6" t="s">
        <v>2582</v>
      </c>
      <c r="L660" s="10">
        <v>0.4166666666666667</v>
      </c>
      <c r="M660" s="10">
        <v>0.8958333333333334</v>
      </c>
      <c r="N660" s="6" t="s">
        <v>3344</v>
      </c>
      <c r="O660" s="11">
        <v>-7.2826462E7</v>
      </c>
      <c r="P660" s="11">
        <v>1.126862411E9</v>
      </c>
      <c r="Q660" s="12" t="s">
        <v>3345</v>
      </c>
    </row>
    <row r="661">
      <c r="A661" s="13">
        <f t="shared" si="1"/>
        <v>660</v>
      </c>
      <c r="B661" s="6" t="s">
        <v>3346</v>
      </c>
      <c r="C661" s="98" t="s">
        <v>3347</v>
      </c>
      <c r="D661" s="6" t="s">
        <v>34</v>
      </c>
      <c r="E661" s="98" t="s">
        <v>3348</v>
      </c>
      <c r="F661" s="7">
        <v>795.0</v>
      </c>
      <c r="G661" s="6" t="s">
        <v>21</v>
      </c>
      <c r="H661" s="7">
        <v>25000.0</v>
      </c>
      <c r="I661" s="8">
        <v>46146.0</v>
      </c>
      <c r="J661" s="6" t="s">
        <v>2582</v>
      </c>
      <c r="L661" s="10">
        <v>0.25</v>
      </c>
      <c r="M661" s="10">
        <v>0.9166666666666666</v>
      </c>
      <c r="N661" s="6" t="s">
        <v>3349</v>
      </c>
      <c r="O661" s="11">
        <v>-7238965.0</v>
      </c>
      <c r="P661" s="11">
        <v>1.12758405E8</v>
      </c>
      <c r="Q661" s="12" t="s">
        <v>3350</v>
      </c>
    </row>
    <row r="662">
      <c r="A662" s="13">
        <f t="shared" si="1"/>
        <v>661</v>
      </c>
      <c r="B662" s="6" t="s">
        <v>3351</v>
      </c>
      <c r="C662" s="98" t="s">
        <v>3352</v>
      </c>
      <c r="D662" s="6" t="s">
        <v>34</v>
      </c>
      <c r="E662" s="98" t="s">
        <v>2634</v>
      </c>
      <c r="F662" s="7">
        <v>185.0</v>
      </c>
      <c r="G662" s="6" t="s">
        <v>21</v>
      </c>
      <c r="H662" s="7">
        <v>25000.0</v>
      </c>
      <c r="I662" s="8">
        <v>46207.0</v>
      </c>
      <c r="J662" s="6" t="s">
        <v>1438</v>
      </c>
      <c r="K662" s="6" t="s">
        <v>66</v>
      </c>
      <c r="L662" s="10">
        <v>0.5</v>
      </c>
      <c r="M662" s="10">
        <v>0.7916666666666666</v>
      </c>
      <c r="N662" s="6" t="s">
        <v>3353</v>
      </c>
      <c r="O662" s="11">
        <v>-7272113.0</v>
      </c>
      <c r="P662" s="11">
        <v>1.12714712E8</v>
      </c>
      <c r="Q662" s="12" t="s">
        <v>3354</v>
      </c>
    </row>
    <row r="663">
      <c r="A663" s="13">
        <f t="shared" si="1"/>
        <v>662</v>
      </c>
      <c r="B663" s="6" t="s">
        <v>3355</v>
      </c>
      <c r="C663" s="98" t="s">
        <v>3356</v>
      </c>
      <c r="D663" s="6" t="s">
        <v>34</v>
      </c>
      <c r="E663" s="98" t="s">
        <v>2744</v>
      </c>
      <c r="F663" s="7">
        <v>1082.0</v>
      </c>
      <c r="G663" s="6" t="s">
        <v>21</v>
      </c>
      <c r="H663" s="7" t="s">
        <v>22</v>
      </c>
      <c r="I663" s="8">
        <v>46177.0</v>
      </c>
      <c r="J663" s="6" t="s">
        <v>2582</v>
      </c>
      <c r="L663" s="10">
        <v>0.2916666666666667</v>
      </c>
      <c r="M663" s="10">
        <v>0.9583333333333334</v>
      </c>
      <c r="N663" s="6" t="s">
        <v>3357</v>
      </c>
      <c r="O663" s="11">
        <v>-7.2605199E7</v>
      </c>
      <c r="P663" s="11">
        <v>1.127598766E9</v>
      </c>
      <c r="Q663" s="12" t="s">
        <v>3358</v>
      </c>
    </row>
    <row r="664">
      <c r="A664" s="13">
        <f t="shared" si="1"/>
        <v>663</v>
      </c>
      <c r="B664" s="6" t="s">
        <v>3359</v>
      </c>
      <c r="C664" s="98" t="s">
        <v>3360</v>
      </c>
      <c r="D664" s="6" t="s">
        <v>34</v>
      </c>
      <c r="E664" s="98" t="s">
        <v>3321</v>
      </c>
      <c r="F664" s="7">
        <v>15.0</v>
      </c>
      <c r="G664" s="6" t="s">
        <v>21</v>
      </c>
      <c r="H664" s="7" t="s">
        <v>3361</v>
      </c>
      <c r="I664" s="8">
        <v>46269.0</v>
      </c>
      <c r="J664" s="6" t="s">
        <v>2582</v>
      </c>
      <c r="L664" s="10">
        <v>0.7916666666666666</v>
      </c>
      <c r="M664" s="10">
        <v>0.0</v>
      </c>
      <c r="N664" s="6" t="s">
        <v>3362</v>
      </c>
      <c r="O664" s="11">
        <v>-7.2814117E7</v>
      </c>
      <c r="P664" s="11">
        <v>1.127716559E9</v>
      </c>
      <c r="Q664" s="12" t="s">
        <v>3363</v>
      </c>
    </row>
    <row r="665">
      <c r="A665" s="13">
        <f t="shared" si="1"/>
        <v>664</v>
      </c>
      <c r="B665" s="6" t="s">
        <v>3364</v>
      </c>
      <c r="C665" s="98" t="s">
        <v>3365</v>
      </c>
      <c r="D665" s="6" t="s">
        <v>34</v>
      </c>
      <c r="E665" s="98" t="s">
        <v>3366</v>
      </c>
      <c r="F665" s="7">
        <v>998.0</v>
      </c>
      <c r="G665" s="6" t="s">
        <v>21</v>
      </c>
      <c r="H665" s="7">
        <v>25000.0</v>
      </c>
      <c r="I665" s="8">
        <v>46146.0</v>
      </c>
      <c r="J665" s="6" t="s">
        <v>2582</v>
      </c>
      <c r="L665" s="10">
        <v>0.2604166666666667</v>
      </c>
      <c r="M665" s="10">
        <v>0.4166666666666667</v>
      </c>
      <c r="N665" s="6" t="s">
        <v>3367</v>
      </c>
      <c r="O665" s="11">
        <v>-7.2734208E7</v>
      </c>
      <c r="P665" s="11">
        <v>1.127491549E9</v>
      </c>
      <c r="Q665" s="12" t="s">
        <v>3368</v>
      </c>
    </row>
    <row r="666">
      <c r="A666" s="13">
        <f t="shared" si="1"/>
        <v>665</v>
      </c>
      <c r="B666" s="6" t="s">
        <v>3369</v>
      </c>
      <c r="C666" s="98" t="s">
        <v>3370</v>
      </c>
      <c r="D666" s="6" t="s">
        <v>19</v>
      </c>
      <c r="E666" s="98" t="s">
        <v>2726</v>
      </c>
      <c r="F666" s="7">
        <v>4492.0</v>
      </c>
      <c r="G666" s="6" t="s">
        <v>21</v>
      </c>
      <c r="H666" s="7" t="s">
        <v>22</v>
      </c>
      <c r="I666" s="8">
        <v>46269.0</v>
      </c>
      <c r="J666" s="6" t="s">
        <v>2582</v>
      </c>
      <c r="L666" s="10">
        <v>0.4166666666666667</v>
      </c>
      <c r="M666" s="10">
        <v>0.125</v>
      </c>
      <c r="N666" s="6" t="s">
        <v>3371</v>
      </c>
      <c r="O666" s="11">
        <v>-7.2564304E7</v>
      </c>
      <c r="P666" s="11">
        <v>1.127434309E9</v>
      </c>
      <c r="Q666" s="12" t="s">
        <v>3372</v>
      </c>
    </row>
    <row r="667">
      <c r="A667" s="13">
        <f t="shared" si="1"/>
        <v>666</v>
      </c>
      <c r="B667" s="6" t="s">
        <v>3373</v>
      </c>
      <c r="C667" s="98" t="s">
        <v>3374</v>
      </c>
      <c r="D667" s="6" t="s">
        <v>19</v>
      </c>
      <c r="E667" s="98" t="s">
        <v>3375</v>
      </c>
      <c r="F667" s="7">
        <v>159.0</v>
      </c>
      <c r="G667" s="6" t="s">
        <v>21</v>
      </c>
      <c r="H667" s="7" t="s">
        <v>131</v>
      </c>
      <c r="I667" s="8">
        <v>46177.0</v>
      </c>
      <c r="J667" s="6" t="s">
        <v>2582</v>
      </c>
      <c r="L667" s="10">
        <v>0.5833333333333334</v>
      </c>
      <c r="M667" s="10">
        <v>0.16666666666666666</v>
      </c>
      <c r="N667" s="6" t="s">
        <v>3376</v>
      </c>
      <c r="O667" s="11">
        <v>-7291489.0</v>
      </c>
      <c r="P667" s="11">
        <v>1.127443085E9</v>
      </c>
      <c r="Q667" s="12" t="s">
        <v>3377</v>
      </c>
    </row>
    <row r="668">
      <c r="A668" s="13">
        <f t="shared" si="1"/>
        <v>667</v>
      </c>
      <c r="B668" s="6" t="s">
        <v>3378</v>
      </c>
      <c r="C668" s="98" t="s">
        <v>3379</v>
      </c>
      <c r="D668" s="6" t="s">
        <v>34</v>
      </c>
      <c r="E668" s="98" t="s">
        <v>2580</v>
      </c>
      <c r="F668" s="7">
        <v>451.0</v>
      </c>
      <c r="G668" s="6" t="s">
        <v>21</v>
      </c>
      <c r="H668" s="7" t="s">
        <v>1736</v>
      </c>
      <c r="I668" s="8">
        <v>46146.0</v>
      </c>
      <c r="J668" s="6" t="s">
        <v>2582</v>
      </c>
      <c r="L668" s="10">
        <v>0.5</v>
      </c>
      <c r="M668" s="10">
        <v>0.8541666666666666</v>
      </c>
      <c r="N668" s="6" t="s">
        <v>3380</v>
      </c>
      <c r="O668" s="11">
        <v>-7.2899956E7</v>
      </c>
      <c r="P668" s="11">
        <v>1.127185399E9</v>
      </c>
      <c r="Q668" s="12" t="s">
        <v>3381</v>
      </c>
    </row>
    <row r="669">
      <c r="A669" s="13">
        <f t="shared" si="1"/>
        <v>668</v>
      </c>
      <c r="B669" s="6" t="s">
        <v>3382</v>
      </c>
      <c r="C669" s="98" t="s">
        <v>3383</v>
      </c>
      <c r="D669" s="6" t="s">
        <v>19</v>
      </c>
      <c r="E669" s="98" t="s">
        <v>3133</v>
      </c>
      <c r="F669" s="7">
        <v>97.0</v>
      </c>
      <c r="G669" s="6" t="s">
        <v>21</v>
      </c>
      <c r="H669" s="7" t="s">
        <v>22</v>
      </c>
      <c r="I669" s="8">
        <v>46269.0</v>
      </c>
      <c r="J669" s="6" t="s">
        <v>2582</v>
      </c>
      <c r="L669" s="10">
        <v>0.3333333333333333</v>
      </c>
      <c r="M669" s="10">
        <v>0.0</v>
      </c>
      <c r="N669" s="6" t="s">
        <v>3384</v>
      </c>
      <c r="O669" s="11">
        <v>-7.2796867E7</v>
      </c>
      <c r="P669" s="11">
        <v>1.127628873E9</v>
      </c>
      <c r="Q669" s="12" t="s">
        <v>3385</v>
      </c>
    </row>
    <row r="670">
      <c r="A670" s="13">
        <f t="shared" si="1"/>
        <v>669</v>
      </c>
      <c r="B670" s="6" t="s">
        <v>3386</v>
      </c>
      <c r="C670" s="98" t="s">
        <v>3387</v>
      </c>
      <c r="D670" s="6" t="s">
        <v>34</v>
      </c>
      <c r="E670" s="98" t="s">
        <v>2580</v>
      </c>
      <c r="F670" s="7">
        <v>1649.0</v>
      </c>
      <c r="G670" s="6" t="s">
        <v>21</v>
      </c>
      <c r="H670" s="7" t="s">
        <v>3388</v>
      </c>
      <c r="I670" s="8">
        <v>46269.0</v>
      </c>
      <c r="J670" s="6" t="s">
        <v>2582</v>
      </c>
      <c r="L670" s="10">
        <v>0.4375</v>
      </c>
      <c r="M670" s="10">
        <v>0.875</v>
      </c>
      <c r="N670" s="6" t="s">
        <v>3389</v>
      </c>
      <c r="O670" s="11">
        <v>-7.3089034E7</v>
      </c>
      <c r="P670" s="11">
        <v>1.127886546E9</v>
      </c>
      <c r="Q670" s="12" t="s">
        <v>3390</v>
      </c>
    </row>
    <row r="671">
      <c r="A671" s="13">
        <f t="shared" si="1"/>
        <v>670</v>
      </c>
      <c r="B671" s="6" t="s">
        <v>3391</v>
      </c>
      <c r="C671" s="98" t="s">
        <v>3392</v>
      </c>
      <c r="D671" s="6" t="s">
        <v>46</v>
      </c>
      <c r="E671" s="98" t="s">
        <v>2854</v>
      </c>
      <c r="F671" s="7">
        <v>7296.0</v>
      </c>
      <c r="G671" s="6" t="s">
        <v>21</v>
      </c>
      <c r="H671" s="7">
        <v>0.0</v>
      </c>
      <c r="I671" s="8">
        <v>46146.0</v>
      </c>
      <c r="J671" s="6" t="s">
        <v>2582</v>
      </c>
      <c r="L671" s="10">
        <v>0.0</v>
      </c>
      <c r="M671" s="10">
        <v>0.9993055555555556</v>
      </c>
      <c r="N671" s="6" t="s">
        <v>3393</v>
      </c>
      <c r="O671" s="11">
        <v>-7.3275604E7</v>
      </c>
      <c r="P671" s="11">
        <v>1.127312242E9</v>
      </c>
      <c r="Q671" s="12" t="s">
        <v>3394</v>
      </c>
    </row>
    <row r="672">
      <c r="A672" s="13">
        <f t="shared" si="1"/>
        <v>671</v>
      </c>
      <c r="B672" s="6" t="s">
        <v>3395</v>
      </c>
      <c r="C672" s="98" t="s">
        <v>3396</v>
      </c>
      <c r="D672" s="6" t="s">
        <v>34</v>
      </c>
      <c r="E672" s="98" t="s">
        <v>2989</v>
      </c>
      <c r="F672" s="7">
        <v>1174.0</v>
      </c>
      <c r="G672" s="6" t="s">
        <v>21</v>
      </c>
      <c r="H672" s="7" t="s">
        <v>22</v>
      </c>
      <c r="I672" s="8">
        <v>46116.0</v>
      </c>
      <c r="J672" s="6" t="s">
        <v>2582</v>
      </c>
      <c r="L672" s="10">
        <v>0.375</v>
      </c>
      <c r="M672" s="10">
        <v>0.875</v>
      </c>
      <c r="N672" s="6" t="s">
        <v>3397</v>
      </c>
      <c r="O672" s="11">
        <v>-7.3286071E7</v>
      </c>
      <c r="P672" s="11">
        <v>1.127752838E9</v>
      </c>
      <c r="Q672" s="12" t="s">
        <v>3398</v>
      </c>
    </row>
    <row r="673">
      <c r="A673" s="13">
        <f t="shared" si="1"/>
        <v>672</v>
      </c>
      <c r="B673" s="6" t="s">
        <v>3399</v>
      </c>
      <c r="C673" s="98" t="s">
        <v>3400</v>
      </c>
      <c r="D673" s="6" t="s">
        <v>19</v>
      </c>
      <c r="E673" s="98" t="s">
        <v>2726</v>
      </c>
      <c r="F673" s="7">
        <v>1583.0</v>
      </c>
      <c r="G673" s="6" t="s">
        <v>21</v>
      </c>
      <c r="H673" s="7" t="s">
        <v>22</v>
      </c>
      <c r="I673" s="8">
        <v>46207.0</v>
      </c>
      <c r="J673" s="6" t="s">
        <v>2582</v>
      </c>
      <c r="L673" s="10">
        <v>0.4166666666666667</v>
      </c>
      <c r="M673" s="10">
        <v>0.9166666666666666</v>
      </c>
      <c r="N673" s="6" t="s">
        <v>3401</v>
      </c>
      <c r="O673" s="11">
        <v>-7.2727252E7</v>
      </c>
      <c r="P673" s="11">
        <v>1.127507038E9</v>
      </c>
      <c r="Q673" s="12" t="s">
        <v>3402</v>
      </c>
    </row>
    <row r="674">
      <c r="A674" s="13">
        <f t="shared" si="1"/>
        <v>673</v>
      </c>
      <c r="B674" s="6" t="s">
        <v>3403</v>
      </c>
      <c r="C674" s="98" t="s">
        <v>3404</v>
      </c>
      <c r="D674" s="6" t="s">
        <v>46</v>
      </c>
      <c r="E674" s="98" t="s">
        <v>2970</v>
      </c>
      <c r="F674" s="7">
        <v>73.0</v>
      </c>
      <c r="G674" s="6" t="s">
        <v>21</v>
      </c>
      <c r="H674" s="7">
        <v>0.0</v>
      </c>
      <c r="I674" s="8">
        <v>46116.0</v>
      </c>
      <c r="J674" s="6" t="s">
        <v>2582</v>
      </c>
      <c r="L674" s="10">
        <v>0.0</v>
      </c>
      <c r="M674" s="10">
        <v>0.9993055555555556</v>
      </c>
      <c r="N674" s="6" t="s">
        <v>3405</v>
      </c>
      <c r="O674" s="11">
        <v>-7.3189496E7</v>
      </c>
      <c r="P674" s="11">
        <v>1.127398378E9</v>
      </c>
      <c r="Q674" s="12" t="s">
        <v>3406</v>
      </c>
    </row>
    <row r="675">
      <c r="A675" s="13">
        <f t="shared" si="1"/>
        <v>674</v>
      </c>
      <c r="B675" s="6" t="s">
        <v>3407</v>
      </c>
      <c r="C675" s="98" t="s">
        <v>3408</v>
      </c>
      <c r="D675" s="6" t="s">
        <v>34</v>
      </c>
      <c r="E675" s="98" t="s">
        <v>2817</v>
      </c>
      <c r="F675" s="7">
        <v>2010.0</v>
      </c>
      <c r="G675" s="6" t="s">
        <v>21</v>
      </c>
      <c r="H675" s="7" t="s">
        <v>22</v>
      </c>
      <c r="I675" s="8">
        <v>46146.0</v>
      </c>
      <c r="J675" s="6" t="s">
        <v>2582</v>
      </c>
      <c r="L675" s="10">
        <v>0.3333333333333333</v>
      </c>
      <c r="M675" s="10">
        <v>0.875</v>
      </c>
      <c r="N675" s="6" t="s">
        <v>3409</v>
      </c>
      <c r="O675" s="11">
        <v>-7.2470413E7</v>
      </c>
      <c r="P675" s="11">
        <v>1.12747019E8</v>
      </c>
      <c r="Q675" s="12" t="s">
        <v>3410</v>
      </c>
    </row>
    <row r="676">
      <c r="A676" s="13">
        <f t="shared" si="1"/>
        <v>675</v>
      </c>
      <c r="B676" s="6" t="s">
        <v>3411</v>
      </c>
      <c r="C676" s="98" t="s">
        <v>3412</v>
      </c>
      <c r="D676" s="6" t="s">
        <v>34</v>
      </c>
      <c r="E676" s="98" t="s">
        <v>2611</v>
      </c>
      <c r="F676" s="7">
        <v>64.0</v>
      </c>
      <c r="G676" s="6" t="s">
        <v>21</v>
      </c>
      <c r="H676" s="7" t="s">
        <v>2871</v>
      </c>
      <c r="I676" s="8">
        <v>46085.0</v>
      </c>
      <c r="J676" s="6" t="s">
        <v>3290</v>
      </c>
      <c r="K676" s="6" t="s">
        <v>66</v>
      </c>
      <c r="L676" s="10">
        <v>0.0</v>
      </c>
      <c r="M676" s="10">
        <v>0.9993055555555556</v>
      </c>
      <c r="N676" s="6" t="s">
        <v>3413</v>
      </c>
      <c r="O676" s="11">
        <v>-7.2876522E7</v>
      </c>
      <c r="P676" s="11">
        <v>1.1273648E7</v>
      </c>
      <c r="Q676" s="12" t="s">
        <v>3414</v>
      </c>
    </row>
    <row r="677">
      <c r="A677" s="13">
        <f t="shared" si="1"/>
        <v>676</v>
      </c>
      <c r="B677" s="45" t="s">
        <v>3415</v>
      </c>
      <c r="C677" s="104" t="s">
        <v>3416</v>
      </c>
      <c r="D677" s="45" t="s">
        <v>46</v>
      </c>
      <c r="E677" s="104" t="s">
        <v>3417</v>
      </c>
      <c r="F677" s="28">
        <v>368.0</v>
      </c>
      <c r="G677" s="45" t="s">
        <v>21</v>
      </c>
      <c r="H677" s="45">
        <v>0.0</v>
      </c>
      <c r="I677" s="29">
        <v>46207.0</v>
      </c>
      <c r="J677" s="45" t="s">
        <v>23</v>
      </c>
      <c r="K677" s="46"/>
      <c r="L677" s="47">
        <v>0.375</v>
      </c>
      <c r="M677" s="47">
        <v>0.875</v>
      </c>
      <c r="N677" s="48" t="s">
        <v>3418</v>
      </c>
      <c r="O677" s="33" t="s">
        <v>3419</v>
      </c>
      <c r="P677" s="34" t="s">
        <v>3420</v>
      </c>
      <c r="Q677" s="42" t="s">
        <v>3421</v>
      </c>
      <c r="R677" s="43"/>
      <c r="S677" s="43"/>
      <c r="T677" s="43"/>
      <c r="U677" s="43"/>
      <c r="V677" s="43"/>
      <c r="W677" s="43"/>
      <c r="X677" s="43"/>
      <c r="Y677" s="43"/>
      <c r="Z677" s="43"/>
      <c r="AA677" s="43"/>
      <c r="AB677" s="43"/>
      <c r="AC677" s="43"/>
      <c r="AD677" s="43"/>
      <c r="AE677" s="43"/>
    </row>
    <row r="678">
      <c r="A678" s="13">
        <f t="shared" si="1"/>
        <v>677</v>
      </c>
      <c r="B678" s="6" t="s">
        <v>3422</v>
      </c>
      <c r="C678" s="98" t="s">
        <v>3423</v>
      </c>
      <c r="D678" s="6" t="s">
        <v>34</v>
      </c>
      <c r="E678" s="98" t="s">
        <v>2580</v>
      </c>
      <c r="F678" s="7">
        <v>563.0</v>
      </c>
      <c r="G678" s="6" t="s">
        <v>21</v>
      </c>
      <c r="H678" s="7" t="s">
        <v>22</v>
      </c>
      <c r="I678" s="8">
        <v>46146.0</v>
      </c>
      <c r="J678" s="6" t="s">
        <v>2582</v>
      </c>
      <c r="L678" s="10">
        <v>0.7291666666666666</v>
      </c>
      <c r="M678" s="10">
        <v>0.0</v>
      </c>
      <c r="N678" s="6" t="s">
        <v>3424</v>
      </c>
      <c r="O678" s="11">
        <v>-728397.0</v>
      </c>
      <c r="P678" s="11">
        <v>1.126903194E9</v>
      </c>
      <c r="Q678" s="12" t="s">
        <v>3425</v>
      </c>
    </row>
    <row r="679">
      <c r="A679" s="13">
        <f t="shared" si="1"/>
        <v>678</v>
      </c>
      <c r="B679" s="6" t="s">
        <v>3426</v>
      </c>
      <c r="C679" s="98" t="s">
        <v>3427</v>
      </c>
      <c r="D679" s="6" t="s">
        <v>34</v>
      </c>
      <c r="E679" s="98" t="s">
        <v>2744</v>
      </c>
      <c r="F679" s="7">
        <v>1752.0</v>
      </c>
      <c r="G679" s="6" t="s">
        <v>21</v>
      </c>
      <c r="H679" s="7" t="s">
        <v>221</v>
      </c>
      <c r="I679" s="8">
        <v>46146.0</v>
      </c>
      <c r="J679" s="6" t="s">
        <v>2582</v>
      </c>
      <c r="L679" s="10">
        <v>0.375</v>
      </c>
      <c r="M679" s="10">
        <v>0.875</v>
      </c>
      <c r="N679" s="6" t="s">
        <v>3428</v>
      </c>
      <c r="O679" s="11">
        <v>-7.2598318E7</v>
      </c>
      <c r="P679" s="11">
        <v>1.1275009E7</v>
      </c>
      <c r="Q679" s="12" t="s">
        <v>3429</v>
      </c>
    </row>
    <row r="680">
      <c r="A680" s="13">
        <f t="shared" si="1"/>
        <v>679</v>
      </c>
      <c r="B680" s="6" t="s">
        <v>3430</v>
      </c>
      <c r="C680" s="98" t="s">
        <v>3431</v>
      </c>
      <c r="D680" s="6" t="s">
        <v>34</v>
      </c>
      <c r="E680" s="98" t="s">
        <v>2929</v>
      </c>
      <c r="F680" s="7">
        <v>44.0</v>
      </c>
      <c r="G680" s="6" t="s">
        <v>21</v>
      </c>
      <c r="H680" s="7">
        <v>25000.0</v>
      </c>
      <c r="I680" s="8">
        <v>46177.0</v>
      </c>
      <c r="J680" s="6" t="s">
        <v>2582</v>
      </c>
      <c r="L680" s="10">
        <v>0.4166666666666667</v>
      </c>
      <c r="M680" s="10">
        <v>0.7916666666666666</v>
      </c>
      <c r="N680" s="6" t="s">
        <v>3432</v>
      </c>
      <c r="O680" s="11">
        <v>-7270024.0</v>
      </c>
      <c r="P680" s="11">
        <v>1.1273549E7</v>
      </c>
      <c r="Q680" s="12" t="s">
        <v>3433</v>
      </c>
    </row>
    <row r="681">
      <c r="A681" s="13">
        <f t="shared" si="1"/>
        <v>680</v>
      </c>
      <c r="B681" s="6" t="s">
        <v>3434</v>
      </c>
      <c r="C681" s="98" t="s">
        <v>3435</v>
      </c>
      <c r="D681" s="6" t="s">
        <v>34</v>
      </c>
      <c r="E681" s="98" t="s">
        <v>2634</v>
      </c>
      <c r="F681" s="7">
        <v>745.0</v>
      </c>
      <c r="G681" s="6" t="s">
        <v>21</v>
      </c>
      <c r="H681" s="7">
        <v>25000.0</v>
      </c>
      <c r="I681" s="8">
        <v>46177.0</v>
      </c>
      <c r="J681" s="6" t="s">
        <v>2582</v>
      </c>
      <c r="L681" s="10">
        <v>0.4166666666666667</v>
      </c>
      <c r="M681" s="10">
        <v>0.8333333333333334</v>
      </c>
      <c r="N681" s="6" t="s">
        <v>3436</v>
      </c>
      <c r="O681" s="11">
        <v>-7.2575378E7</v>
      </c>
      <c r="P681" s="11">
        <v>1.127606246E9</v>
      </c>
      <c r="Q681" s="12" t="s">
        <v>3437</v>
      </c>
    </row>
    <row r="682">
      <c r="A682" s="13">
        <f t="shared" si="1"/>
        <v>681</v>
      </c>
      <c r="B682" s="6" t="s">
        <v>3438</v>
      </c>
      <c r="C682" s="98" t="s">
        <v>3439</v>
      </c>
      <c r="D682" s="6" t="s">
        <v>342</v>
      </c>
      <c r="E682" s="98" t="s">
        <v>3227</v>
      </c>
      <c r="F682" s="7">
        <v>229.0</v>
      </c>
      <c r="G682" s="6" t="s">
        <v>21</v>
      </c>
      <c r="H682" s="7">
        <v>250000.0</v>
      </c>
      <c r="I682" s="8">
        <v>46207.0</v>
      </c>
      <c r="J682" s="6" t="s">
        <v>2582</v>
      </c>
      <c r="L682" s="10">
        <v>0.25</v>
      </c>
      <c r="M682" s="10">
        <v>0.9166666666666666</v>
      </c>
      <c r="N682" s="6" t="s">
        <v>3440</v>
      </c>
      <c r="O682" s="11">
        <v>-7286211.0</v>
      </c>
      <c r="P682" s="11">
        <v>1.126992675E9</v>
      </c>
      <c r="Q682" s="12" t="s">
        <v>3441</v>
      </c>
    </row>
    <row r="683">
      <c r="A683" s="13">
        <f t="shared" si="1"/>
        <v>682</v>
      </c>
      <c r="B683" s="6" t="s">
        <v>3442</v>
      </c>
      <c r="C683" s="98" t="s">
        <v>3443</v>
      </c>
      <c r="D683" s="6" t="s">
        <v>342</v>
      </c>
      <c r="E683" s="98" t="s">
        <v>2929</v>
      </c>
      <c r="F683" s="7">
        <v>293.0</v>
      </c>
      <c r="G683" s="6" t="s">
        <v>21</v>
      </c>
      <c r="H683" s="7">
        <v>25000.0</v>
      </c>
      <c r="I683" s="8">
        <v>46146.0</v>
      </c>
      <c r="J683" s="6" t="s">
        <v>2582</v>
      </c>
      <c r="K683" s="6" t="s">
        <v>602</v>
      </c>
      <c r="L683" s="10">
        <v>0.2916666666666667</v>
      </c>
      <c r="M683" s="10">
        <v>0.875</v>
      </c>
      <c r="N683" s="6" t="s">
        <v>3444</v>
      </c>
      <c r="O683" s="11">
        <v>-7266253.0</v>
      </c>
      <c r="P683" s="11">
        <v>1.127677125E9</v>
      </c>
      <c r="Q683" s="12" t="s">
        <v>3445</v>
      </c>
    </row>
    <row r="684">
      <c r="A684" s="13">
        <f t="shared" si="1"/>
        <v>683</v>
      </c>
      <c r="B684" s="6" t="s">
        <v>3446</v>
      </c>
      <c r="C684" s="98" t="s">
        <v>3447</v>
      </c>
      <c r="D684" s="6" t="s">
        <v>19</v>
      </c>
      <c r="E684" s="98" t="s">
        <v>2726</v>
      </c>
      <c r="F684" s="7">
        <v>232.0</v>
      </c>
      <c r="G684" s="6" t="s">
        <v>21</v>
      </c>
      <c r="H684" s="7" t="s">
        <v>22</v>
      </c>
      <c r="I684" s="8">
        <v>46177.0</v>
      </c>
      <c r="J684" s="6" t="s">
        <v>1438</v>
      </c>
      <c r="K684" s="6" t="s">
        <v>66</v>
      </c>
      <c r="L684" s="10">
        <v>0.4583333333333333</v>
      </c>
      <c r="M684" s="10">
        <v>0.875</v>
      </c>
      <c r="N684" s="6" t="s">
        <v>3448</v>
      </c>
      <c r="O684" s="11">
        <v>-7.2677313E7</v>
      </c>
      <c r="P684" s="11">
        <v>1.127339446E9</v>
      </c>
      <c r="Q684" s="12" t="s">
        <v>3449</v>
      </c>
    </row>
    <row r="685">
      <c r="A685" s="13">
        <f t="shared" si="1"/>
        <v>684</v>
      </c>
      <c r="B685" s="6" t="s">
        <v>3450</v>
      </c>
      <c r="C685" s="98" t="s">
        <v>3451</v>
      </c>
      <c r="D685" s="6" t="s">
        <v>342</v>
      </c>
      <c r="E685" s="98" t="s">
        <v>2580</v>
      </c>
      <c r="F685" s="7">
        <v>3079.0</v>
      </c>
      <c r="G685" s="6" t="s">
        <v>21</v>
      </c>
      <c r="H685" s="7" t="s">
        <v>785</v>
      </c>
      <c r="I685" s="8">
        <v>46146.0</v>
      </c>
      <c r="J685" s="6" t="s">
        <v>2582</v>
      </c>
      <c r="L685" s="10">
        <v>0.4583333333333333</v>
      </c>
      <c r="M685" s="10">
        <v>0.041666666666666664</v>
      </c>
      <c r="N685" s="6" t="s">
        <v>3452</v>
      </c>
      <c r="O685" s="11">
        <v>-7.2406741E7</v>
      </c>
      <c r="P685" s="11">
        <v>1.127521716E9</v>
      </c>
      <c r="Q685" s="12" t="s">
        <v>3453</v>
      </c>
    </row>
    <row r="686">
      <c r="A686" s="13">
        <f t="shared" si="1"/>
        <v>685</v>
      </c>
      <c r="B686" s="6" t="s">
        <v>3454</v>
      </c>
      <c r="C686" s="98" t="s">
        <v>3455</v>
      </c>
      <c r="D686" s="6" t="s">
        <v>34</v>
      </c>
      <c r="E686" s="98" t="s">
        <v>2611</v>
      </c>
      <c r="F686" s="7">
        <v>212.0</v>
      </c>
      <c r="G686" s="6" t="s">
        <v>21</v>
      </c>
      <c r="H686" s="7">
        <v>25000.0</v>
      </c>
      <c r="I686" s="8">
        <v>46177.0</v>
      </c>
      <c r="J686" s="6" t="s">
        <v>1438</v>
      </c>
      <c r="K686" s="6" t="s">
        <v>66</v>
      </c>
      <c r="L686" s="10">
        <v>0.2916666666666667</v>
      </c>
      <c r="M686" s="10">
        <v>0.7291666666666666</v>
      </c>
      <c r="N686" s="6" t="s">
        <v>3456</v>
      </c>
      <c r="O686" s="11">
        <v>-7.2667434E7</v>
      </c>
      <c r="P686" s="11">
        <v>1.127423959E9</v>
      </c>
      <c r="Q686" s="12" t="s">
        <v>3457</v>
      </c>
    </row>
    <row r="687">
      <c r="A687" s="13">
        <f t="shared" si="1"/>
        <v>686</v>
      </c>
      <c r="B687" s="6" t="s">
        <v>3458</v>
      </c>
      <c r="C687" s="98" t="s">
        <v>3459</v>
      </c>
      <c r="D687" s="6" t="s">
        <v>34</v>
      </c>
      <c r="E687" s="98" t="s">
        <v>2634</v>
      </c>
      <c r="F687" s="7">
        <v>267.0</v>
      </c>
      <c r="G687" s="6" t="s">
        <v>21</v>
      </c>
      <c r="H687" s="7">
        <v>25000.0</v>
      </c>
      <c r="I687" s="8">
        <v>46116.0</v>
      </c>
      <c r="J687" s="6" t="s">
        <v>2582</v>
      </c>
      <c r="L687" s="10">
        <v>0.3333333333333333</v>
      </c>
      <c r="M687" s="10">
        <v>0.8333333333333334</v>
      </c>
      <c r="N687" s="6" t="s">
        <v>3460</v>
      </c>
      <c r="O687" s="11">
        <v>-7.2758346E7</v>
      </c>
      <c r="P687" s="11">
        <v>1.127343928E9</v>
      </c>
      <c r="Q687" s="12" t="s">
        <v>3461</v>
      </c>
    </row>
    <row r="688">
      <c r="A688" s="13">
        <f t="shared" si="1"/>
        <v>687</v>
      </c>
      <c r="B688" s="6" t="s">
        <v>3462</v>
      </c>
      <c r="C688" s="98" t="s">
        <v>3463</v>
      </c>
      <c r="D688" s="6" t="s">
        <v>19</v>
      </c>
      <c r="E688" s="98" t="s">
        <v>2592</v>
      </c>
      <c r="F688" s="7">
        <v>1745.0</v>
      </c>
      <c r="G688" s="6" t="s">
        <v>21</v>
      </c>
      <c r="H688" s="7" t="s">
        <v>22</v>
      </c>
      <c r="I688" s="8">
        <v>46238.0</v>
      </c>
      <c r="J688" s="6" t="s">
        <v>2582</v>
      </c>
      <c r="L688" s="10">
        <v>0.2916666666666667</v>
      </c>
      <c r="M688" s="10">
        <v>0.875</v>
      </c>
      <c r="N688" s="6" t="s">
        <v>3464</v>
      </c>
      <c r="O688" s="11">
        <v>-7.2729095E7</v>
      </c>
      <c r="P688" s="11">
        <v>1.127477386E9</v>
      </c>
      <c r="Q688" s="12" t="s">
        <v>3465</v>
      </c>
    </row>
    <row r="689">
      <c r="A689" s="13">
        <f t="shared" si="1"/>
        <v>688</v>
      </c>
      <c r="B689" s="6" t="s">
        <v>3466</v>
      </c>
      <c r="C689" s="98" t="s">
        <v>3467</v>
      </c>
      <c r="D689" s="6" t="s">
        <v>34</v>
      </c>
      <c r="E689" s="98" t="s">
        <v>2597</v>
      </c>
      <c r="F689" s="7">
        <v>287.0</v>
      </c>
      <c r="G689" s="6" t="s">
        <v>21</v>
      </c>
      <c r="H689" s="7">
        <v>25000.0</v>
      </c>
      <c r="I689" s="8">
        <v>46177.0</v>
      </c>
      <c r="J689" s="6" t="s">
        <v>2582</v>
      </c>
      <c r="L689" s="10">
        <v>0.4166666666666667</v>
      </c>
      <c r="M689" s="10">
        <v>0.9166666666666666</v>
      </c>
      <c r="N689" s="6" t="s">
        <v>3468</v>
      </c>
      <c r="O689" s="11">
        <v>-7.2355364E7</v>
      </c>
      <c r="P689" s="11">
        <v>1.127362948E9</v>
      </c>
      <c r="Q689" s="12" t="s">
        <v>3469</v>
      </c>
    </row>
    <row r="690">
      <c r="A690" s="13">
        <f t="shared" si="1"/>
        <v>689</v>
      </c>
      <c r="B690" s="6" t="s">
        <v>3470</v>
      </c>
      <c r="C690" s="98" t="s">
        <v>3471</v>
      </c>
      <c r="D690" s="6" t="s">
        <v>34</v>
      </c>
      <c r="E690" s="98" t="s">
        <v>3025</v>
      </c>
      <c r="F690" s="7">
        <v>14.0</v>
      </c>
      <c r="G690" s="6" t="s">
        <v>21</v>
      </c>
      <c r="H690" s="7" t="s">
        <v>2871</v>
      </c>
      <c r="I690" s="8">
        <v>46146.0</v>
      </c>
      <c r="J690" s="6" t="s">
        <v>1438</v>
      </c>
      <c r="K690" s="6" t="s">
        <v>66</v>
      </c>
      <c r="L690" s="10">
        <v>0.2916666666666667</v>
      </c>
      <c r="M690" s="10">
        <v>0.75</v>
      </c>
      <c r="N690" s="6" t="s">
        <v>3472</v>
      </c>
      <c r="O690" s="11">
        <v>-7.2786951E7</v>
      </c>
      <c r="P690" s="11">
        <v>1.126958553E9</v>
      </c>
      <c r="Q690" s="12" t="s">
        <v>3473</v>
      </c>
    </row>
    <row r="691">
      <c r="A691" s="13">
        <f t="shared" si="1"/>
        <v>690</v>
      </c>
      <c r="B691" s="6" t="s">
        <v>3474</v>
      </c>
      <c r="C691" s="98" t="s">
        <v>3475</v>
      </c>
      <c r="D691" s="6" t="s">
        <v>34</v>
      </c>
      <c r="E691" s="98" t="s">
        <v>2679</v>
      </c>
      <c r="F691" s="7">
        <v>15.0</v>
      </c>
      <c r="G691" s="6" t="s">
        <v>21</v>
      </c>
      <c r="H691" s="7">
        <v>25000.0</v>
      </c>
      <c r="I691" s="7" t="s">
        <v>314</v>
      </c>
      <c r="J691" s="6" t="s">
        <v>1438</v>
      </c>
      <c r="K691" s="6" t="s">
        <v>66</v>
      </c>
      <c r="L691" s="10">
        <v>0.5</v>
      </c>
      <c r="M691" s="10">
        <v>0.8333333333333334</v>
      </c>
      <c r="N691" s="6" t="s">
        <v>3476</v>
      </c>
      <c r="O691" s="11">
        <v>-7.2762785E7</v>
      </c>
      <c r="P691" s="11">
        <v>1.127525941E9</v>
      </c>
      <c r="Q691" s="12" t="s">
        <v>3477</v>
      </c>
    </row>
    <row r="692">
      <c r="A692" s="13">
        <f t="shared" si="1"/>
        <v>691</v>
      </c>
      <c r="B692" s="6" t="s">
        <v>3478</v>
      </c>
      <c r="C692" s="98" t="s">
        <v>3479</v>
      </c>
      <c r="D692" s="6" t="s">
        <v>19</v>
      </c>
      <c r="E692" s="98" t="s">
        <v>3480</v>
      </c>
      <c r="F692" s="7">
        <v>554.0</v>
      </c>
      <c r="G692" s="6" t="s">
        <v>21</v>
      </c>
      <c r="H692" s="7" t="s">
        <v>22</v>
      </c>
      <c r="I692" s="8">
        <v>46269.0</v>
      </c>
      <c r="J692" s="6" t="s">
        <v>2582</v>
      </c>
      <c r="L692" s="10">
        <v>0.3333333333333333</v>
      </c>
      <c r="M692" s="10">
        <v>0.9166666666666666</v>
      </c>
      <c r="N692" s="50" t="s">
        <v>3481</v>
      </c>
      <c r="O692" s="51">
        <v>-7.2789659E7</v>
      </c>
      <c r="P692" s="51">
        <v>1.12772689E8</v>
      </c>
      <c r="Q692" s="12" t="s">
        <v>3482</v>
      </c>
    </row>
    <row r="693">
      <c r="A693" s="13">
        <f t="shared" si="1"/>
        <v>692</v>
      </c>
      <c r="B693" s="45" t="s">
        <v>3483</v>
      </c>
      <c r="C693" s="104" t="s">
        <v>3484</v>
      </c>
      <c r="D693" s="45" t="s">
        <v>46</v>
      </c>
      <c r="E693" s="104" t="s">
        <v>3485</v>
      </c>
      <c r="F693" s="28">
        <v>703.0</v>
      </c>
      <c r="G693" s="45" t="s">
        <v>21</v>
      </c>
      <c r="H693" s="45">
        <v>50000.0</v>
      </c>
      <c r="I693" s="29">
        <v>46207.0</v>
      </c>
      <c r="J693" s="45" t="s">
        <v>3486</v>
      </c>
      <c r="K693" s="45" t="s">
        <v>3487</v>
      </c>
      <c r="L693" s="47">
        <v>0.5</v>
      </c>
      <c r="M693" s="47">
        <v>0.7916666666666666</v>
      </c>
      <c r="N693" s="96" t="s">
        <v>3488</v>
      </c>
      <c r="O693" s="95">
        <v>-724775.0</v>
      </c>
      <c r="P693" s="95">
        <v>1127796.0</v>
      </c>
      <c r="Q693" s="42" t="s">
        <v>3489</v>
      </c>
      <c r="R693" s="43"/>
      <c r="S693" s="43"/>
      <c r="T693" s="43"/>
      <c r="U693" s="43"/>
      <c r="V693" s="43"/>
      <c r="W693" s="43"/>
      <c r="X693" s="43"/>
      <c r="Y693" s="43"/>
      <c r="Z693" s="43"/>
      <c r="AA693" s="43"/>
      <c r="AB693" s="43"/>
      <c r="AC693" s="43"/>
      <c r="AD693" s="43"/>
      <c r="AE693" s="43"/>
    </row>
    <row r="694">
      <c r="A694" s="13">
        <f t="shared" si="1"/>
        <v>693</v>
      </c>
      <c r="B694" s="6" t="s">
        <v>3490</v>
      </c>
      <c r="C694" s="98" t="s">
        <v>3491</v>
      </c>
      <c r="D694" s="6" t="s">
        <v>34</v>
      </c>
      <c r="E694" s="98" t="s">
        <v>3321</v>
      </c>
      <c r="F694" s="7">
        <v>222.0</v>
      </c>
      <c r="G694" s="6" t="s">
        <v>21</v>
      </c>
      <c r="H694" s="7">
        <v>25000.0</v>
      </c>
      <c r="I694" s="8">
        <v>46238.0</v>
      </c>
      <c r="J694" s="6" t="s">
        <v>1438</v>
      </c>
      <c r="K694" s="6" t="s">
        <v>66</v>
      </c>
      <c r="L694" s="10">
        <v>0.3333333333333333</v>
      </c>
      <c r="M694" s="10">
        <v>0.8333333333333334</v>
      </c>
      <c r="N694" s="6" t="s">
        <v>3492</v>
      </c>
      <c r="O694" s="11">
        <v>-7.2714676E7</v>
      </c>
      <c r="P694" s="11">
        <v>1.127547717E9</v>
      </c>
      <c r="Q694" s="12" t="s">
        <v>3493</v>
      </c>
    </row>
    <row r="695">
      <c r="A695" s="13">
        <f t="shared" si="1"/>
        <v>694</v>
      </c>
      <c r="B695" s="6" t="s">
        <v>3494</v>
      </c>
      <c r="C695" s="98" t="s">
        <v>3495</v>
      </c>
      <c r="D695" s="6" t="s">
        <v>34</v>
      </c>
      <c r="E695" s="98" t="s">
        <v>2744</v>
      </c>
      <c r="F695" s="7">
        <v>453.0</v>
      </c>
      <c r="G695" s="6" t="s">
        <v>21</v>
      </c>
      <c r="H695" s="7">
        <v>25000.0</v>
      </c>
      <c r="I695" s="8">
        <v>46116.0</v>
      </c>
      <c r="J695" s="6" t="s">
        <v>2582</v>
      </c>
      <c r="L695" s="10">
        <v>0.25</v>
      </c>
      <c r="M695" s="10">
        <v>0.4791666666666667</v>
      </c>
      <c r="N695" s="6" t="s">
        <v>3496</v>
      </c>
      <c r="O695" s="11">
        <v>-7.2575729E7</v>
      </c>
      <c r="P695" s="11">
        <v>1.127256849E9</v>
      </c>
      <c r="Q695" s="12" t="s">
        <v>3497</v>
      </c>
    </row>
    <row r="696">
      <c r="A696" s="13">
        <f t="shared" si="1"/>
        <v>695</v>
      </c>
      <c r="B696" s="6" t="s">
        <v>3498</v>
      </c>
      <c r="C696" s="98" t="s">
        <v>3499</v>
      </c>
      <c r="D696" s="6" t="s">
        <v>34</v>
      </c>
      <c r="E696" s="98" t="s">
        <v>3330</v>
      </c>
      <c r="F696" s="7">
        <v>1874.0</v>
      </c>
      <c r="G696" s="6" t="s">
        <v>21</v>
      </c>
      <c r="H696" s="7" t="s">
        <v>22</v>
      </c>
      <c r="I696" s="8">
        <v>46146.0</v>
      </c>
      <c r="J696" s="6" t="s">
        <v>2582</v>
      </c>
      <c r="L696" s="10">
        <v>0.25</v>
      </c>
      <c r="M696" s="10">
        <v>0.6041666666666666</v>
      </c>
      <c r="N696" s="6" t="s">
        <v>3500</v>
      </c>
      <c r="O696" s="11">
        <v>-7.2605688E7</v>
      </c>
      <c r="P696" s="11">
        <v>1.127382972E9</v>
      </c>
      <c r="Q696" s="12" t="s">
        <v>3501</v>
      </c>
    </row>
    <row r="697">
      <c r="A697" s="13">
        <f t="shared" si="1"/>
        <v>696</v>
      </c>
      <c r="B697" s="6" t="s">
        <v>3502</v>
      </c>
      <c r="C697" s="98" t="s">
        <v>3503</v>
      </c>
      <c r="D697" s="6" t="s">
        <v>46</v>
      </c>
      <c r="E697" s="98" t="s">
        <v>2629</v>
      </c>
      <c r="F697" s="7">
        <v>5.0</v>
      </c>
      <c r="G697" s="6" t="s">
        <v>21</v>
      </c>
      <c r="H697" s="7">
        <v>0.0</v>
      </c>
      <c r="I697" s="8">
        <v>46238.0</v>
      </c>
      <c r="J697" s="6" t="s">
        <v>2582</v>
      </c>
      <c r="L697" s="10">
        <v>0.2916666666666667</v>
      </c>
      <c r="M697" s="10">
        <v>0.875</v>
      </c>
      <c r="N697" s="6" t="s">
        <v>3504</v>
      </c>
      <c r="O697" s="11">
        <v>-7.2724756E7</v>
      </c>
      <c r="P697" s="11">
        <v>1.127450944E9</v>
      </c>
      <c r="Q697" s="12" t="s">
        <v>3505</v>
      </c>
    </row>
    <row r="698">
      <c r="A698" s="13">
        <f t="shared" si="1"/>
        <v>697</v>
      </c>
      <c r="B698" s="44" t="s">
        <v>3506</v>
      </c>
      <c r="C698" s="97" t="s">
        <v>2906</v>
      </c>
      <c r="D698" s="36" t="s">
        <v>46</v>
      </c>
      <c r="E698" s="97" t="s">
        <v>2907</v>
      </c>
      <c r="F698" s="16">
        <v>1108.0</v>
      </c>
      <c r="G698" s="36" t="s">
        <v>21</v>
      </c>
      <c r="H698" s="38">
        <v>0.0</v>
      </c>
      <c r="I698" s="39">
        <v>46177.0</v>
      </c>
      <c r="J698" s="36" t="s">
        <v>23</v>
      </c>
      <c r="K698" s="40"/>
      <c r="L698" s="41">
        <v>0.0</v>
      </c>
      <c r="M698" s="41">
        <v>0.9993055555555556</v>
      </c>
      <c r="N698" s="19" t="s">
        <v>3507</v>
      </c>
      <c r="O698" s="19" t="s">
        <v>3508</v>
      </c>
      <c r="P698" s="21" t="s">
        <v>3509</v>
      </c>
      <c r="Q698" s="42" t="s">
        <v>3505</v>
      </c>
      <c r="R698" s="43"/>
      <c r="S698" s="43"/>
      <c r="T698" s="43"/>
      <c r="U698" s="43"/>
      <c r="V698" s="43"/>
      <c r="W698" s="43"/>
      <c r="X698" s="43"/>
      <c r="Y698" s="43"/>
      <c r="Z698" s="43"/>
      <c r="AA698" s="43"/>
      <c r="AB698" s="43"/>
      <c r="AC698" s="43"/>
      <c r="AD698" s="43"/>
      <c r="AE698" s="43"/>
    </row>
    <row r="699">
      <c r="A699" s="13">
        <f t="shared" si="1"/>
        <v>698</v>
      </c>
      <c r="B699" s="6" t="s">
        <v>3510</v>
      </c>
      <c r="C699" s="98" t="s">
        <v>3511</v>
      </c>
      <c r="D699" s="6" t="s">
        <v>34</v>
      </c>
      <c r="E699" s="98" t="s">
        <v>3512</v>
      </c>
      <c r="F699" s="7">
        <v>3.0</v>
      </c>
      <c r="G699" s="6" t="s">
        <v>21</v>
      </c>
      <c r="H699" s="7" t="s">
        <v>22</v>
      </c>
      <c r="I699" s="7" t="s">
        <v>314</v>
      </c>
      <c r="J699" s="6" t="s">
        <v>2582</v>
      </c>
      <c r="L699" s="10">
        <v>0.3333333333333333</v>
      </c>
      <c r="M699" s="10">
        <v>0.875</v>
      </c>
      <c r="N699" s="6" t="s">
        <v>3513</v>
      </c>
      <c r="O699" s="11">
        <v>-7.2635958E7</v>
      </c>
      <c r="P699" s="11">
        <v>1.127450731E9</v>
      </c>
      <c r="Q699" s="12" t="s">
        <v>3514</v>
      </c>
    </row>
    <row r="700">
      <c r="A700" s="13">
        <f t="shared" si="1"/>
        <v>699</v>
      </c>
      <c r="B700" s="6" t="s">
        <v>3515</v>
      </c>
      <c r="C700" s="98" t="s">
        <v>3516</v>
      </c>
      <c r="D700" s="6" t="s">
        <v>46</v>
      </c>
      <c r="E700" s="98" t="s">
        <v>2617</v>
      </c>
      <c r="F700" s="7">
        <v>8295.0</v>
      </c>
      <c r="G700" s="6" t="s">
        <v>21</v>
      </c>
      <c r="H700" s="7">
        <v>0.0</v>
      </c>
      <c r="I700" s="8">
        <v>46177.0</v>
      </c>
      <c r="J700" s="6" t="s">
        <v>58</v>
      </c>
      <c r="K700" s="6" t="s">
        <v>59</v>
      </c>
      <c r="L700" s="10">
        <v>0.3333333333333333</v>
      </c>
      <c r="M700" s="10">
        <v>0.625</v>
      </c>
      <c r="N700" s="6" t="s">
        <v>3517</v>
      </c>
      <c r="O700" s="11">
        <v>-7.2562963E7</v>
      </c>
      <c r="P700" s="11">
        <v>1.127375696E9</v>
      </c>
      <c r="Q700" s="12" t="s">
        <v>3518</v>
      </c>
    </row>
    <row r="701">
      <c r="A701" s="13">
        <f t="shared" si="1"/>
        <v>700</v>
      </c>
      <c r="B701" s="6" t="s">
        <v>3519</v>
      </c>
      <c r="C701" s="98" t="s">
        <v>3520</v>
      </c>
      <c r="D701" s="6" t="s">
        <v>34</v>
      </c>
      <c r="E701" s="98" t="s">
        <v>2580</v>
      </c>
      <c r="F701" s="7">
        <v>501.0</v>
      </c>
      <c r="G701" s="6" t="s">
        <v>21</v>
      </c>
      <c r="H701" s="7" t="s">
        <v>22</v>
      </c>
      <c r="I701" s="8">
        <v>46146.0</v>
      </c>
      <c r="J701" s="6" t="s">
        <v>2582</v>
      </c>
      <c r="L701" s="10">
        <v>0.7083333333333334</v>
      </c>
      <c r="M701" s="10">
        <v>0.0</v>
      </c>
      <c r="N701" s="6" t="s">
        <v>3521</v>
      </c>
      <c r="O701" s="11">
        <v>-7.2527047E7</v>
      </c>
      <c r="P701" s="11">
        <v>1.127440808E9</v>
      </c>
      <c r="Q701" s="12" t="s">
        <v>3522</v>
      </c>
    </row>
    <row r="702">
      <c r="A702" s="13">
        <f t="shared" si="1"/>
        <v>701</v>
      </c>
      <c r="B702" s="6" t="s">
        <v>3523</v>
      </c>
      <c r="C702" s="98" t="s">
        <v>3524</v>
      </c>
      <c r="D702" s="6" t="s">
        <v>34</v>
      </c>
      <c r="E702" s="98" t="s">
        <v>3525</v>
      </c>
      <c r="F702" s="7">
        <v>1304.0</v>
      </c>
      <c r="G702" s="6" t="s">
        <v>21</v>
      </c>
      <c r="H702" s="7" t="s">
        <v>22</v>
      </c>
      <c r="I702" s="8">
        <v>46057.0</v>
      </c>
      <c r="J702" s="6" t="s">
        <v>2582</v>
      </c>
      <c r="L702" s="10">
        <v>0.2916666666666667</v>
      </c>
      <c r="M702" s="10">
        <v>0.9583333333333334</v>
      </c>
      <c r="N702" s="6" t="s">
        <v>3526</v>
      </c>
      <c r="O702" s="11">
        <v>-7.2859058E7</v>
      </c>
      <c r="P702" s="11">
        <v>1.127761495E9</v>
      </c>
      <c r="Q702" s="12" t="s">
        <v>3527</v>
      </c>
    </row>
    <row r="703">
      <c r="A703" s="13">
        <f t="shared" si="1"/>
        <v>702</v>
      </c>
      <c r="B703" s="6" t="s">
        <v>3528</v>
      </c>
      <c r="C703" s="98" t="s">
        <v>3529</v>
      </c>
      <c r="D703" s="6" t="s">
        <v>34</v>
      </c>
      <c r="E703" s="98" t="s">
        <v>3530</v>
      </c>
      <c r="F703" s="7">
        <v>64.0</v>
      </c>
      <c r="G703" s="6" t="s">
        <v>21</v>
      </c>
      <c r="H703" s="7">
        <v>50000.0</v>
      </c>
      <c r="I703" s="8">
        <v>46269.0</v>
      </c>
      <c r="J703" s="6" t="s">
        <v>2582</v>
      </c>
      <c r="L703" s="10">
        <v>0.0</v>
      </c>
      <c r="M703" s="10">
        <v>0.9993055555555556</v>
      </c>
      <c r="N703" s="6" t="s">
        <v>3531</v>
      </c>
      <c r="O703" s="11">
        <v>-7.2392155E7</v>
      </c>
      <c r="P703" s="11">
        <v>1.127521743E9</v>
      </c>
      <c r="Q703" s="12" t="s">
        <v>3532</v>
      </c>
    </row>
    <row r="704">
      <c r="A704" s="13">
        <f t="shared" si="1"/>
        <v>703</v>
      </c>
      <c r="B704" s="6" t="s">
        <v>3533</v>
      </c>
      <c r="C704" s="98" t="s">
        <v>3534</v>
      </c>
      <c r="D704" s="6" t="s">
        <v>34</v>
      </c>
      <c r="E704" s="98" t="s">
        <v>2989</v>
      </c>
      <c r="F704" s="7">
        <v>3008.0</v>
      </c>
      <c r="G704" s="6" t="s">
        <v>21</v>
      </c>
      <c r="H704" s="7" t="s">
        <v>22</v>
      </c>
      <c r="I704" s="8">
        <v>46057.0</v>
      </c>
      <c r="J704" s="6" t="s">
        <v>2582</v>
      </c>
      <c r="L704" s="10">
        <v>0.0</v>
      </c>
      <c r="M704" s="10">
        <v>0.9993055555555556</v>
      </c>
      <c r="N704" s="6" t="s">
        <v>3535</v>
      </c>
      <c r="O704" s="11">
        <v>-7.2777209E7</v>
      </c>
      <c r="P704" s="11">
        <v>1.12682985E8</v>
      </c>
      <c r="Q704" s="12" t="s">
        <v>3536</v>
      </c>
    </row>
    <row r="705">
      <c r="A705" s="13">
        <f t="shared" si="1"/>
        <v>704</v>
      </c>
      <c r="B705" s="6" t="s">
        <v>3537</v>
      </c>
      <c r="C705" s="98" t="s">
        <v>3538</v>
      </c>
      <c r="D705" s="6" t="s">
        <v>46</v>
      </c>
      <c r="E705" s="98" t="s">
        <v>3539</v>
      </c>
      <c r="F705" s="7">
        <v>32.0</v>
      </c>
      <c r="G705" s="6" t="s">
        <v>21</v>
      </c>
      <c r="H705" s="7">
        <v>0.0</v>
      </c>
      <c r="I705" s="8">
        <v>46146.0</v>
      </c>
      <c r="J705" s="6" t="s">
        <v>2582</v>
      </c>
      <c r="L705" s="10">
        <v>0.0</v>
      </c>
      <c r="M705" s="10">
        <v>0.9993055555555556</v>
      </c>
      <c r="N705" s="6" t="s">
        <v>3540</v>
      </c>
      <c r="O705" s="11">
        <v>-7297311.0</v>
      </c>
      <c r="P705" s="11">
        <v>1.12702529E8</v>
      </c>
      <c r="Q705" s="12" t="s">
        <v>3541</v>
      </c>
    </row>
    <row r="706">
      <c r="A706" s="13">
        <f t="shared" si="1"/>
        <v>705</v>
      </c>
      <c r="B706" s="6" t="s">
        <v>3542</v>
      </c>
      <c r="C706" s="98" t="s">
        <v>3543</v>
      </c>
      <c r="D706" s="6" t="s">
        <v>34</v>
      </c>
      <c r="E706" s="98" t="s">
        <v>2597</v>
      </c>
      <c r="F706" s="7">
        <v>151.0</v>
      </c>
      <c r="G706" s="6" t="s">
        <v>21</v>
      </c>
      <c r="H706" s="7">
        <v>25000.0</v>
      </c>
      <c r="I706" s="8">
        <v>46146.0</v>
      </c>
      <c r="J706" s="6" t="s">
        <v>2582</v>
      </c>
      <c r="L706" s="10">
        <v>0.2916666666666667</v>
      </c>
      <c r="M706" s="10">
        <v>0.9166666666666666</v>
      </c>
      <c r="N706" s="6" t="s">
        <v>3544</v>
      </c>
      <c r="O706" s="11">
        <v>-7.2594155E7</v>
      </c>
      <c r="P706" s="11">
        <v>1.126633096E9</v>
      </c>
      <c r="Q706" s="12" t="s">
        <v>3545</v>
      </c>
    </row>
    <row r="707">
      <c r="A707" s="13">
        <f t="shared" si="1"/>
        <v>706</v>
      </c>
      <c r="B707" s="6" t="s">
        <v>3546</v>
      </c>
      <c r="C707" s="98" t="s">
        <v>3547</v>
      </c>
      <c r="D707" s="6" t="s">
        <v>46</v>
      </c>
      <c r="E707" s="98" t="s">
        <v>3548</v>
      </c>
      <c r="F707" s="7">
        <v>12406.0</v>
      </c>
      <c r="G707" s="6" t="s">
        <v>21</v>
      </c>
      <c r="H707" s="7">
        <v>0.0</v>
      </c>
      <c r="I707" s="8">
        <v>46238.0</v>
      </c>
      <c r="J707" s="6" t="s">
        <v>2582</v>
      </c>
      <c r="L707" s="10">
        <v>0.2916666666666667</v>
      </c>
      <c r="M707" s="10">
        <v>0.875</v>
      </c>
      <c r="N707" s="6" t="s">
        <v>3549</v>
      </c>
      <c r="O707" s="11">
        <v>-7.2635899E7</v>
      </c>
      <c r="P707" s="11">
        <v>1.127453173E9</v>
      </c>
      <c r="Q707" s="12" t="s">
        <v>3550</v>
      </c>
    </row>
    <row r="708">
      <c r="A708" s="13">
        <f t="shared" si="1"/>
        <v>707</v>
      </c>
      <c r="B708" s="6" t="s">
        <v>3551</v>
      </c>
      <c r="C708" s="98" t="s">
        <v>3552</v>
      </c>
      <c r="D708" s="6" t="s">
        <v>34</v>
      </c>
      <c r="E708" s="98" t="s">
        <v>2662</v>
      </c>
      <c r="F708" s="7">
        <v>5809.0</v>
      </c>
      <c r="G708" s="6" t="s">
        <v>21</v>
      </c>
      <c r="H708" s="7" t="s">
        <v>22</v>
      </c>
      <c r="I708" s="8">
        <v>46146.0</v>
      </c>
      <c r="J708" s="6" t="s">
        <v>2582</v>
      </c>
      <c r="L708" s="10">
        <v>0.875</v>
      </c>
      <c r="M708" s="10">
        <v>0.125</v>
      </c>
      <c r="N708" s="6" t="s">
        <v>3553</v>
      </c>
      <c r="O708" s="11">
        <v>-7.2842801E7</v>
      </c>
      <c r="P708" s="11">
        <v>1.127543599E9</v>
      </c>
      <c r="Q708" s="12" t="s">
        <v>3554</v>
      </c>
    </row>
    <row r="709">
      <c r="A709" s="13">
        <f t="shared" si="1"/>
        <v>708</v>
      </c>
      <c r="B709" s="6" t="s">
        <v>3555</v>
      </c>
      <c r="C709" s="98" t="s">
        <v>3556</v>
      </c>
      <c r="D709" s="6" t="s">
        <v>34</v>
      </c>
      <c r="E709" s="98" t="s">
        <v>2679</v>
      </c>
      <c r="F709" s="7">
        <v>867.0</v>
      </c>
      <c r="G709" s="6" t="s">
        <v>21</v>
      </c>
      <c r="H709" s="7">
        <v>25000.0</v>
      </c>
      <c r="I709" s="8">
        <v>46146.0</v>
      </c>
      <c r="J709" s="6" t="s">
        <v>2582</v>
      </c>
      <c r="L709" s="10">
        <v>0.4583333333333333</v>
      </c>
      <c r="M709" s="10">
        <v>0.75</v>
      </c>
      <c r="N709" s="6" t="s">
        <v>3557</v>
      </c>
      <c r="O709" s="11">
        <v>-7284567.0</v>
      </c>
      <c r="P709" s="11">
        <v>1.12731928E8</v>
      </c>
      <c r="Q709" s="12" t="s">
        <v>3558</v>
      </c>
    </row>
    <row r="710">
      <c r="A710" s="13">
        <f t="shared" si="1"/>
        <v>709</v>
      </c>
      <c r="B710" s="6" t="s">
        <v>3559</v>
      </c>
      <c r="C710" s="98" t="s">
        <v>3560</v>
      </c>
      <c r="D710" s="6" t="s">
        <v>34</v>
      </c>
      <c r="E710" s="98" t="s">
        <v>2817</v>
      </c>
      <c r="F710" s="7">
        <v>56.0</v>
      </c>
      <c r="G710" s="6" t="s">
        <v>21</v>
      </c>
      <c r="H710" s="7" t="s">
        <v>22</v>
      </c>
      <c r="I710" s="8">
        <v>46238.0</v>
      </c>
      <c r="J710" s="6" t="s">
        <v>2582</v>
      </c>
      <c r="L710" s="10">
        <v>0.4166666666666667</v>
      </c>
      <c r="M710" s="10">
        <v>0.9166666666666666</v>
      </c>
      <c r="N710" s="6" t="s">
        <v>3561</v>
      </c>
      <c r="O710" s="11">
        <v>-7.2655679E7</v>
      </c>
      <c r="P710" s="11">
        <v>1.128053637E9</v>
      </c>
      <c r="Q710" s="12" t="s">
        <v>3562</v>
      </c>
    </row>
    <row r="711">
      <c r="A711" s="13">
        <f t="shared" si="1"/>
        <v>710</v>
      </c>
      <c r="B711" s="6" t="s">
        <v>3563</v>
      </c>
      <c r="C711" s="98" t="s">
        <v>3564</v>
      </c>
      <c r="D711" s="6" t="s">
        <v>46</v>
      </c>
      <c r="E711" s="98" t="s">
        <v>3565</v>
      </c>
      <c r="F711" s="7">
        <v>2652.0</v>
      </c>
      <c r="G711" s="6" t="s">
        <v>21</v>
      </c>
      <c r="H711" s="7">
        <v>150000.0</v>
      </c>
      <c r="I711" s="8">
        <v>46238.0</v>
      </c>
      <c r="J711" s="6" t="s">
        <v>2582</v>
      </c>
      <c r="L711" s="10">
        <v>0.4166666666666667</v>
      </c>
      <c r="M711" s="10">
        <v>0.7083333333333334</v>
      </c>
      <c r="N711" s="6" t="s">
        <v>3566</v>
      </c>
      <c r="O711" s="11">
        <v>-7290009.0</v>
      </c>
      <c r="P711" s="11">
        <v>1.127064316E9</v>
      </c>
      <c r="Q711" s="12" t="s">
        <v>3567</v>
      </c>
    </row>
    <row r="712">
      <c r="A712" s="13">
        <f t="shared" si="1"/>
        <v>711</v>
      </c>
      <c r="B712" s="6" t="s">
        <v>3568</v>
      </c>
      <c r="C712" s="98" t="s">
        <v>3569</v>
      </c>
      <c r="D712" s="6" t="s">
        <v>46</v>
      </c>
      <c r="E712" s="98" t="s">
        <v>3570</v>
      </c>
      <c r="F712" s="7">
        <v>6258.0</v>
      </c>
      <c r="G712" s="6" t="s">
        <v>21</v>
      </c>
      <c r="H712" s="7">
        <v>15000.0</v>
      </c>
      <c r="I712" s="8">
        <v>46057.0</v>
      </c>
      <c r="J712" s="6" t="s">
        <v>2582</v>
      </c>
      <c r="L712" s="10">
        <v>0.375</v>
      </c>
      <c r="M712" s="10">
        <v>0.7083333333333334</v>
      </c>
      <c r="N712" s="6" t="s">
        <v>3571</v>
      </c>
      <c r="O712" s="11">
        <v>-7.2525912E7</v>
      </c>
      <c r="P712" s="11">
        <v>1.127969305E9</v>
      </c>
      <c r="Q712" s="12" t="s">
        <v>3572</v>
      </c>
    </row>
    <row r="713">
      <c r="A713" s="13">
        <f t="shared" si="1"/>
        <v>712</v>
      </c>
      <c r="B713" s="6" t="s">
        <v>3573</v>
      </c>
      <c r="C713" s="98" t="s">
        <v>3574</v>
      </c>
      <c r="D713" s="6" t="s">
        <v>46</v>
      </c>
      <c r="E713" s="98" t="s">
        <v>2629</v>
      </c>
      <c r="F713" s="7">
        <v>123.0</v>
      </c>
      <c r="G713" s="6" t="s">
        <v>21</v>
      </c>
      <c r="H713" s="7">
        <v>0.0</v>
      </c>
      <c r="I713" s="8">
        <v>46057.0</v>
      </c>
      <c r="J713" s="6" t="s">
        <v>2582</v>
      </c>
      <c r="L713" s="10">
        <v>0.0</v>
      </c>
      <c r="M713" s="10">
        <v>0.9993055555555556</v>
      </c>
      <c r="N713" s="6" t="s">
        <v>3575</v>
      </c>
      <c r="O713" s="11">
        <v>-7.2247451E7</v>
      </c>
      <c r="P713" s="11">
        <v>1.127717239E9</v>
      </c>
      <c r="Q713" s="12" t="s">
        <v>3576</v>
      </c>
    </row>
    <row r="714">
      <c r="A714" s="13">
        <f t="shared" si="1"/>
        <v>713</v>
      </c>
      <c r="B714" s="6" t="s">
        <v>3577</v>
      </c>
      <c r="C714" s="98" t="s">
        <v>3578</v>
      </c>
      <c r="D714" s="6" t="s">
        <v>34</v>
      </c>
      <c r="E714" s="98" t="s">
        <v>3025</v>
      </c>
      <c r="F714" s="7">
        <v>1050.0</v>
      </c>
      <c r="G714" s="6" t="s">
        <v>21</v>
      </c>
      <c r="H714" s="7">
        <v>25000.0</v>
      </c>
      <c r="I714" s="8">
        <v>46177.0</v>
      </c>
      <c r="J714" s="6" t="s">
        <v>2582</v>
      </c>
      <c r="L714" s="10">
        <v>0.20833333333333334</v>
      </c>
      <c r="M714" s="10">
        <v>0.8541666666666666</v>
      </c>
      <c r="N714" s="6" t="s">
        <v>3579</v>
      </c>
      <c r="O714" s="11">
        <v>-7.2933357E7</v>
      </c>
      <c r="P714" s="11">
        <v>1.127416048E9</v>
      </c>
      <c r="Q714" s="12" t="s">
        <v>3580</v>
      </c>
    </row>
    <row r="715">
      <c r="A715" s="13">
        <f t="shared" si="1"/>
        <v>714</v>
      </c>
      <c r="B715" s="6" t="s">
        <v>3581</v>
      </c>
      <c r="C715" s="98" t="s">
        <v>3582</v>
      </c>
      <c r="D715" s="6" t="s">
        <v>34</v>
      </c>
      <c r="E715" s="98" t="s">
        <v>2679</v>
      </c>
      <c r="F715" s="7">
        <v>1423.0</v>
      </c>
      <c r="G715" s="6" t="s">
        <v>21</v>
      </c>
      <c r="H715" s="7">
        <v>25000.0</v>
      </c>
      <c r="I715" s="8">
        <v>46207.0</v>
      </c>
      <c r="J715" s="6" t="s">
        <v>1438</v>
      </c>
      <c r="K715" s="6" t="s">
        <v>66</v>
      </c>
      <c r="L715" s="10">
        <v>0.375</v>
      </c>
      <c r="M715" s="10">
        <v>0.7083333333333334</v>
      </c>
      <c r="N715" s="6" t="s">
        <v>3583</v>
      </c>
      <c r="O715" s="11">
        <v>-724158.0</v>
      </c>
      <c r="P715" s="11">
        <v>1.127322633E9</v>
      </c>
      <c r="Q715" s="12" t="s">
        <v>3584</v>
      </c>
    </row>
    <row r="716">
      <c r="A716" s="13">
        <f t="shared" si="1"/>
        <v>715</v>
      </c>
      <c r="B716" s="6" t="s">
        <v>3585</v>
      </c>
      <c r="C716" s="98" t="s">
        <v>3586</v>
      </c>
      <c r="D716" s="6" t="s">
        <v>34</v>
      </c>
      <c r="E716" s="98" t="s">
        <v>2611</v>
      </c>
      <c r="F716" s="7">
        <v>162.0</v>
      </c>
      <c r="G716" s="6" t="s">
        <v>21</v>
      </c>
      <c r="H716" s="7">
        <v>250000.0</v>
      </c>
      <c r="I716" s="8">
        <v>46207.0</v>
      </c>
      <c r="J716" s="6" t="s">
        <v>2582</v>
      </c>
      <c r="L716" s="10">
        <v>0.25</v>
      </c>
      <c r="M716" s="10">
        <v>0.9166666666666666</v>
      </c>
      <c r="N716" s="6" t="s">
        <v>1130</v>
      </c>
      <c r="O716" s="11">
        <v>-7.2569375E7</v>
      </c>
      <c r="P716" s="11">
        <v>1.127365341E9</v>
      </c>
      <c r="Q716" s="12" t="s">
        <v>3587</v>
      </c>
    </row>
    <row r="717">
      <c r="A717" s="13">
        <f t="shared" si="1"/>
        <v>716</v>
      </c>
      <c r="B717" s="6" t="s">
        <v>3588</v>
      </c>
      <c r="C717" s="98" t="s">
        <v>3589</v>
      </c>
      <c r="D717" s="6" t="s">
        <v>34</v>
      </c>
      <c r="E717" s="98" t="s">
        <v>2634</v>
      </c>
      <c r="F717" s="7">
        <v>6587.0</v>
      </c>
      <c r="G717" s="6" t="s">
        <v>21</v>
      </c>
      <c r="H717" s="7" t="s">
        <v>22</v>
      </c>
      <c r="I717" s="8">
        <v>46146.0</v>
      </c>
      <c r="J717" s="6" t="s">
        <v>2582</v>
      </c>
      <c r="L717" s="10">
        <v>0.4166666666666667</v>
      </c>
      <c r="M717" s="10">
        <v>0.9166666666666666</v>
      </c>
      <c r="N717" s="6" t="s">
        <v>3590</v>
      </c>
      <c r="O717" s="11">
        <v>-7.2588342E7</v>
      </c>
      <c r="P717" s="11">
        <v>1.127552786E9</v>
      </c>
      <c r="Q717" s="12" t="s">
        <v>3591</v>
      </c>
    </row>
    <row r="718">
      <c r="A718" s="13">
        <f t="shared" si="1"/>
        <v>717</v>
      </c>
      <c r="B718" s="6" t="s">
        <v>3592</v>
      </c>
      <c r="C718" s="98" t="s">
        <v>3593</v>
      </c>
      <c r="D718" s="6" t="s">
        <v>34</v>
      </c>
      <c r="E718" s="98" t="s">
        <v>3133</v>
      </c>
      <c r="F718" s="7">
        <v>1179.0</v>
      </c>
      <c r="G718" s="6" t="s">
        <v>21</v>
      </c>
      <c r="H718" s="7" t="s">
        <v>22</v>
      </c>
      <c r="I718" s="8">
        <v>46057.0</v>
      </c>
      <c r="J718" s="6" t="s">
        <v>2582</v>
      </c>
      <c r="L718" s="10">
        <v>0.0</v>
      </c>
      <c r="M718" s="10">
        <v>0.0</v>
      </c>
      <c r="N718" s="6" t="s">
        <v>3594</v>
      </c>
      <c r="O718" s="11">
        <v>-7460179.0</v>
      </c>
      <c r="P718" s="11">
        <v>1.127176703E9</v>
      </c>
      <c r="Q718" s="12" t="s">
        <v>3595</v>
      </c>
    </row>
    <row r="719">
      <c r="A719" s="13">
        <f t="shared" si="1"/>
        <v>718</v>
      </c>
      <c r="B719" s="6" t="s">
        <v>3596</v>
      </c>
      <c r="C719" s="98" t="s">
        <v>3597</v>
      </c>
      <c r="D719" s="6" t="s">
        <v>34</v>
      </c>
      <c r="E719" s="98" t="s">
        <v>2597</v>
      </c>
      <c r="F719" s="7">
        <v>705.0</v>
      </c>
      <c r="G719" s="6" t="s">
        <v>21</v>
      </c>
      <c r="H719" s="7">
        <v>25000.0</v>
      </c>
      <c r="I719" s="8">
        <v>46085.0</v>
      </c>
      <c r="J719" s="6" t="s">
        <v>2582</v>
      </c>
      <c r="L719" s="10">
        <v>0.375</v>
      </c>
      <c r="M719" s="10">
        <v>0.875</v>
      </c>
      <c r="N719" s="6" t="s">
        <v>3598</v>
      </c>
      <c r="O719" s="11">
        <v>-7.2624706E7</v>
      </c>
      <c r="P719" s="11">
        <v>1.127447097E9</v>
      </c>
      <c r="Q719" s="12" t="s">
        <v>3599</v>
      </c>
    </row>
    <row r="720">
      <c r="A720" s="13">
        <f t="shared" si="1"/>
        <v>719</v>
      </c>
      <c r="B720" s="28" t="s">
        <v>3600</v>
      </c>
      <c r="C720" s="92" t="s">
        <v>3601</v>
      </c>
      <c r="D720" s="28" t="s">
        <v>46</v>
      </c>
      <c r="E720" s="92" t="s">
        <v>3602</v>
      </c>
      <c r="F720" s="28">
        <v>782.0</v>
      </c>
      <c r="G720" s="28" t="s">
        <v>21</v>
      </c>
      <c r="H720" s="28">
        <v>0.0</v>
      </c>
      <c r="I720" s="29">
        <v>46177.0</v>
      </c>
      <c r="J720" s="52" t="s">
        <v>23</v>
      </c>
      <c r="K720" s="30"/>
      <c r="L720" s="31">
        <v>0.25</v>
      </c>
      <c r="M720" s="31">
        <v>0.7083333333333334</v>
      </c>
      <c r="N720" s="94" t="s">
        <v>3603</v>
      </c>
      <c r="O720" s="94">
        <v>-7.2921284E7</v>
      </c>
      <c r="P720" s="94">
        <v>1.126693617E9</v>
      </c>
      <c r="Q720" s="12" t="s">
        <v>3604</v>
      </c>
    </row>
    <row r="721">
      <c r="A721" s="13">
        <f t="shared" si="1"/>
        <v>720</v>
      </c>
      <c r="B721" s="6" t="s">
        <v>3605</v>
      </c>
      <c r="C721" s="98" t="s">
        <v>3606</v>
      </c>
      <c r="D721" s="6" t="s">
        <v>19</v>
      </c>
      <c r="E721" s="98" t="s">
        <v>2592</v>
      </c>
      <c r="F721" s="7">
        <v>29.0</v>
      </c>
      <c r="G721" s="6" t="s">
        <v>21</v>
      </c>
      <c r="H721" s="7">
        <v>25000.0</v>
      </c>
      <c r="I721" s="8">
        <v>46269.0</v>
      </c>
      <c r="J721" s="52" t="s">
        <v>23</v>
      </c>
      <c r="L721" s="10">
        <v>0.0</v>
      </c>
      <c r="M721" s="10">
        <v>0.9993055555555556</v>
      </c>
      <c r="N721" s="6" t="s">
        <v>3607</v>
      </c>
      <c r="O721" s="11">
        <v>1.126693617E9</v>
      </c>
      <c r="P721" s="11">
        <v>1.126157369E9</v>
      </c>
      <c r="Q721" s="12" t="s">
        <v>3608</v>
      </c>
    </row>
    <row r="722">
      <c r="A722" s="13">
        <f t="shared" si="1"/>
        <v>721</v>
      </c>
      <c r="B722" s="6" t="s">
        <v>3609</v>
      </c>
      <c r="C722" s="98" t="s">
        <v>3610</v>
      </c>
      <c r="D722" s="6" t="s">
        <v>34</v>
      </c>
      <c r="E722" s="98" t="s">
        <v>2817</v>
      </c>
      <c r="F722" s="7">
        <v>525.0</v>
      </c>
      <c r="G722" s="6" t="s">
        <v>21</v>
      </c>
      <c r="H722" s="7">
        <v>25000.0</v>
      </c>
      <c r="I722" s="8">
        <v>46177.0</v>
      </c>
      <c r="J722" s="52" t="s">
        <v>23</v>
      </c>
      <c r="L722" s="10">
        <v>0.3333333333333333</v>
      </c>
      <c r="M722" s="10">
        <v>0.6666666666666666</v>
      </c>
      <c r="N722" s="6" t="s">
        <v>3611</v>
      </c>
      <c r="O722" s="11">
        <v>-7.2889434E7</v>
      </c>
      <c r="P722" s="11">
        <v>1.127522141E9</v>
      </c>
      <c r="Q722" s="12" t="s">
        <v>3612</v>
      </c>
    </row>
    <row r="723">
      <c r="A723" s="13">
        <f t="shared" si="1"/>
        <v>722</v>
      </c>
      <c r="B723" s="6" t="s">
        <v>3613</v>
      </c>
      <c r="C723" s="98" t="s">
        <v>3614</v>
      </c>
      <c r="D723" s="6" t="s">
        <v>19</v>
      </c>
      <c r="E723" s="98" t="s">
        <v>2726</v>
      </c>
      <c r="F723" s="7">
        <v>1045.0</v>
      </c>
      <c r="G723" s="6" t="s">
        <v>21</v>
      </c>
      <c r="H723" s="7" t="s">
        <v>22</v>
      </c>
      <c r="I723" s="8">
        <v>46269.0</v>
      </c>
      <c r="J723" s="52" t="s">
        <v>23</v>
      </c>
      <c r="L723" s="10">
        <v>0.4166666666666667</v>
      </c>
      <c r="M723" s="10">
        <v>0.9166666666666666</v>
      </c>
      <c r="N723" s="6" t="s">
        <v>3615</v>
      </c>
      <c r="O723" s="11">
        <v>-7.2592726E7</v>
      </c>
      <c r="P723" s="11">
        <v>1.127497086E9</v>
      </c>
      <c r="Q723" s="12" t="s">
        <v>3616</v>
      </c>
    </row>
    <row r="724">
      <c r="A724" s="13">
        <f t="shared" si="1"/>
        <v>723</v>
      </c>
      <c r="B724" s="9" t="s">
        <v>3617</v>
      </c>
      <c r="C724" s="100" t="s">
        <v>3618</v>
      </c>
      <c r="D724" s="9" t="s">
        <v>19</v>
      </c>
      <c r="E724" s="100" t="s">
        <v>3619</v>
      </c>
      <c r="F724" s="15">
        <v>1169.0</v>
      </c>
      <c r="G724" s="9" t="s">
        <v>21</v>
      </c>
      <c r="H724" s="26" t="s">
        <v>22</v>
      </c>
      <c r="I724" s="17">
        <v>46238.0</v>
      </c>
      <c r="J724" s="52" t="s">
        <v>23</v>
      </c>
      <c r="K724" s="9"/>
      <c r="L724" s="18">
        <v>0.3333333333333333</v>
      </c>
      <c r="M724" s="18">
        <v>0.9583333333333334</v>
      </c>
      <c r="N724" s="19" t="s">
        <v>3620</v>
      </c>
      <c r="O724" s="20" t="str">
        <f>IFERROR(__xludf.DUMMYFUNCTION("REGEXEXTRACT(N724,""^-?[0-9.]+"")"),"-7.265650203606776")</f>
        <v>-7.265650203606776</v>
      </c>
      <c r="P724" s="21" t="str">
        <f>IFERROR(__xludf.DUMMYFUNCTION("REGEXEXTRACT(N724,"",\s*(-?[0-9.]+)"")"),"112.73101092209022")</f>
        <v>112.73101092209022</v>
      </c>
      <c r="Q724" s="22" t="s">
        <v>3621</v>
      </c>
      <c r="R724" s="23"/>
      <c r="S724" s="23"/>
      <c r="T724" s="23"/>
      <c r="U724" s="23"/>
      <c r="V724" s="23"/>
      <c r="W724" s="23"/>
      <c r="X724" s="23"/>
      <c r="Y724" s="23"/>
      <c r="Z724" s="23"/>
      <c r="AA724" s="23"/>
      <c r="AB724" s="23"/>
    </row>
    <row r="725">
      <c r="A725" s="13">
        <f t="shared" si="1"/>
        <v>724</v>
      </c>
      <c r="B725" s="9" t="s">
        <v>3622</v>
      </c>
      <c r="C725" s="100" t="s">
        <v>3623</v>
      </c>
      <c r="D725" s="9" t="s">
        <v>19</v>
      </c>
      <c r="E725" s="100" t="s">
        <v>3624</v>
      </c>
      <c r="F725" s="15">
        <v>330.0</v>
      </c>
      <c r="G725" s="9" t="s">
        <v>21</v>
      </c>
      <c r="H725" s="26" t="s">
        <v>22</v>
      </c>
      <c r="I725" s="17">
        <v>46238.0</v>
      </c>
      <c r="J725" s="52" t="s">
        <v>23</v>
      </c>
      <c r="K725" s="9"/>
      <c r="L725" s="18">
        <v>0.2916666666666667</v>
      </c>
      <c r="M725" s="18">
        <v>0.9166666666666666</v>
      </c>
      <c r="N725" s="19" t="s">
        <v>3625</v>
      </c>
      <c r="O725" s="20" t="str">
        <f>IFERROR(__xludf.DUMMYFUNCTION("REGEXEXTRACT(N725,""^-?[0-9.]+"")"),"-7.288530167204297")</f>
        <v>-7.288530167204297</v>
      </c>
      <c r="P725" s="21" t="str">
        <f>IFERROR(__xludf.DUMMYFUNCTION("REGEXEXTRACT(N725,"",\s*(-?[0-9.]+)"")"),"112.73462718650826")</f>
        <v>112.73462718650826</v>
      </c>
      <c r="Q725" s="22" t="s">
        <v>3626</v>
      </c>
      <c r="R725" s="23"/>
      <c r="S725" s="23"/>
      <c r="T725" s="23"/>
      <c r="U725" s="23"/>
      <c r="V725" s="23"/>
      <c r="W725" s="23"/>
      <c r="X725" s="23"/>
      <c r="Y725" s="23"/>
      <c r="Z725" s="23"/>
      <c r="AA725" s="23"/>
      <c r="AB725" s="23"/>
      <c r="AC725" s="23"/>
      <c r="AD725" s="23"/>
      <c r="AE725" s="23"/>
    </row>
    <row r="726">
      <c r="A726" s="13">
        <f t="shared" si="1"/>
        <v>725</v>
      </c>
      <c r="B726" s="6" t="s">
        <v>3627</v>
      </c>
      <c r="C726" s="98" t="s">
        <v>3628</v>
      </c>
      <c r="D726" s="6" t="s">
        <v>34</v>
      </c>
      <c r="E726" s="98" t="s">
        <v>2580</v>
      </c>
      <c r="F726" s="7">
        <v>205.0</v>
      </c>
      <c r="G726" s="6" t="s">
        <v>21</v>
      </c>
      <c r="H726" s="7" t="s">
        <v>22</v>
      </c>
      <c r="I726" s="8">
        <v>46177.0</v>
      </c>
      <c r="J726" s="52" t="s">
        <v>23</v>
      </c>
      <c r="L726" s="10">
        <v>0.7083333333333334</v>
      </c>
      <c r="M726" s="10">
        <v>0.9166666666666666</v>
      </c>
      <c r="N726" s="6" t="s">
        <v>3629</v>
      </c>
      <c r="O726" s="11">
        <v>-7248906.0</v>
      </c>
      <c r="P726" s="11">
        <v>1.12748794E8</v>
      </c>
      <c r="Q726" s="12" t="s">
        <v>3630</v>
      </c>
      <c r="AC726" s="23"/>
      <c r="AD726" s="23"/>
      <c r="AE726" s="23"/>
    </row>
    <row r="727">
      <c r="A727" s="13">
        <f t="shared" si="1"/>
        <v>726</v>
      </c>
      <c r="B727" s="6" t="s">
        <v>3631</v>
      </c>
      <c r="C727" s="98" t="s">
        <v>3632</v>
      </c>
      <c r="D727" s="6" t="s">
        <v>34</v>
      </c>
      <c r="E727" s="98" t="s">
        <v>2597</v>
      </c>
      <c r="F727" s="7">
        <v>1170.0</v>
      </c>
      <c r="G727" s="6" t="s">
        <v>21</v>
      </c>
      <c r="H727" s="7">
        <v>25000.0</v>
      </c>
      <c r="I727" s="8">
        <v>46085.0</v>
      </c>
      <c r="J727" s="52" t="s">
        <v>23</v>
      </c>
      <c r="L727" s="10">
        <v>0.3333333333333333</v>
      </c>
      <c r="M727" s="10">
        <v>0.0</v>
      </c>
      <c r="N727" s="6" t="s">
        <v>3633</v>
      </c>
      <c r="O727" s="11">
        <v>-7.3094548E7</v>
      </c>
      <c r="P727" s="11">
        <v>1.127196133E9</v>
      </c>
      <c r="Q727" s="12" t="s">
        <v>3634</v>
      </c>
    </row>
    <row r="728">
      <c r="A728" s="13">
        <f t="shared" si="1"/>
        <v>727</v>
      </c>
      <c r="B728" s="6" t="s">
        <v>3635</v>
      </c>
      <c r="C728" s="98" t="s">
        <v>3636</v>
      </c>
      <c r="D728" s="6" t="s">
        <v>34</v>
      </c>
      <c r="E728" s="98" t="s">
        <v>3637</v>
      </c>
      <c r="F728" s="7">
        <v>161.0</v>
      </c>
      <c r="G728" s="6" t="s">
        <v>21</v>
      </c>
      <c r="H728" s="7">
        <v>25000.0</v>
      </c>
      <c r="I728" s="8">
        <v>46238.0</v>
      </c>
      <c r="J728" s="52" t="s">
        <v>23</v>
      </c>
      <c r="L728" s="10">
        <v>0.5416666666666666</v>
      </c>
      <c r="M728" s="10">
        <v>0.9166666666666666</v>
      </c>
      <c r="N728" s="6" t="s">
        <v>3638</v>
      </c>
      <c r="O728" s="11">
        <v>-7.3070553E7</v>
      </c>
      <c r="P728" s="11">
        <v>1.126701489E9</v>
      </c>
      <c r="Q728" s="12" t="s">
        <v>3639</v>
      </c>
    </row>
    <row r="729">
      <c r="A729" s="13">
        <f t="shared" si="1"/>
        <v>728</v>
      </c>
      <c r="B729" s="6" t="s">
        <v>3640</v>
      </c>
      <c r="C729" s="98" t="s">
        <v>3641</v>
      </c>
      <c r="D729" s="6" t="s">
        <v>34</v>
      </c>
      <c r="E729" s="98" t="s">
        <v>2623</v>
      </c>
      <c r="F729" s="7">
        <v>2117.0</v>
      </c>
      <c r="G729" s="6" t="s">
        <v>21</v>
      </c>
      <c r="H729" s="7">
        <v>25000.0</v>
      </c>
      <c r="I729" s="7" t="s">
        <v>485</v>
      </c>
      <c r="J729" s="52" t="s">
        <v>23</v>
      </c>
      <c r="L729" s="10">
        <v>0.375</v>
      </c>
      <c r="M729" s="10">
        <v>0.16666666666666666</v>
      </c>
      <c r="N729" s="6" t="s">
        <v>3642</v>
      </c>
      <c r="O729" s="11">
        <v>-7.2681961E7</v>
      </c>
      <c r="P729" s="11">
        <v>1.127349789E9</v>
      </c>
      <c r="Q729" s="12" t="s">
        <v>3643</v>
      </c>
    </row>
    <row r="730">
      <c r="A730" s="13">
        <f t="shared" si="1"/>
        <v>729</v>
      </c>
      <c r="B730" s="6" t="s">
        <v>3644</v>
      </c>
      <c r="C730" s="98" t="s">
        <v>3645</v>
      </c>
      <c r="D730" s="6" t="s">
        <v>34</v>
      </c>
      <c r="E730" s="98" t="s">
        <v>3062</v>
      </c>
      <c r="F730" s="7">
        <v>1094.0</v>
      </c>
      <c r="G730" s="6" t="s">
        <v>21</v>
      </c>
      <c r="H730" s="7" t="s">
        <v>22</v>
      </c>
      <c r="I730" s="8">
        <v>46177.0</v>
      </c>
      <c r="J730" s="52" t="s">
        <v>23</v>
      </c>
      <c r="L730" s="10">
        <v>0.4166666666666667</v>
      </c>
      <c r="M730" s="10">
        <v>0.7083333333333334</v>
      </c>
      <c r="N730" s="6" t="s">
        <v>3646</v>
      </c>
      <c r="O730" s="11">
        <v>-7.2855545E7</v>
      </c>
      <c r="P730" s="11">
        <v>1.127409039E9</v>
      </c>
      <c r="Q730" s="12" t="s">
        <v>3647</v>
      </c>
    </row>
    <row r="731">
      <c r="A731" s="13">
        <f t="shared" si="1"/>
        <v>730</v>
      </c>
      <c r="B731" s="6" t="s">
        <v>3648</v>
      </c>
      <c r="C731" s="98" t="s">
        <v>3649</v>
      </c>
      <c r="D731" s="6" t="s">
        <v>34</v>
      </c>
      <c r="E731" s="98" t="s">
        <v>2679</v>
      </c>
      <c r="F731" s="7">
        <v>369.0</v>
      </c>
      <c r="G731" s="6" t="s">
        <v>21</v>
      </c>
      <c r="H731" s="7">
        <v>25000.0</v>
      </c>
      <c r="I731" s="8">
        <v>46177.0</v>
      </c>
      <c r="J731" s="52" t="s">
        <v>23</v>
      </c>
      <c r="L731" s="10">
        <v>0.4166666666666667</v>
      </c>
      <c r="M731" s="10">
        <v>0.8333333333333334</v>
      </c>
      <c r="N731" s="6" t="s">
        <v>3650</v>
      </c>
      <c r="O731" s="11">
        <v>-7.2330095E7</v>
      </c>
      <c r="P731" s="11">
        <v>1.12723428E8</v>
      </c>
      <c r="Q731" s="12" t="s">
        <v>3651</v>
      </c>
    </row>
    <row r="732">
      <c r="A732" s="13">
        <f t="shared" si="1"/>
        <v>731</v>
      </c>
      <c r="B732" s="6" t="s">
        <v>3652</v>
      </c>
      <c r="C732" s="98" t="s">
        <v>3653</v>
      </c>
      <c r="D732" s="6" t="s">
        <v>34</v>
      </c>
      <c r="E732" s="98" t="s">
        <v>3654</v>
      </c>
      <c r="F732" s="7">
        <v>1609.0</v>
      </c>
      <c r="G732" s="6" t="s">
        <v>21</v>
      </c>
      <c r="H732" s="7" t="s">
        <v>22</v>
      </c>
      <c r="I732" s="8">
        <v>46085.0</v>
      </c>
      <c r="J732" s="52" t="s">
        <v>23</v>
      </c>
      <c r="L732" s="10">
        <v>0.7083333333333334</v>
      </c>
      <c r="M732" s="10">
        <v>0.0</v>
      </c>
      <c r="N732" s="6" t="s">
        <v>3655</v>
      </c>
      <c r="O732" s="11">
        <v>-7.2921546E7</v>
      </c>
      <c r="P732" s="11">
        <v>1.127502257E9</v>
      </c>
      <c r="Q732" s="12" t="s">
        <v>3656</v>
      </c>
    </row>
    <row r="733">
      <c r="A733" s="13">
        <f t="shared" si="1"/>
        <v>732</v>
      </c>
      <c r="B733" s="6" t="s">
        <v>3657</v>
      </c>
      <c r="C733" s="98" t="s">
        <v>3658</v>
      </c>
      <c r="D733" s="6" t="s">
        <v>34</v>
      </c>
      <c r="E733" s="98" t="s">
        <v>2744</v>
      </c>
      <c r="F733" s="7">
        <v>88.0</v>
      </c>
      <c r="G733" s="6" t="s">
        <v>21</v>
      </c>
      <c r="H733" s="7">
        <v>25000.0</v>
      </c>
      <c r="I733" s="8">
        <v>46207.0</v>
      </c>
      <c r="J733" s="52" t="s">
        <v>23</v>
      </c>
      <c r="L733" s="10">
        <v>0.7083333333333334</v>
      </c>
      <c r="M733" s="10">
        <v>0.9166666666666666</v>
      </c>
      <c r="N733" s="6" t="s">
        <v>3659</v>
      </c>
      <c r="O733" s="11">
        <v>-7.2554016E7</v>
      </c>
      <c r="P733" s="11">
        <v>1.127251419E9</v>
      </c>
      <c r="Q733" s="12" t="s">
        <v>3660</v>
      </c>
    </row>
    <row r="734">
      <c r="A734" s="13">
        <f t="shared" si="1"/>
        <v>733</v>
      </c>
      <c r="B734" s="6" t="s">
        <v>3661</v>
      </c>
      <c r="C734" s="98" t="s">
        <v>3662</v>
      </c>
      <c r="D734" s="6" t="s">
        <v>19</v>
      </c>
      <c r="E734" s="98" t="s">
        <v>2592</v>
      </c>
      <c r="F734" s="7">
        <v>417.0</v>
      </c>
      <c r="G734" s="6" t="s">
        <v>21</v>
      </c>
      <c r="H734" s="7" t="s">
        <v>22</v>
      </c>
      <c r="I734" s="8">
        <v>46207.0</v>
      </c>
      <c r="J734" s="52" t="s">
        <v>23</v>
      </c>
      <c r="L734" s="10">
        <v>0.2916666666666667</v>
      </c>
      <c r="M734" s="10">
        <v>0.9583333333333334</v>
      </c>
      <c r="N734" s="6" t="s">
        <v>3663</v>
      </c>
      <c r="O734" s="11">
        <v>-7.3314452E7</v>
      </c>
      <c r="P734" s="11">
        <v>1.127181276E9</v>
      </c>
      <c r="Q734" s="12" t="s">
        <v>3664</v>
      </c>
    </row>
    <row r="735">
      <c r="A735" s="13">
        <f t="shared" si="1"/>
        <v>734</v>
      </c>
      <c r="B735" s="6" t="s">
        <v>3665</v>
      </c>
      <c r="C735" s="98" t="s">
        <v>3666</v>
      </c>
      <c r="D735" s="6" t="s">
        <v>34</v>
      </c>
      <c r="E735" s="98" t="s">
        <v>2707</v>
      </c>
      <c r="F735" s="7">
        <v>449.0</v>
      </c>
      <c r="G735" s="6" t="s">
        <v>21</v>
      </c>
      <c r="H735" s="7">
        <v>250000.0</v>
      </c>
      <c r="I735" s="8">
        <v>46177.0</v>
      </c>
      <c r="J735" s="52" t="s">
        <v>23</v>
      </c>
      <c r="L735" s="10">
        <v>0.5</v>
      </c>
      <c r="M735" s="10">
        <v>0.9166666666666666</v>
      </c>
      <c r="N735" s="6" t="s">
        <v>3667</v>
      </c>
      <c r="O735" s="11">
        <v>-7259647.0</v>
      </c>
      <c r="P735" s="11">
        <v>1.12734734E8</v>
      </c>
      <c r="Q735" s="12" t="s">
        <v>3668</v>
      </c>
    </row>
    <row r="736">
      <c r="A736" s="13">
        <f t="shared" si="1"/>
        <v>735</v>
      </c>
      <c r="B736" s="6" t="s">
        <v>3669</v>
      </c>
      <c r="C736" s="98" t="s">
        <v>3670</v>
      </c>
      <c r="D736" s="6" t="s">
        <v>46</v>
      </c>
      <c r="E736" s="98" t="s">
        <v>2629</v>
      </c>
      <c r="F736" s="7">
        <v>1756.0</v>
      </c>
      <c r="G736" s="6" t="s">
        <v>21</v>
      </c>
      <c r="H736" s="7">
        <v>2000.0</v>
      </c>
      <c r="I736" s="8">
        <v>46116.0</v>
      </c>
      <c r="J736" s="52" t="s">
        <v>23</v>
      </c>
      <c r="L736" s="31">
        <v>0.0</v>
      </c>
      <c r="M736" s="31">
        <v>0.9576388888888889</v>
      </c>
      <c r="N736" s="6" t="s">
        <v>3671</v>
      </c>
      <c r="O736" s="11">
        <v>-7.2420068E7</v>
      </c>
      <c r="P736" s="11">
        <v>1.126297684E9</v>
      </c>
      <c r="Q736" s="12" t="s">
        <v>3672</v>
      </c>
    </row>
    <row r="737">
      <c r="A737" s="13">
        <f t="shared" si="1"/>
        <v>736</v>
      </c>
      <c r="B737" s="28" t="s">
        <v>3673</v>
      </c>
      <c r="C737" s="92" t="s">
        <v>3674</v>
      </c>
      <c r="D737" s="28" t="s">
        <v>46</v>
      </c>
      <c r="E737" s="92" t="s">
        <v>3675</v>
      </c>
      <c r="F737" s="28">
        <v>85.0</v>
      </c>
      <c r="G737" s="28" t="s">
        <v>21</v>
      </c>
      <c r="H737" s="28">
        <v>0.0</v>
      </c>
      <c r="I737" s="29">
        <v>46116.0</v>
      </c>
      <c r="J737" s="52" t="s">
        <v>23</v>
      </c>
      <c r="K737" s="30"/>
      <c r="L737" s="31">
        <v>0.0</v>
      </c>
      <c r="M737" s="31">
        <v>0.9993055555555556</v>
      </c>
      <c r="N737" s="96" t="s">
        <v>3676</v>
      </c>
      <c r="O737" s="95">
        <v>-7.2331605E7</v>
      </c>
      <c r="P737" s="95">
        <v>1.127902023E9</v>
      </c>
      <c r="Q737" s="42" t="s">
        <v>3677</v>
      </c>
      <c r="R737" s="43"/>
      <c r="S737" s="43"/>
      <c r="T737" s="43"/>
      <c r="U737" s="43"/>
      <c r="V737" s="43"/>
      <c r="W737" s="43"/>
      <c r="X737" s="43"/>
      <c r="Y737" s="43"/>
      <c r="Z737" s="43"/>
      <c r="AA737" s="43"/>
      <c r="AB737" s="43"/>
    </row>
    <row r="738">
      <c r="A738" s="13">
        <f t="shared" si="1"/>
        <v>737</v>
      </c>
      <c r="B738" s="6" t="s">
        <v>3678</v>
      </c>
      <c r="C738" s="98" t="s">
        <v>3679</v>
      </c>
      <c r="D738" s="6" t="s">
        <v>46</v>
      </c>
      <c r="E738" s="98" t="s">
        <v>2970</v>
      </c>
      <c r="F738" s="7">
        <v>20.0</v>
      </c>
      <c r="G738" s="6" t="s">
        <v>21</v>
      </c>
      <c r="H738" s="7">
        <v>0.0</v>
      </c>
      <c r="I738" s="8">
        <v>46116.0</v>
      </c>
      <c r="J738" s="52" t="s">
        <v>23</v>
      </c>
      <c r="L738" s="31">
        <v>0.0</v>
      </c>
      <c r="M738" s="31">
        <v>0.9993055555555556</v>
      </c>
      <c r="N738" s="6" t="s">
        <v>3680</v>
      </c>
      <c r="O738" s="11">
        <v>-7.3017507E7</v>
      </c>
      <c r="P738" s="11">
        <v>1.12744372E8</v>
      </c>
      <c r="Q738" s="12" t="s">
        <v>3681</v>
      </c>
      <c r="AC738" s="43"/>
      <c r="AD738" s="43"/>
      <c r="AE738" s="43"/>
    </row>
    <row r="739">
      <c r="A739" s="13">
        <f t="shared" si="1"/>
        <v>738</v>
      </c>
      <c r="B739" s="6" t="s">
        <v>3682</v>
      </c>
      <c r="C739" s="98" t="s">
        <v>3683</v>
      </c>
      <c r="D739" s="6" t="s">
        <v>34</v>
      </c>
      <c r="E739" s="98" t="s">
        <v>2580</v>
      </c>
      <c r="F739" s="7">
        <v>658.0</v>
      </c>
      <c r="G739" s="6" t="s">
        <v>21</v>
      </c>
      <c r="H739" s="7" t="s">
        <v>1306</v>
      </c>
      <c r="I739" s="8">
        <v>46116.0</v>
      </c>
      <c r="J739" s="52" t="s">
        <v>23</v>
      </c>
      <c r="L739" s="10">
        <v>0.4583333333333333</v>
      </c>
      <c r="M739" s="10">
        <v>0.875</v>
      </c>
      <c r="N739" s="6" t="s">
        <v>3684</v>
      </c>
      <c r="O739" s="11">
        <v>-7304443.0</v>
      </c>
      <c r="P739" s="11">
        <v>1.12781004E8</v>
      </c>
      <c r="Q739" s="12" t="s">
        <v>3685</v>
      </c>
    </row>
    <row r="740">
      <c r="A740" s="13">
        <f t="shared" si="1"/>
        <v>739</v>
      </c>
      <c r="B740" s="6" t="s">
        <v>3686</v>
      </c>
      <c r="C740" s="98" t="s">
        <v>3687</v>
      </c>
      <c r="D740" s="6" t="s">
        <v>46</v>
      </c>
      <c r="E740" s="98" t="s">
        <v>2617</v>
      </c>
      <c r="F740" s="7">
        <v>16814.0</v>
      </c>
      <c r="G740" s="6" t="s">
        <v>21</v>
      </c>
      <c r="H740" s="7">
        <v>15000.0</v>
      </c>
      <c r="I740" s="8">
        <v>46146.0</v>
      </c>
      <c r="J740" s="52" t="s">
        <v>23</v>
      </c>
      <c r="L740" s="10">
        <v>0.3333333333333333</v>
      </c>
      <c r="M740" s="10">
        <v>0.875</v>
      </c>
      <c r="N740" s="6" t="s">
        <v>3688</v>
      </c>
      <c r="O740" s="11">
        <v>-7265591.0</v>
      </c>
      <c r="P740" s="11">
        <v>1.127503272E9</v>
      </c>
      <c r="Q740" s="12" t="s">
        <v>3689</v>
      </c>
    </row>
    <row r="741">
      <c r="A741" s="13">
        <f t="shared" si="1"/>
        <v>740</v>
      </c>
      <c r="B741" s="6" t="s">
        <v>3690</v>
      </c>
      <c r="C741" s="98" t="s">
        <v>3691</v>
      </c>
      <c r="D741" s="6" t="s">
        <v>19</v>
      </c>
      <c r="E741" s="98" t="s">
        <v>2726</v>
      </c>
      <c r="F741" s="7">
        <v>241.0</v>
      </c>
      <c r="G741" s="6" t="s">
        <v>21</v>
      </c>
      <c r="H741" s="7" t="s">
        <v>221</v>
      </c>
      <c r="I741" s="8">
        <v>46207.0</v>
      </c>
      <c r="J741" s="52" t="s">
        <v>23</v>
      </c>
      <c r="L741" s="10">
        <v>0.4166666666666667</v>
      </c>
      <c r="M741" s="10">
        <v>0.9166666666666666</v>
      </c>
      <c r="N741" s="6" t="s">
        <v>3692</v>
      </c>
      <c r="O741" s="11">
        <v>-7.3176746E7</v>
      </c>
      <c r="P741" s="11">
        <v>1.12745818E8</v>
      </c>
      <c r="Q741" s="12" t="s">
        <v>3693</v>
      </c>
    </row>
    <row r="742">
      <c r="A742" s="13">
        <f t="shared" si="1"/>
        <v>741</v>
      </c>
      <c r="B742" s="6" t="s">
        <v>3694</v>
      </c>
      <c r="C742" s="98" t="s">
        <v>3695</v>
      </c>
      <c r="D742" s="6" t="s">
        <v>34</v>
      </c>
      <c r="E742" s="98" t="s">
        <v>2623</v>
      </c>
      <c r="F742" s="7">
        <v>46.0</v>
      </c>
      <c r="G742" s="6" t="s">
        <v>21</v>
      </c>
      <c r="H742" s="7" t="s">
        <v>22</v>
      </c>
      <c r="I742" s="8">
        <v>46146.0</v>
      </c>
      <c r="J742" s="52" t="s">
        <v>23</v>
      </c>
      <c r="K742" s="6" t="s">
        <v>830</v>
      </c>
      <c r="L742" s="10">
        <v>0.8958333333333334</v>
      </c>
      <c r="M742" s="10">
        <v>0.041666666666666664</v>
      </c>
      <c r="N742" s="6" t="s">
        <v>3696</v>
      </c>
      <c r="O742" s="11">
        <v>-7.3220213E7</v>
      </c>
      <c r="P742" s="11">
        <v>1.127787137E9</v>
      </c>
      <c r="Q742" s="12" t="s">
        <v>3697</v>
      </c>
    </row>
    <row r="743">
      <c r="A743" s="13">
        <f t="shared" si="1"/>
        <v>742</v>
      </c>
      <c r="B743" s="6" t="s">
        <v>3698</v>
      </c>
      <c r="C743" s="98" t="s">
        <v>3699</v>
      </c>
      <c r="D743" s="6" t="s">
        <v>34</v>
      </c>
      <c r="E743" s="98" t="s">
        <v>2679</v>
      </c>
      <c r="F743" s="7">
        <v>1756.0</v>
      </c>
      <c r="G743" s="6" t="s">
        <v>21</v>
      </c>
      <c r="H743" s="7">
        <v>25000.0</v>
      </c>
      <c r="I743" s="8">
        <v>46116.0</v>
      </c>
      <c r="J743" s="52" t="s">
        <v>23</v>
      </c>
      <c r="L743" s="10">
        <v>0.4166666666666667</v>
      </c>
      <c r="M743" s="10">
        <v>0.0</v>
      </c>
      <c r="N743" s="6" t="s">
        <v>3700</v>
      </c>
      <c r="O743" s="11">
        <v>-7.2565314E7</v>
      </c>
      <c r="P743" s="11">
        <v>1.127218806E9</v>
      </c>
      <c r="Q743" s="12" t="s">
        <v>3701</v>
      </c>
    </row>
    <row r="744">
      <c r="A744" s="13">
        <f t="shared" si="1"/>
        <v>743</v>
      </c>
      <c r="B744" s="6" t="s">
        <v>3702</v>
      </c>
      <c r="C744" s="98" t="s">
        <v>3703</v>
      </c>
      <c r="D744" s="6" t="s">
        <v>34</v>
      </c>
      <c r="E744" s="98" t="s">
        <v>2597</v>
      </c>
      <c r="F744" s="7">
        <v>244.0</v>
      </c>
      <c r="G744" s="6" t="s">
        <v>21</v>
      </c>
      <c r="H744" s="7">
        <v>25000.0</v>
      </c>
      <c r="I744" s="8">
        <v>46116.0</v>
      </c>
      <c r="J744" s="52" t="s">
        <v>23</v>
      </c>
      <c r="L744" s="10">
        <v>0.25</v>
      </c>
      <c r="M744" s="10">
        <v>0.9166666666666666</v>
      </c>
      <c r="N744" s="6" t="s">
        <v>3704</v>
      </c>
      <c r="O744" s="11">
        <v>-7.2673172E7</v>
      </c>
      <c r="P744" s="11">
        <v>1.127561795E9</v>
      </c>
      <c r="Q744" s="12" t="s">
        <v>3705</v>
      </c>
    </row>
    <row r="745">
      <c r="A745" s="13">
        <f t="shared" si="1"/>
        <v>744</v>
      </c>
      <c r="B745" s="6" t="s">
        <v>865</v>
      </c>
      <c r="C745" s="98" t="s">
        <v>3706</v>
      </c>
      <c r="D745" s="6" t="s">
        <v>34</v>
      </c>
      <c r="E745" s="98" t="s">
        <v>2679</v>
      </c>
      <c r="F745" s="7">
        <v>735.0</v>
      </c>
      <c r="G745" s="6" t="s">
        <v>21</v>
      </c>
      <c r="H745" s="7">
        <v>25000.0</v>
      </c>
      <c r="I745" s="8">
        <v>46116.0</v>
      </c>
      <c r="J745" s="52" t="s">
        <v>23</v>
      </c>
      <c r="L745" s="10">
        <v>0.5</v>
      </c>
      <c r="M745" s="10">
        <v>0.8958333333333334</v>
      </c>
      <c r="N745" s="6" t="s">
        <v>3707</v>
      </c>
      <c r="O745" s="11">
        <v>-7281993.0</v>
      </c>
      <c r="P745" s="11">
        <v>1.127163115E9</v>
      </c>
      <c r="Q745" s="12" t="s">
        <v>3708</v>
      </c>
    </row>
    <row r="746">
      <c r="A746" s="13">
        <f t="shared" si="1"/>
        <v>745</v>
      </c>
      <c r="B746" s="6" t="s">
        <v>3709</v>
      </c>
      <c r="C746" s="98" t="s">
        <v>3710</v>
      </c>
      <c r="D746" s="6" t="s">
        <v>34</v>
      </c>
      <c r="E746" s="98" t="s">
        <v>3711</v>
      </c>
      <c r="F746" s="7">
        <v>3882.0</v>
      </c>
      <c r="G746" s="6" t="s">
        <v>21</v>
      </c>
      <c r="H746" s="7" t="s">
        <v>3712</v>
      </c>
      <c r="I746" s="8">
        <v>46177.0</v>
      </c>
      <c r="J746" s="52" t="s">
        <v>23</v>
      </c>
      <c r="L746" s="10">
        <v>0.4583333333333333</v>
      </c>
      <c r="M746" s="10">
        <v>0.0</v>
      </c>
      <c r="N746" s="6" t="s">
        <v>3713</v>
      </c>
      <c r="O746" s="11">
        <v>-7.2692707E7</v>
      </c>
      <c r="P746" s="11">
        <v>1.127501173E9</v>
      </c>
      <c r="Q746" s="12" t="s">
        <v>3714</v>
      </c>
    </row>
    <row r="747">
      <c r="A747" s="13">
        <f t="shared" si="1"/>
        <v>746</v>
      </c>
      <c r="B747" s="6" t="s">
        <v>3715</v>
      </c>
      <c r="C747" s="98" t="s">
        <v>3716</v>
      </c>
      <c r="D747" s="6" t="s">
        <v>34</v>
      </c>
      <c r="E747" s="98" t="s">
        <v>2597</v>
      </c>
      <c r="F747" s="7">
        <v>469.0</v>
      </c>
      <c r="G747" s="6" t="s">
        <v>21</v>
      </c>
      <c r="H747" s="7" t="s">
        <v>22</v>
      </c>
      <c r="I747" s="8">
        <v>46116.0</v>
      </c>
      <c r="J747" s="52" t="s">
        <v>23</v>
      </c>
      <c r="L747" s="10">
        <v>0.375</v>
      </c>
      <c r="M747" s="10">
        <v>0.9583333333333334</v>
      </c>
      <c r="N747" s="6" t="s">
        <v>3717</v>
      </c>
      <c r="O747" s="11">
        <v>-7.2692136E7</v>
      </c>
      <c r="P747" s="11">
        <v>1.127405024E9</v>
      </c>
      <c r="Q747" s="12" t="s">
        <v>3718</v>
      </c>
    </row>
    <row r="748">
      <c r="A748" s="13">
        <f t="shared" si="1"/>
        <v>747</v>
      </c>
      <c r="B748" s="36" t="s">
        <v>3719</v>
      </c>
      <c r="C748" s="97" t="s">
        <v>3720</v>
      </c>
      <c r="D748" s="36" t="s">
        <v>34</v>
      </c>
      <c r="E748" s="97" t="s">
        <v>3721</v>
      </c>
      <c r="F748" s="15">
        <v>8525.0</v>
      </c>
      <c r="G748" s="36" t="s">
        <v>21</v>
      </c>
      <c r="H748" s="79" t="s">
        <v>72</v>
      </c>
      <c r="I748" s="39">
        <v>46146.0</v>
      </c>
      <c r="J748" s="52" t="s">
        <v>23</v>
      </c>
      <c r="K748" s="40"/>
      <c r="L748" s="105">
        <v>0.4583333333333333</v>
      </c>
      <c r="M748" s="105">
        <v>0.9583333333333334</v>
      </c>
      <c r="N748" s="19" t="s">
        <v>3722</v>
      </c>
      <c r="O748" s="19" t="s">
        <v>3723</v>
      </c>
      <c r="P748" s="21" t="s">
        <v>3724</v>
      </c>
      <c r="Q748" s="42" t="s">
        <v>3725</v>
      </c>
      <c r="R748" s="43"/>
      <c r="S748" s="43"/>
      <c r="T748" s="43"/>
      <c r="U748" s="43"/>
      <c r="V748" s="43"/>
      <c r="W748" s="43"/>
      <c r="X748" s="43"/>
      <c r="Y748" s="43"/>
      <c r="Z748" s="43"/>
      <c r="AA748" s="43"/>
      <c r="AB748" s="43"/>
    </row>
    <row r="749">
      <c r="A749" s="13">
        <f t="shared" si="1"/>
        <v>748</v>
      </c>
      <c r="B749" s="6" t="s">
        <v>3726</v>
      </c>
      <c r="C749" s="98" t="s">
        <v>3727</v>
      </c>
      <c r="D749" s="6" t="s">
        <v>34</v>
      </c>
      <c r="E749" s="98" t="s">
        <v>2580</v>
      </c>
      <c r="F749" s="7">
        <v>984.0</v>
      </c>
      <c r="G749" s="6" t="s">
        <v>21</v>
      </c>
      <c r="H749" s="7" t="s">
        <v>22</v>
      </c>
      <c r="I749" s="8">
        <v>46238.0</v>
      </c>
      <c r="J749" s="52" t="s">
        <v>23</v>
      </c>
      <c r="L749" s="10">
        <v>0.5</v>
      </c>
      <c r="M749" s="10">
        <v>0.9583333333333334</v>
      </c>
      <c r="N749" s="6" t="s">
        <v>3728</v>
      </c>
      <c r="O749" s="11">
        <v>-7.2430094E7</v>
      </c>
      <c r="P749" s="11">
        <v>1.126310949E9</v>
      </c>
      <c r="Q749" s="12" t="s">
        <v>3729</v>
      </c>
      <c r="AC749" s="43"/>
      <c r="AD749" s="43"/>
      <c r="AE749" s="43"/>
    </row>
    <row r="750">
      <c r="A750" s="13">
        <f t="shared" si="1"/>
        <v>749</v>
      </c>
      <c r="B750" s="6" t="s">
        <v>3730</v>
      </c>
      <c r="C750" s="98" t="s">
        <v>3731</v>
      </c>
      <c r="D750" s="6" t="s">
        <v>3732</v>
      </c>
      <c r="E750" s="98" t="s">
        <v>2629</v>
      </c>
      <c r="F750" s="7">
        <v>3.0</v>
      </c>
      <c r="G750" s="6" t="s">
        <v>21</v>
      </c>
      <c r="H750" s="7">
        <v>0.0</v>
      </c>
      <c r="I750" s="8">
        <v>46207.0</v>
      </c>
      <c r="J750" s="52" t="s">
        <v>23</v>
      </c>
      <c r="L750" s="10">
        <v>0.0</v>
      </c>
      <c r="M750" s="10">
        <v>0.9993055555555556</v>
      </c>
      <c r="N750" s="6" t="s">
        <v>3733</v>
      </c>
      <c r="O750" s="11">
        <v>-7.3314015E7</v>
      </c>
      <c r="P750" s="11">
        <v>1.127815532E9</v>
      </c>
      <c r="Q750" s="12" t="s">
        <v>3734</v>
      </c>
    </row>
    <row r="751">
      <c r="A751" s="13">
        <f t="shared" si="1"/>
        <v>750</v>
      </c>
      <c r="B751" s="6" t="s">
        <v>3735</v>
      </c>
      <c r="C751" s="98" t="s">
        <v>3736</v>
      </c>
      <c r="D751" s="6" t="s">
        <v>34</v>
      </c>
      <c r="E751" s="98" t="s">
        <v>3079</v>
      </c>
      <c r="F751" s="7">
        <v>5987.0</v>
      </c>
      <c r="G751" s="6" t="s">
        <v>21</v>
      </c>
      <c r="H751" s="7">
        <v>25000.0</v>
      </c>
      <c r="I751" s="8">
        <v>46057.0</v>
      </c>
      <c r="J751" s="52" t="s">
        <v>23</v>
      </c>
      <c r="L751" s="10">
        <v>0.375</v>
      </c>
      <c r="M751" s="10">
        <v>0.10416666666666667</v>
      </c>
      <c r="N751" s="6" t="s">
        <v>3737</v>
      </c>
      <c r="O751" s="11">
        <v>-7.3032388E7</v>
      </c>
      <c r="P751" s="11">
        <v>1.127490363E9</v>
      </c>
      <c r="Q751" s="12" t="s">
        <v>3738</v>
      </c>
    </row>
    <row r="752">
      <c r="A752" s="13">
        <f t="shared" si="1"/>
        <v>751</v>
      </c>
      <c r="B752" s="43" t="s">
        <v>3739</v>
      </c>
      <c r="C752" s="100" t="s">
        <v>3740</v>
      </c>
      <c r="D752" s="43" t="s">
        <v>19</v>
      </c>
      <c r="E752" s="49" t="s">
        <v>3741</v>
      </c>
      <c r="F752" s="26">
        <v>800.0</v>
      </c>
      <c r="G752" s="43" t="s">
        <v>21</v>
      </c>
      <c r="H752" s="26" t="s">
        <v>22</v>
      </c>
      <c r="I752" s="17">
        <v>46146.0</v>
      </c>
      <c r="J752" s="43" t="s">
        <v>23</v>
      </c>
      <c r="K752" s="43"/>
      <c r="L752" s="18">
        <v>0.0</v>
      </c>
      <c r="M752" s="18">
        <v>0.9993055555555556</v>
      </c>
      <c r="N752" s="19" t="s">
        <v>3742</v>
      </c>
      <c r="O752" s="43" t="str">
        <f>IFERROR(__xludf.DUMMYFUNCTION("REGEXEXTRACT(N752,""^-?[0-9.]+"")"),"-7.326208289939449")</f>
        <v>-7.326208289939449</v>
      </c>
      <c r="P752" s="21" t="str">
        <f>IFERROR(__xludf.DUMMYFUNCTION("REGEXEXTRACT(N752,"",\s*(-?[0-9.]+)"")"),"112.78087556362767")</f>
        <v>112.78087556362767</v>
      </c>
      <c r="Q752" s="22" t="s">
        <v>3743</v>
      </c>
      <c r="R752" s="23"/>
      <c r="S752" s="23"/>
      <c r="T752" s="23"/>
      <c r="U752" s="23"/>
      <c r="V752" s="23"/>
      <c r="W752" s="23"/>
      <c r="X752" s="23"/>
      <c r="Y752" s="23"/>
      <c r="Z752" s="23"/>
      <c r="AA752" s="23"/>
      <c r="AB752" s="23"/>
    </row>
    <row r="753">
      <c r="A753" s="13">
        <f t="shared" si="1"/>
        <v>752</v>
      </c>
      <c r="B753" s="43" t="s">
        <v>3744</v>
      </c>
      <c r="C753" s="100" t="s">
        <v>3745</v>
      </c>
      <c r="D753" s="43" t="s">
        <v>19</v>
      </c>
      <c r="E753" s="49" t="s">
        <v>3746</v>
      </c>
      <c r="F753" s="26">
        <v>1021.0</v>
      </c>
      <c r="G753" s="43" t="s">
        <v>21</v>
      </c>
      <c r="H753" s="26" t="s">
        <v>450</v>
      </c>
      <c r="I753" s="17">
        <v>46146.0</v>
      </c>
      <c r="J753" s="43" t="s">
        <v>23</v>
      </c>
      <c r="K753" s="43"/>
      <c r="L753" s="18">
        <v>0.3541666666666667</v>
      </c>
      <c r="M753" s="18">
        <v>0.9166666666666666</v>
      </c>
      <c r="N753" s="19" t="s">
        <v>3747</v>
      </c>
      <c r="O753" s="43" t="str">
        <f>IFERROR(__xludf.DUMMYFUNCTION("REGEXEXTRACT(N753,""^-?[0-9.]+"")"),"-7.261307858662409")</f>
        <v>-7.261307858662409</v>
      </c>
      <c r="P753" s="21" t="str">
        <f>IFERROR(__xludf.DUMMYFUNCTION("REGEXEXTRACT(N753,"",\s*(-?[0-9.]+)"")"),"112.73964705092631")</f>
        <v>112.73964705092631</v>
      </c>
      <c r="Q753" s="22" t="s">
        <v>3748</v>
      </c>
      <c r="R753" s="23"/>
      <c r="S753" s="23"/>
      <c r="T753" s="23"/>
      <c r="U753" s="23"/>
      <c r="V753" s="23"/>
      <c r="W753" s="23"/>
      <c r="X753" s="23"/>
      <c r="Y753" s="23"/>
      <c r="Z753" s="23"/>
      <c r="AA753" s="23"/>
      <c r="AB753" s="23"/>
      <c r="AC753" s="23"/>
      <c r="AD753" s="23"/>
      <c r="AE753" s="23"/>
    </row>
    <row r="754">
      <c r="A754" s="13">
        <f t="shared" si="1"/>
        <v>753</v>
      </c>
      <c r="B754" s="28" t="s">
        <v>3749</v>
      </c>
      <c r="C754" s="92" t="s">
        <v>3750</v>
      </c>
      <c r="D754" s="28" t="s">
        <v>46</v>
      </c>
      <c r="E754" s="28" t="s">
        <v>3751</v>
      </c>
      <c r="F754" s="28">
        <v>2586.0</v>
      </c>
      <c r="G754" s="28" t="s">
        <v>21</v>
      </c>
      <c r="H754" s="28">
        <v>0.0</v>
      </c>
      <c r="I754" s="29">
        <v>46238.0</v>
      </c>
      <c r="J754" s="52" t="s">
        <v>23</v>
      </c>
      <c r="K754" s="30"/>
      <c r="L754" s="31">
        <v>0.0</v>
      </c>
      <c r="M754" s="31">
        <v>0.9993055555555556</v>
      </c>
      <c r="N754" s="48" t="s">
        <v>3752</v>
      </c>
      <c r="O754" s="94">
        <v>-7.2298511E7</v>
      </c>
      <c r="P754" s="85">
        <v>1.127425029E9</v>
      </c>
      <c r="Q754" s="42" t="s">
        <v>3753</v>
      </c>
      <c r="R754" s="43"/>
      <c r="S754" s="43"/>
      <c r="T754" s="43"/>
      <c r="AC754" s="23"/>
      <c r="AD754" s="23"/>
      <c r="AE754" s="23"/>
    </row>
    <row r="755">
      <c r="A755" s="13">
        <f t="shared" si="1"/>
        <v>754</v>
      </c>
      <c r="B755" s="28" t="s">
        <v>3754</v>
      </c>
      <c r="C755" s="92" t="s">
        <v>3755</v>
      </c>
      <c r="D755" s="28" t="s">
        <v>46</v>
      </c>
      <c r="E755" s="28" t="s">
        <v>3756</v>
      </c>
      <c r="F755" s="28">
        <v>14.0</v>
      </c>
      <c r="G755" s="28" t="s">
        <v>21</v>
      </c>
      <c r="H755" s="28">
        <v>0.0</v>
      </c>
      <c r="I755" s="29">
        <v>46269.0</v>
      </c>
      <c r="J755" s="52" t="s">
        <v>23</v>
      </c>
      <c r="K755" s="30"/>
      <c r="L755" s="31">
        <v>0.3333333333333333</v>
      </c>
      <c r="M755" s="31">
        <v>0.9166666666666666</v>
      </c>
      <c r="N755" s="94" t="s">
        <v>3757</v>
      </c>
      <c r="O755" s="94">
        <v>-7.3321946E7</v>
      </c>
      <c r="P755" s="94">
        <v>1.126907989E9</v>
      </c>
      <c r="Q755" s="42" t="s">
        <v>3758</v>
      </c>
      <c r="R755" s="43"/>
      <c r="S755" s="43"/>
    </row>
    <row r="756">
      <c r="A756" s="13">
        <f t="shared" si="1"/>
        <v>755</v>
      </c>
      <c r="B756" s="43" t="s">
        <v>3759</v>
      </c>
      <c r="C756" s="100" t="s">
        <v>3760</v>
      </c>
      <c r="D756" s="43" t="s">
        <v>19</v>
      </c>
      <c r="E756" s="49" t="s">
        <v>3761</v>
      </c>
      <c r="F756" s="26">
        <v>640.0</v>
      </c>
      <c r="G756" s="43" t="s">
        <v>21</v>
      </c>
      <c r="H756" s="26" t="s">
        <v>22</v>
      </c>
      <c r="I756" s="17">
        <v>46177.0</v>
      </c>
      <c r="J756" s="43" t="s">
        <v>23</v>
      </c>
      <c r="K756" s="43"/>
      <c r="L756" s="18">
        <v>0.0</v>
      </c>
      <c r="M756" s="18">
        <v>0.9993055555555556</v>
      </c>
      <c r="N756" s="19" t="s">
        <v>3762</v>
      </c>
      <c r="O756" s="43" t="str">
        <f>IFERROR(__xludf.DUMMYFUNCTION("REGEXEXTRACT(N756,""^-?[0-9.]+"")"),"-7.277908273853585")</f>
        <v>-7.277908273853585</v>
      </c>
      <c r="P756" s="21" t="str">
        <f>IFERROR(__xludf.DUMMYFUNCTION("REGEXEXTRACT(N756,"",\s*(-?[0-9.]+)"")"),"112.7531993202376")</f>
        <v>112.7531993202376</v>
      </c>
      <c r="Q756" s="22" t="s">
        <v>3763</v>
      </c>
      <c r="R756" s="23"/>
      <c r="S756" s="23"/>
      <c r="T756" s="23"/>
      <c r="U756" s="23"/>
      <c r="V756" s="23"/>
      <c r="W756" s="23"/>
      <c r="X756" s="23"/>
      <c r="Y756" s="23"/>
      <c r="Z756" s="23"/>
      <c r="AA756" s="23"/>
      <c r="AB756" s="23"/>
    </row>
    <row r="757">
      <c r="A757" s="13">
        <f t="shared" si="1"/>
        <v>756</v>
      </c>
      <c r="B757" s="28" t="s">
        <v>3764</v>
      </c>
      <c r="C757" s="92" t="s">
        <v>3765</v>
      </c>
      <c r="D757" s="28" t="s">
        <v>46</v>
      </c>
      <c r="E757" s="28" t="s">
        <v>3766</v>
      </c>
      <c r="F757" s="28">
        <v>46.0</v>
      </c>
      <c r="G757" s="28" t="s">
        <v>21</v>
      </c>
      <c r="H757" s="28">
        <v>5000.0</v>
      </c>
      <c r="I757" s="29">
        <v>46146.0</v>
      </c>
      <c r="J757" s="52" t="s">
        <v>23</v>
      </c>
      <c r="K757" s="30"/>
      <c r="L757" s="31">
        <v>0.3333333333333333</v>
      </c>
      <c r="M757" s="31">
        <v>0.6666666666666666</v>
      </c>
      <c r="N757" s="94" t="s">
        <v>3767</v>
      </c>
      <c r="O757" s="94">
        <v>-7.3353081E7</v>
      </c>
      <c r="P757" s="94">
        <v>1.126697325E9</v>
      </c>
      <c r="Q757" s="42" t="s">
        <v>3768</v>
      </c>
      <c r="R757" s="43"/>
      <c r="AC757" s="23"/>
      <c r="AD757" s="23"/>
      <c r="AE757" s="23"/>
    </row>
    <row r="758">
      <c r="A758" s="13">
        <f t="shared" si="1"/>
        <v>757</v>
      </c>
      <c r="B758" s="43" t="s">
        <v>3769</v>
      </c>
      <c r="C758" s="100" t="s">
        <v>3770</v>
      </c>
      <c r="D758" s="43" t="s">
        <v>19</v>
      </c>
      <c r="E758" s="49" t="s">
        <v>3771</v>
      </c>
      <c r="F758" s="26">
        <v>822.0</v>
      </c>
      <c r="G758" s="43" t="s">
        <v>21</v>
      </c>
      <c r="H758" s="26" t="s">
        <v>22</v>
      </c>
      <c r="I758" s="17">
        <v>46207.0</v>
      </c>
      <c r="J758" s="43" t="s">
        <v>23</v>
      </c>
      <c r="K758" s="43"/>
      <c r="L758" s="18">
        <v>0.375</v>
      </c>
      <c r="M758" s="18">
        <v>0.9993055555555556</v>
      </c>
      <c r="N758" s="19" t="s">
        <v>3772</v>
      </c>
      <c r="O758" s="43" t="str">
        <f>IFERROR(__xludf.DUMMYFUNCTION("REGEXEXTRACT(N758,""^-?[0-9.]+"")"),"-7.289913347295393")</f>
        <v>-7.289913347295393</v>
      </c>
      <c r="P758" s="21" t="str">
        <f>IFERROR(__xludf.DUMMYFUNCTION("REGEXEXTRACT(N758,"",\s*(-?[0-9.]+)"")"),"112.74997901349171")</f>
        <v>112.74997901349171</v>
      </c>
      <c r="Q758" s="22" t="s">
        <v>3773</v>
      </c>
      <c r="R758" s="23"/>
      <c r="S758" s="23"/>
      <c r="T758" s="23"/>
      <c r="U758" s="23"/>
      <c r="V758" s="23"/>
      <c r="W758" s="23"/>
      <c r="X758" s="23"/>
      <c r="Y758" s="23"/>
      <c r="Z758" s="23"/>
      <c r="AA758" s="23"/>
      <c r="AB758" s="23"/>
    </row>
    <row r="759">
      <c r="A759" s="13">
        <f t="shared" si="1"/>
        <v>758</v>
      </c>
      <c r="B759" s="28" t="s">
        <v>3774</v>
      </c>
      <c r="C759" s="92" t="s">
        <v>3775</v>
      </c>
      <c r="D759" s="28" t="s">
        <v>46</v>
      </c>
      <c r="E759" s="28" t="s">
        <v>3776</v>
      </c>
      <c r="F759" s="28">
        <v>32.0</v>
      </c>
      <c r="G759" s="28" t="s">
        <v>21</v>
      </c>
      <c r="H759" s="28">
        <v>5000.0</v>
      </c>
      <c r="I759" s="29">
        <v>46116.0</v>
      </c>
      <c r="J759" s="52" t="s">
        <v>23</v>
      </c>
      <c r="K759" s="30"/>
      <c r="L759" s="31">
        <v>0.3333333333333333</v>
      </c>
      <c r="M759" s="31">
        <v>0.6666666666666666</v>
      </c>
      <c r="N759" s="96" t="s">
        <v>3777</v>
      </c>
      <c r="O759" s="95">
        <v>-7.3324759E7</v>
      </c>
      <c r="P759" s="95">
        <v>1.126681051E9</v>
      </c>
      <c r="Q759" s="42" t="s">
        <v>3778</v>
      </c>
      <c r="R759" s="43"/>
      <c r="S759" s="43"/>
      <c r="T759" s="43"/>
      <c r="U759" s="43"/>
      <c r="V759" s="43"/>
      <c r="W759" s="43"/>
      <c r="X759" s="43"/>
      <c r="Y759" s="43"/>
      <c r="Z759" s="43"/>
      <c r="AA759" s="43"/>
      <c r="AB759" s="43"/>
      <c r="AC759" s="23"/>
      <c r="AD759" s="23"/>
      <c r="AE759" s="23"/>
    </row>
    <row r="760">
      <c r="A760" s="13">
        <f t="shared" si="1"/>
        <v>759</v>
      </c>
      <c r="B760" s="43" t="s">
        <v>3779</v>
      </c>
      <c r="C760" s="98" t="s">
        <v>3780</v>
      </c>
      <c r="D760" s="43" t="s">
        <v>46</v>
      </c>
      <c r="E760" s="43" t="s">
        <v>3781</v>
      </c>
      <c r="F760" s="26">
        <v>1209.0</v>
      </c>
      <c r="G760" s="43" t="s">
        <v>21</v>
      </c>
      <c r="H760" s="26">
        <v>0.0</v>
      </c>
      <c r="I760" s="39">
        <v>46116.0</v>
      </c>
      <c r="J760" s="43" t="s">
        <v>23</v>
      </c>
      <c r="K760" s="43"/>
      <c r="L760" s="18">
        <v>0.4166666666666667</v>
      </c>
      <c r="M760" s="18">
        <v>0.75</v>
      </c>
      <c r="N760" s="94" t="s">
        <v>3782</v>
      </c>
      <c r="O760" s="101">
        <v>-7.3153605E7</v>
      </c>
      <c r="P760" s="94">
        <v>1.126635047E9</v>
      </c>
      <c r="Q760" s="42" t="s">
        <v>3783</v>
      </c>
      <c r="R760" s="43"/>
      <c r="S760" s="43"/>
      <c r="T760" s="43"/>
      <c r="U760" s="43"/>
      <c r="V760" s="43"/>
      <c r="W760" s="43"/>
      <c r="X760" s="43"/>
      <c r="Y760" s="43"/>
      <c r="Z760" s="43"/>
      <c r="AA760" s="43"/>
      <c r="AB760" s="43"/>
      <c r="AC760" s="43"/>
      <c r="AD760" s="43"/>
      <c r="AE760" s="43"/>
    </row>
    <row r="761">
      <c r="A761" s="13">
        <f t="shared" si="1"/>
        <v>760</v>
      </c>
      <c r="B761" s="28" t="s">
        <v>3784</v>
      </c>
      <c r="C761" s="92" t="s">
        <v>3785</v>
      </c>
      <c r="D761" s="28" t="s">
        <v>46</v>
      </c>
      <c r="E761" s="28" t="s">
        <v>3786</v>
      </c>
      <c r="F761" s="28">
        <v>149.0</v>
      </c>
      <c r="G761" s="28" t="s">
        <v>21</v>
      </c>
      <c r="H761" s="28">
        <v>0.0</v>
      </c>
      <c r="I761" s="29">
        <v>46177.0</v>
      </c>
      <c r="J761" s="52" t="s">
        <v>23</v>
      </c>
      <c r="K761" s="30"/>
      <c r="L761" s="31">
        <v>0.0</v>
      </c>
      <c r="M761" s="31">
        <v>0.9993055555555556</v>
      </c>
      <c r="N761" s="94" t="s">
        <v>3787</v>
      </c>
      <c r="O761" s="94">
        <v>-7.2604342E7</v>
      </c>
      <c r="P761" s="94">
        <v>1.126377358E9</v>
      </c>
      <c r="Q761" s="42" t="s">
        <v>3788</v>
      </c>
      <c r="R761" s="43"/>
      <c r="S761" s="43"/>
      <c r="T761" s="43"/>
      <c r="U761" s="43"/>
      <c r="V761" s="43"/>
      <c r="W761" s="43"/>
      <c r="X761" s="43"/>
      <c r="Y761" s="43"/>
      <c r="Z761" s="43"/>
      <c r="AA761" s="43"/>
      <c r="AB761" s="43"/>
      <c r="AC761" s="43"/>
      <c r="AD761" s="43"/>
      <c r="AE761" s="43"/>
    </row>
    <row r="762">
      <c r="A762" s="13">
        <f t="shared" si="1"/>
        <v>761</v>
      </c>
      <c r="B762" s="28" t="s">
        <v>3789</v>
      </c>
      <c r="C762" s="92" t="s">
        <v>3790</v>
      </c>
      <c r="D762" s="28" t="s">
        <v>19</v>
      </c>
      <c r="E762" s="28" t="s">
        <v>3791</v>
      </c>
      <c r="F762" s="28">
        <v>816.0</v>
      </c>
      <c r="G762" s="28" t="s">
        <v>21</v>
      </c>
      <c r="H762" s="28" t="s">
        <v>679</v>
      </c>
      <c r="I762" s="29">
        <v>46146.0</v>
      </c>
      <c r="J762" s="52" t="s">
        <v>23</v>
      </c>
      <c r="K762" s="30"/>
      <c r="L762" s="31">
        <v>0.5</v>
      </c>
      <c r="M762" s="31">
        <v>0.041666666666666664</v>
      </c>
      <c r="N762" s="94" t="s">
        <v>3792</v>
      </c>
      <c r="O762" s="94">
        <v>-7.274772E7</v>
      </c>
      <c r="P762" s="94">
        <v>1.1274877E9</v>
      </c>
      <c r="Q762" s="42" t="s">
        <v>3793</v>
      </c>
      <c r="R762" s="43"/>
      <c r="S762" s="43"/>
      <c r="T762" s="43"/>
      <c r="U762" s="43"/>
      <c r="V762" s="43"/>
      <c r="W762" s="43"/>
      <c r="X762" s="43"/>
      <c r="Y762" s="43"/>
      <c r="Z762" s="43"/>
      <c r="AA762" s="43"/>
      <c r="AB762" s="43"/>
      <c r="AC762" s="43"/>
      <c r="AD762" s="43"/>
      <c r="AE762" s="43"/>
    </row>
    <row r="763">
      <c r="A763" s="13">
        <f t="shared" si="1"/>
        <v>762</v>
      </c>
      <c r="B763" s="28" t="s">
        <v>3794</v>
      </c>
      <c r="C763" s="92" t="s">
        <v>3795</v>
      </c>
      <c r="D763" s="28" t="s">
        <v>19</v>
      </c>
      <c r="E763" s="28" t="s">
        <v>3796</v>
      </c>
      <c r="F763" s="28">
        <v>213.0</v>
      </c>
      <c r="G763" s="28" t="s">
        <v>21</v>
      </c>
      <c r="H763" s="28" t="s">
        <v>72</v>
      </c>
      <c r="I763" s="29">
        <v>46177.0</v>
      </c>
      <c r="J763" s="52" t="s">
        <v>23</v>
      </c>
      <c r="K763" s="30"/>
      <c r="L763" s="31">
        <v>0.375</v>
      </c>
      <c r="M763" s="31">
        <v>0.9166666666666666</v>
      </c>
      <c r="N763" s="94" t="s">
        <v>3797</v>
      </c>
      <c r="O763" s="94">
        <v>-7.2754879E7</v>
      </c>
      <c r="P763" s="85">
        <v>1.127504945E9</v>
      </c>
      <c r="Q763" s="42" t="s">
        <v>3798</v>
      </c>
      <c r="R763" s="43"/>
      <c r="S763" s="43"/>
      <c r="T763" s="43"/>
      <c r="U763" s="43"/>
      <c r="V763" s="43"/>
      <c r="W763" s="43"/>
      <c r="X763" s="43"/>
      <c r="Y763" s="43"/>
      <c r="Z763" s="43"/>
      <c r="AA763" s="43"/>
      <c r="AB763" s="43"/>
      <c r="AC763" s="43"/>
      <c r="AD763" s="43"/>
      <c r="AE763" s="43"/>
    </row>
    <row r="764">
      <c r="A764" s="13">
        <f t="shared" si="1"/>
        <v>763</v>
      </c>
      <c r="B764" s="28" t="s">
        <v>3799</v>
      </c>
      <c r="C764" s="92" t="s">
        <v>3800</v>
      </c>
      <c r="D764" s="28" t="s">
        <v>46</v>
      </c>
      <c r="E764" s="28" t="s">
        <v>3801</v>
      </c>
      <c r="F764" s="28">
        <v>187.0</v>
      </c>
      <c r="G764" s="28" t="s">
        <v>21</v>
      </c>
      <c r="H764" s="28">
        <v>0.0</v>
      </c>
      <c r="I764" s="29">
        <v>46177.0</v>
      </c>
      <c r="J764" s="52" t="s">
        <v>23</v>
      </c>
      <c r="K764" s="30"/>
      <c r="L764" s="31">
        <v>0.0</v>
      </c>
      <c r="M764" s="31">
        <v>0.0</v>
      </c>
      <c r="N764" s="48" t="s">
        <v>3802</v>
      </c>
      <c r="O764" s="33" t="s">
        <v>3803</v>
      </c>
      <c r="P764" s="34" t="s">
        <v>3804</v>
      </c>
      <c r="Q764" s="42" t="s">
        <v>3805</v>
      </c>
      <c r="R764" s="43"/>
      <c r="S764" s="43"/>
      <c r="T764" s="43"/>
      <c r="U764" s="43"/>
      <c r="V764" s="43"/>
      <c r="W764" s="43"/>
      <c r="X764" s="43"/>
      <c r="Y764" s="43"/>
      <c r="Z764" s="43"/>
      <c r="AA764" s="43"/>
      <c r="AB764" s="43"/>
      <c r="AC764" s="43"/>
      <c r="AD764" s="43"/>
      <c r="AE764" s="43"/>
    </row>
    <row r="765">
      <c r="A765" s="13">
        <f t="shared" si="1"/>
        <v>764</v>
      </c>
      <c r="B765" s="43" t="s">
        <v>3806</v>
      </c>
      <c r="C765" s="100" t="s">
        <v>3807</v>
      </c>
      <c r="D765" s="43" t="s">
        <v>46</v>
      </c>
      <c r="E765" s="49" t="s">
        <v>3808</v>
      </c>
      <c r="F765" s="26">
        <v>560.0</v>
      </c>
      <c r="G765" s="43" t="s">
        <v>21</v>
      </c>
      <c r="H765" s="26">
        <v>15000.0</v>
      </c>
      <c r="I765" s="17">
        <v>46238.0</v>
      </c>
      <c r="J765" s="43" t="s">
        <v>23</v>
      </c>
      <c r="K765" s="43"/>
      <c r="L765" s="18">
        <v>0.3541666666666667</v>
      </c>
      <c r="M765" s="18">
        <v>0.6666666666666666</v>
      </c>
      <c r="N765" s="19" t="s">
        <v>3809</v>
      </c>
      <c r="O765" s="43" t="str">
        <f>IFERROR(__xludf.DUMMYFUNCTION("REGEXEXTRACT(N765,""^-?[0-9.]+"")"),"-7.221626234807643")</f>
        <v>-7.221626234807643</v>
      </c>
      <c r="P765" s="21" t="str">
        <f>IFERROR(__xludf.DUMMYFUNCTION("REGEXEXTRACT(N765,"",\s*(-?[0-9.]+)"")"),"112.74005177116464")</f>
        <v>112.74005177116464</v>
      </c>
      <c r="Q765" s="22" t="s">
        <v>3810</v>
      </c>
      <c r="R765" s="23"/>
      <c r="S765" s="23"/>
      <c r="T765" s="23"/>
      <c r="U765" s="23"/>
      <c r="V765" s="23"/>
      <c r="W765" s="23"/>
      <c r="X765" s="23"/>
      <c r="Y765" s="23"/>
      <c r="Z765" s="23"/>
      <c r="AA765" s="23"/>
      <c r="AB765" s="23"/>
      <c r="AC765" s="43"/>
      <c r="AD765" s="43"/>
      <c r="AE765" s="43"/>
    </row>
    <row r="766">
      <c r="A766" s="13">
        <f t="shared" si="1"/>
        <v>765</v>
      </c>
      <c r="B766" s="28" t="s">
        <v>3811</v>
      </c>
      <c r="C766" s="92" t="s">
        <v>3812</v>
      </c>
      <c r="D766" s="28" t="s">
        <v>46</v>
      </c>
      <c r="E766" s="28" t="s">
        <v>3813</v>
      </c>
      <c r="F766" s="28">
        <v>106.0</v>
      </c>
      <c r="G766" s="28" t="s">
        <v>21</v>
      </c>
      <c r="H766" s="28">
        <v>0.0</v>
      </c>
      <c r="I766" s="29">
        <v>46146.0</v>
      </c>
      <c r="J766" s="28" t="s">
        <v>23</v>
      </c>
      <c r="K766" s="30"/>
      <c r="L766" s="31">
        <v>0.375</v>
      </c>
      <c r="M766" s="31">
        <v>0.875</v>
      </c>
      <c r="N766" s="32" t="s">
        <v>3814</v>
      </c>
      <c r="O766" s="33" t="s">
        <v>3815</v>
      </c>
      <c r="P766" s="34" t="s">
        <v>3816</v>
      </c>
      <c r="Q766" s="42" t="s">
        <v>3817</v>
      </c>
      <c r="R766" s="43"/>
      <c r="S766" s="43"/>
      <c r="T766" s="43"/>
      <c r="U766" s="43"/>
      <c r="V766" s="43"/>
      <c r="W766" s="43"/>
      <c r="X766" s="43"/>
      <c r="Y766" s="43"/>
      <c r="Z766" s="43"/>
      <c r="AA766" s="43"/>
      <c r="AB766" s="43"/>
      <c r="AC766" s="23"/>
      <c r="AD766" s="23"/>
      <c r="AE766" s="23"/>
    </row>
    <row r="767">
      <c r="A767" s="13">
        <f t="shared" si="1"/>
        <v>766</v>
      </c>
      <c r="B767" s="28" t="s">
        <v>3818</v>
      </c>
      <c r="C767" s="92" t="s">
        <v>3819</v>
      </c>
      <c r="D767" s="28" t="s">
        <v>46</v>
      </c>
      <c r="E767" s="28" t="s">
        <v>3820</v>
      </c>
      <c r="F767" s="28">
        <v>46.0</v>
      </c>
      <c r="G767" s="28" t="s">
        <v>21</v>
      </c>
      <c r="H767" s="28">
        <v>0.0</v>
      </c>
      <c r="I767" s="29">
        <v>46146.0</v>
      </c>
      <c r="J767" s="28" t="s">
        <v>23</v>
      </c>
      <c r="K767" s="30"/>
      <c r="L767" s="31">
        <v>0.3333333333333333</v>
      </c>
      <c r="M767" s="31">
        <v>0.8333333333333334</v>
      </c>
      <c r="N767" s="32" t="s">
        <v>3821</v>
      </c>
      <c r="O767" s="33" t="s">
        <v>3822</v>
      </c>
      <c r="P767" s="34" t="s">
        <v>3823</v>
      </c>
      <c r="Q767" s="42" t="s">
        <v>3824</v>
      </c>
      <c r="R767" s="43"/>
      <c r="S767" s="43"/>
      <c r="T767" s="43"/>
      <c r="U767" s="43"/>
      <c r="V767" s="43"/>
      <c r="W767" s="43"/>
      <c r="X767" s="43"/>
      <c r="Y767" s="43"/>
      <c r="Z767" s="43"/>
      <c r="AA767" s="43"/>
      <c r="AB767" s="43"/>
      <c r="AC767" s="43"/>
      <c r="AD767" s="43"/>
      <c r="AE767" s="43"/>
    </row>
    <row r="768">
      <c r="A768" s="13">
        <f t="shared" si="1"/>
        <v>767</v>
      </c>
      <c r="B768" s="28" t="s">
        <v>3825</v>
      </c>
      <c r="C768" s="92" t="s">
        <v>3826</v>
      </c>
      <c r="D768" s="28" t="s">
        <v>46</v>
      </c>
      <c r="E768" s="28" t="s">
        <v>3827</v>
      </c>
      <c r="F768" s="28">
        <v>141.0</v>
      </c>
      <c r="G768" s="28" t="s">
        <v>21</v>
      </c>
      <c r="H768" s="28">
        <v>0.0</v>
      </c>
      <c r="I768" s="29">
        <v>46177.0</v>
      </c>
      <c r="J768" s="28" t="s">
        <v>23</v>
      </c>
      <c r="K768" s="30"/>
      <c r="L768" s="31">
        <v>0.5</v>
      </c>
      <c r="M768" s="31">
        <v>0.8333333333333334</v>
      </c>
      <c r="N768" s="32" t="s">
        <v>3828</v>
      </c>
      <c r="O768" s="94">
        <v>-7.2680621E7</v>
      </c>
      <c r="P768" s="94">
        <v>1.127477999E9</v>
      </c>
      <c r="Q768" s="42" t="s">
        <v>3829</v>
      </c>
      <c r="R768" s="43"/>
      <c r="S768" s="43"/>
      <c r="T768" s="43"/>
      <c r="U768" s="43"/>
      <c r="V768" s="43"/>
      <c r="W768" s="43"/>
      <c r="X768" s="43"/>
      <c r="Y768" s="43"/>
      <c r="Z768" s="43"/>
      <c r="AA768" s="43"/>
      <c r="AB768" s="43"/>
      <c r="AC768" s="43"/>
      <c r="AD768" s="43"/>
      <c r="AE768" s="43"/>
    </row>
    <row r="769">
      <c r="A769" s="13">
        <f t="shared" si="1"/>
        <v>768</v>
      </c>
      <c r="B769" s="28" t="s">
        <v>3830</v>
      </c>
      <c r="C769" s="92" t="s">
        <v>3831</v>
      </c>
      <c r="D769" s="28" t="s">
        <v>46</v>
      </c>
      <c r="E769" s="28" t="s">
        <v>3832</v>
      </c>
      <c r="F769" s="28">
        <v>301.0</v>
      </c>
      <c r="G769" s="28" t="s">
        <v>21</v>
      </c>
      <c r="H769" s="28">
        <v>0.0</v>
      </c>
      <c r="I769" s="33" t="s">
        <v>3833</v>
      </c>
      <c r="J769" s="28" t="s">
        <v>3834</v>
      </c>
      <c r="K769" s="28" t="s">
        <v>3835</v>
      </c>
      <c r="L769" s="31">
        <v>0.3958333333333333</v>
      </c>
      <c r="M769" s="31">
        <v>0.625</v>
      </c>
      <c r="N769" s="32" t="s">
        <v>3836</v>
      </c>
      <c r="O769" s="33" t="s">
        <v>3837</v>
      </c>
      <c r="P769" s="34" t="s">
        <v>3838</v>
      </c>
      <c r="Q769" s="42" t="s">
        <v>3839</v>
      </c>
      <c r="R769" s="43"/>
      <c r="S769" s="43"/>
      <c r="T769" s="43"/>
      <c r="U769" s="43"/>
      <c r="V769" s="43"/>
      <c r="W769" s="43"/>
      <c r="X769" s="43"/>
      <c r="Y769" s="43"/>
      <c r="Z769" s="43"/>
      <c r="AA769" s="43"/>
      <c r="AB769" s="43"/>
      <c r="AC769" s="43"/>
      <c r="AD769" s="43"/>
      <c r="AE769" s="43"/>
    </row>
    <row r="770">
      <c r="A770" s="13">
        <f t="shared" si="1"/>
        <v>769</v>
      </c>
      <c r="B770" s="28" t="s">
        <v>3840</v>
      </c>
      <c r="C770" s="92" t="s">
        <v>3841</v>
      </c>
      <c r="D770" s="28" t="s">
        <v>46</v>
      </c>
      <c r="E770" s="28" t="s">
        <v>3842</v>
      </c>
      <c r="F770" s="28">
        <v>1.0</v>
      </c>
      <c r="G770" s="28" t="s">
        <v>21</v>
      </c>
      <c r="H770" s="28">
        <v>0.0</v>
      </c>
      <c r="I770" s="33" t="s">
        <v>3833</v>
      </c>
      <c r="J770" s="28" t="s">
        <v>23</v>
      </c>
      <c r="K770" s="30"/>
      <c r="L770" s="31">
        <v>0.4166666666666667</v>
      </c>
      <c r="M770" s="31">
        <v>0.9583333333333334</v>
      </c>
      <c r="N770" s="32" t="s">
        <v>3843</v>
      </c>
      <c r="O770" s="33" t="s">
        <v>3844</v>
      </c>
      <c r="P770" s="34" t="s">
        <v>3845</v>
      </c>
      <c r="Q770" s="42" t="s">
        <v>3846</v>
      </c>
      <c r="R770" s="43"/>
      <c r="S770" s="43"/>
      <c r="T770" s="43"/>
      <c r="U770" s="43"/>
      <c r="V770" s="43"/>
      <c r="W770" s="43"/>
      <c r="X770" s="43"/>
      <c r="Y770" s="43"/>
      <c r="Z770" s="43"/>
      <c r="AA770" s="43"/>
      <c r="AB770" s="43"/>
      <c r="AC770" s="43"/>
      <c r="AD770" s="43"/>
      <c r="AE770" s="43"/>
    </row>
    <row r="771">
      <c r="A771" s="13">
        <f t="shared" si="1"/>
        <v>770</v>
      </c>
      <c r="B771" s="28" t="s">
        <v>3847</v>
      </c>
      <c r="C771" s="92" t="s">
        <v>3848</v>
      </c>
      <c r="D771" s="28" t="s">
        <v>46</v>
      </c>
      <c r="E771" s="28" t="s">
        <v>3849</v>
      </c>
      <c r="F771" s="28">
        <v>1085.0</v>
      </c>
      <c r="G771" s="28" t="s">
        <v>21</v>
      </c>
      <c r="H771" s="28">
        <v>0.0</v>
      </c>
      <c r="I771" s="29">
        <v>46238.0</v>
      </c>
      <c r="J771" s="28" t="s">
        <v>388</v>
      </c>
      <c r="K771" s="28" t="s">
        <v>59</v>
      </c>
      <c r="L771" s="31">
        <v>0.3333333333333333</v>
      </c>
      <c r="M771" s="31">
        <v>0.625</v>
      </c>
      <c r="N771" s="32" t="s">
        <v>3850</v>
      </c>
      <c r="O771" s="33" t="s">
        <v>3851</v>
      </c>
      <c r="P771" s="34" t="s">
        <v>3852</v>
      </c>
      <c r="Q771" s="42" t="s">
        <v>3853</v>
      </c>
      <c r="R771" s="43"/>
      <c r="S771" s="43"/>
      <c r="T771" s="43"/>
      <c r="U771" s="43"/>
      <c r="V771" s="43"/>
      <c r="W771" s="43"/>
      <c r="X771" s="43"/>
      <c r="Y771" s="43"/>
      <c r="Z771" s="43"/>
      <c r="AA771" s="43"/>
      <c r="AB771" s="43"/>
      <c r="AC771" s="43"/>
      <c r="AD771" s="43"/>
      <c r="AE771" s="43"/>
    </row>
    <row r="772">
      <c r="A772" s="13">
        <f t="shared" si="1"/>
        <v>771</v>
      </c>
      <c r="B772" s="28" t="s">
        <v>3854</v>
      </c>
      <c r="C772" s="92" t="s">
        <v>3855</v>
      </c>
      <c r="D772" s="28" t="s">
        <v>46</v>
      </c>
      <c r="E772" s="28" t="s">
        <v>3856</v>
      </c>
      <c r="F772" s="28">
        <v>2434.0</v>
      </c>
      <c r="G772" s="28" t="s">
        <v>21</v>
      </c>
      <c r="H772" s="28">
        <v>0.0</v>
      </c>
      <c r="I772" s="29">
        <v>46116.0</v>
      </c>
      <c r="J772" s="28" t="s">
        <v>23</v>
      </c>
      <c r="K772" s="30"/>
      <c r="L772" s="31">
        <v>0.0</v>
      </c>
      <c r="M772" s="31">
        <v>0.0</v>
      </c>
      <c r="N772" s="32" t="s">
        <v>3857</v>
      </c>
      <c r="O772" s="33" t="s">
        <v>3858</v>
      </c>
      <c r="P772" s="34" t="s">
        <v>3859</v>
      </c>
      <c r="Q772" s="42" t="s">
        <v>3860</v>
      </c>
      <c r="R772" s="43"/>
      <c r="S772" s="43"/>
      <c r="T772" s="43"/>
      <c r="U772" s="43"/>
      <c r="V772" s="43"/>
      <c r="W772" s="43"/>
      <c r="X772" s="43"/>
      <c r="Y772" s="43"/>
      <c r="Z772" s="43"/>
      <c r="AA772" s="43"/>
      <c r="AB772" s="43"/>
      <c r="AC772" s="43"/>
      <c r="AD772" s="43"/>
      <c r="AE772" s="43"/>
    </row>
    <row r="773">
      <c r="A773" s="13">
        <f t="shared" si="1"/>
        <v>772</v>
      </c>
      <c r="B773" s="28" t="s">
        <v>3861</v>
      </c>
      <c r="C773" s="92" t="s">
        <v>3862</v>
      </c>
      <c r="D773" s="28" t="s">
        <v>46</v>
      </c>
      <c r="E773" s="28" t="s">
        <v>3863</v>
      </c>
      <c r="F773" s="28">
        <v>819.0</v>
      </c>
      <c r="G773" s="28" t="s">
        <v>21</v>
      </c>
      <c r="H773" s="28">
        <v>0.0</v>
      </c>
      <c r="I773" s="29">
        <v>46207.0</v>
      </c>
      <c r="J773" s="28" t="s">
        <v>23</v>
      </c>
      <c r="K773" s="30"/>
      <c r="L773" s="31">
        <v>0.3333333333333333</v>
      </c>
      <c r="M773" s="31">
        <v>0.9166666666666666</v>
      </c>
      <c r="N773" s="32" t="s">
        <v>3864</v>
      </c>
      <c r="O773" s="33" t="s">
        <v>3865</v>
      </c>
      <c r="P773" s="34" t="s">
        <v>3866</v>
      </c>
      <c r="Q773" s="42" t="s">
        <v>3867</v>
      </c>
      <c r="R773" s="43"/>
      <c r="S773" s="43"/>
      <c r="T773" s="43"/>
      <c r="U773" s="43"/>
      <c r="V773" s="43"/>
      <c r="W773" s="43"/>
      <c r="X773" s="43"/>
      <c r="Y773" s="43"/>
      <c r="Z773" s="43"/>
      <c r="AA773" s="43"/>
      <c r="AB773" s="43"/>
      <c r="AC773" s="43"/>
      <c r="AD773" s="43"/>
      <c r="AE773" s="43"/>
    </row>
    <row r="774">
      <c r="A774" s="13">
        <f t="shared" si="1"/>
        <v>773</v>
      </c>
      <c r="B774" s="28" t="s">
        <v>3868</v>
      </c>
      <c r="C774" s="92" t="s">
        <v>3869</v>
      </c>
      <c r="D774" s="28" t="s">
        <v>129</v>
      </c>
      <c r="E774" s="28" t="s">
        <v>3870</v>
      </c>
      <c r="F774" s="28">
        <v>89030.0</v>
      </c>
      <c r="G774" s="28" t="s">
        <v>21</v>
      </c>
      <c r="H774" s="28" t="s">
        <v>131</v>
      </c>
      <c r="I774" s="29">
        <v>46207.0</v>
      </c>
      <c r="J774" s="28" t="s">
        <v>23</v>
      </c>
      <c r="K774" s="30"/>
      <c r="L774" s="31">
        <v>0.4166666666666667</v>
      </c>
      <c r="M774" s="31">
        <v>0.9166666666666666</v>
      </c>
      <c r="N774" s="32" t="s">
        <v>3871</v>
      </c>
      <c r="O774" s="33" t="s">
        <v>3872</v>
      </c>
      <c r="P774" s="34" t="s">
        <v>3873</v>
      </c>
      <c r="Q774" s="42" t="s">
        <v>3874</v>
      </c>
      <c r="R774" s="43"/>
      <c r="S774" s="43"/>
      <c r="T774" s="43"/>
      <c r="U774" s="43"/>
      <c r="V774" s="43"/>
      <c r="W774" s="43"/>
      <c r="X774" s="43"/>
      <c r="Y774" s="43"/>
      <c r="Z774" s="43"/>
      <c r="AA774" s="43"/>
      <c r="AB774" s="43"/>
      <c r="AC774" s="43"/>
      <c r="AD774" s="43"/>
      <c r="AE774" s="43"/>
    </row>
    <row r="775">
      <c r="A775" s="13">
        <f t="shared" si="1"/>
        <v>774</v>
      </c>
      <c r="B775" s="28" t="s">
        <v>3875</v>
      </c>
      <c r="C775" s="92" t="s">
        <v>3876</v>
      </c>
      <c r="D775" s="28" t="s">
        <v>129</v>
      </c>
      <c r="E775" s="28" t="s">
        <v>3877</v>
      </c>
      <c r="F775" s="28">
        <v>15167.0</v>
      </c>
      <c r="G775" s="28" t="s">
        <v>21</v>
      </c>
      <c r="H775" s="28" t="s">
        <v>131</v>
      </c>
      <c r="I775" s="29">
        <v>46177.0</v>
      </c>
      <c r="J775" s="28" t="s">
        <v>23</v>
      </c>
      <c r="K775" s="30"/>
      <c r="L775" s="31">
        <v>0.4166666666666667</v>
      </c>
      <c r="M775" s="31">
        <v>0.9166666666666666</v>
      </c>
      <c r="N775" s="32" t="s">
        <v>3878</v>
      </c>
      <c r="O775" s="33" t="s">
        <v>3879</v>
      </c>
      <c r="P775" s="34" t="s">
        <v>3880</v>
      </c>
      <c r="Q775" s="42" t="s">
        <v>3881</v>
      </c>
      <c r="R775" s="43"/>
      <c r="S775" s="43"/>
      <c r="T775" s="43"/>
      <c r="U775" s="43"/>
      <c r="V775" s="43"/>
      <c r="W775" s="43"/>
      <c r="X775" s="43"/>
      <c r="Y775" s="43"/>
      <c r="Z775" s="43"/>
      <c r="AA775" s="43"/>
      <c r="AB775" s="43"/>
      <c r="AC775" s="43"/>
      <c r="AD775" s="43"/>
      <c r="AE775" s="43"/>
    </row>
    <row r="776">
      <c r="A776" s="13">
        <f t="shared" si="1"/>
        <v>775</v>
      </c>
      <c r="B776" s="43" t="s">
        <v>3882</v>
      </c>
      <c r="C776" s="98" t="s">
        <v>3883</v>
      </c>
      <c r="D776" s="43" t="s">
        <v>34</v>
      </c>
      <c r="E776" s="43" t="s">
        <v>3884</v>
      </c>
      <c r="F776" s="26">
        <v>1480.0</v>
      </c>
      <c r="G776" s="43" t="s">
        <v>21</v>
      </c>
      <c r="H776" s="26">
        <v>250000.0</v>
      </c>
      <c r="I776" s="17">
        <v>46207.0</v>
      </c>
      <c r="J776" s="43" t="s">
        <v>23</v>
      </c>
      <c r="K776" s="43"/>
      <c r="L776" s="18">
        <v>0.25</v>
      </c>
      <c r="M776" s="18">
        <v>0.9166666666666666</v>
      </c>
      <c r="N776" s="19" t="s">
        <v>3885</v>
      </c>
      <c r="O776" s="43" t="str">
        <f>IFERROR(__xludf.DUMMYFUNCTION("REGEXEXTRACT(N776,""^-?[0-9.]+"")"),"-7.259352309426676")</f>
        <v>-7.259352309426676</v>
      </c>
      <c r="P776" s="21" t="str">
        <f>IFERROR(__xludf.DUMMYFUNCTION("REGEXEXTRACT(N776,"",\s*(-?[0-9.]+)"")"),"112.73508220911657")</f>
        <v>112.73508220911657</v>
      </c>
      <c r="Q776" s="22" t="s">
        <v>3886</v>
      </c>
      <c r="R776" s="43"/>
      <c r="S776" s="43"/>
      <c r="T776" s="43"/>
      <c r="U776" s="43"/>
      <c r="V776" s="43"/>
      <c r="W776" s="43"/>
      <c r="X776" s="43"/>
      <c r="Y776" s="43"/>
      <c r="Z776" s="43"/>
      <c r="AA776" s="43"/>
      <c r="AB776" s="43"/>
      <c r="AC776" s="43"/>
      <c r="AD776" s="43"/>
      <c r="AE776" s="43"/>
    </row>
    <row r="777">
      <c r="A777" s="13">
        <f t="shared" si="1"/>
        <v>776</v>
      </c>
      <c r="B777" s="28" t="s">
        <v>3887</v>
      </c>
      <c r="C777" s="92" t="s">
        <v>3888</v>
      </c>
      <c r="D777" s="28" t="s">
        <v>129</v>
      </c>
      <c r="E777" s="28" t="s">
        <v>3889</v>
      </c>
      <c r="F777" s="28">
        <v>13771.0</v>
      </c>
      <c r="G777" s="28" t="s">
        <v>21</v>
      </c>
      <c r="H777" s="28" t="s">
        <v>131</v>
      </c>
      <c r="I777" s="29">
        <v>46116.0</v>
      </c>
      <c r="J777" s="28" t="s">
        <v>23</v>
      </c>
      <c r="K777" s="30"/>
      <c r="L777" s="31">
        <v>0.4166666666666667</v>
      </c>
      <c r="M777" s="31">
        <v>0.9166666666666666</v>
      </c>
      <c r="N777" s="32" t="s">
        <v>3890</v>
      </c>
      <c r="O777" s="33" t="s">
        <v>3891</v>
      </c>
      <c r="P777" s="34" t="s">
        <v>3892</v>
      </c>
      <c r="Q777" s="42" t="s">
        <v>3893</v>
      </c>
      <c r="R777" s="43"/>
      <c r="S777" s="43"/>
      <c r="T777" s="43"/>
      <c r="U777" s="43"/>
      <c r="V777" s="43"/>
      <c r="W777" s="43"/>
      <c r="X777" s="43"/>
      <c r="Y777" s="43"/>
      <c r="Z777" s="43"/>
      <c r="AA777" s="43"/>
      <c r="AB777" s="43"/>
      <c r="AC777" s="43"/>
      <c r="AD777" s="43"/>
      <c r="AE777" s="43"/>
    </row>
    <row r="778">
      <c r="A778" s="13">
        <f t="shared" si="1"/>
        <v>777</v>
      </c>
      <c r="B778" s="28" t="s">
        <v>3894</v>
      </c>
      <c r="C778" s="92" t="s">
        <v>3895</v>
      </c>
      <c r="D778" s="28" t="s">
        <v>34</v>
      </c>
      <c r="E778" s="28" t="s">
        <v>3896</v>
      </c>
      <c r="F778" s="28">
        <v>506.0</v>
      </c>
      <c r="G778" s="28" t="s">
        <v>21</v>
      </c>
      <c r="H778" s="28">
        <v>25000.0</v>
      </c>
      <c r="I778" s="29">
        <v>46207.0</v>
      </c>
      <c r="J778" s="28" t="s">
        <v>23</v>
      </c>
      <c r="K778" s="30"/>
      <c r="L778" s="31">
        <v>0.4375</v>
      </c>
      <c r="M778" s="31">
        <v>0.75</v>
      </c>
      <c r="N778" s="32" t="s">
        <v>3897</v>
      </c>
      <c r="O778" s="33" t="s">
        <v>3898</v>
      </c>
      <c r="P778" s="34" t="s">
        <v>3899</v>
      </c>
      <c r="Q778" s="42" t="s">
        <v>3900</v>
      </c>
      <c r="R778" s="43"/>
      <c r="S778" s="43"/>
      <c r="T778" s="43"/>
      <c r="U778" s="43"/>
      <c r="V778" s="43"/>
      <c r="W778" s="43"/>
      <c r="X778" s="43"/>
      <c r="Y778" s="43"/>
      <c r="Z778" s="43"/>
      <c r="AA778" s="43"/>
      <c r="AB778" s="43"/>
      <c r="AC778" s="43"/>
      <c r="AD778" s="43"/>
      <c r="AE778" s="43"/>
    </row>
    <row r="779">
      <c r="A779" s="13">
        <f t="shared" si="1"/>
        <v>778</v>
      </c>
      <c r="B779" s="28" t="s">
        <v>3901</v>
      </c>
      <c r="C779" s="92" t="s">
        <v>3902</v>
      </c>
      <c r="D779" s="28" t="s">
        <v>34</v>
      </c>
      <c r="E779" s="28" t="s">
        <v>3903</v>
      </c>
      <c r="F779" s="28">
        <v>1636.0</v>
      </c>
      <c r="G779" s="28" t="s">
        <v>21</v>
      </c>
      <c r="H779" s="28" t="s">
        <v>22</v>
      </c>
      <c r="I779" s="29">
        <v>46146.0</v>
      </c>
      <c r="J779" s="28" t="s">
        <v>388</v>
      </c>
      <c r="K779" s="28" t="s">
        <v>59</v>
      </c>
      <c r="L779" s="31">
        <v>0.4583333333333333</v>
      </c>
      <c r="M779" s="31">
        <v>0.7083333333333334</v>
      </c>
      <c r="N779" s="32" t="s">
        <v>3904</v>
      </c>
      <c r="O779" s="33" t="s">
        <v>3905</v>
      </c>
      <c r="P779" s="34" t="s">
        <v>3906</v>
      </c>
      <c r="Q779" s="42" t="s">
        <v>3907</v>
      </c>
      <c r="R779" s="43"/>
      <c r="S779" s="43"/>
      <c r="T779" s="43"/>
      <c r="U779" s="43"/>
      <c r="V779" s="43"/>
      <c r="W779" s="43"/>
      <c r="X779" s="43"/>
      <c r="Y779" s="43"/>
      <c r="Z779" s="43"/>
      <c r="AA779" s="43"/>
      <c r="AB779" s="43"/>
      <c r="AC779" s="43"/>
      <c r="AD779" s="43"/>
      <c r="AE779" s="43"/>
    </row>
    <row r="780">
      <c r="A780" s="13">
        <f t="shared" si="1"/>
        <v>779</v>
      </c>
      <c r="B780" s="43" t="s">
        <v>3908</v>
      </c>
      <c r="C780" s="98" t="s">
        <v>3909</v>
      </c>
      <c r="D780" s="43" t="s">
        <v>34</v>
      </c>
      <c r="E780" s="43" t="s">
        <v>3910</v>
      </c>
      <c r="F780" s="26">
        <v>1358.0</v>
      </c>
      <c r="G780" s="43" t="s">
        <v>21</v>
      </c>
      <c r="H780" s="26" t="s">
        <v>2024</v>
      </c>
      <c r="I780" s="17">
        <v>46269.0</v>
      </c>
      <c r="J780" s="43" t="s">
        <v>23</v>
      </c>
      <c r="K780" s="43"/>
      <c r="L780" s="18">
        <v>0.375</v>
      </c>
      <c r="M780" s="18">
        <v>0.9166666666666666</v>
      </c>
      <c r="N780" s="19" t="s">
        <v>3911</v>
      </c>
      <c r="O780" s="43" t="str">
        <f>IFERROR(__xludf.DUMMYFUNCTION("REGEXEXTRACT(N780,""^-?[0-9.]+"")"),"-7.230908428517518")</f>
        <v>-7.230908428517518</v>
      </c>
      <c r="P780" s="21" t="str">
        <f>IFERROR(__xludf.DUMMYFUNCTION("REGEXEXTRACT(N780,"",\s*(-?[0-9.]+)"")"),"112.74097234011323")</f>
        <v>112.74097234011323</v>
      </c>
      <c r="Q780" s="22" t="s">
        <v>3912</v>
      </c>
      <c r="R780" s="43"/>
      <c r="S780" s="43"/>
      <c r="T780" s="43"/>
      <c r="U780" s="43"/>
      <c r="V780" s="43"/>
      <c r="W780" s="43"/>
      <c r="X780" s="43"/>
      <c r="Y780" s="43"/>
      <c r="Z780" s="43"/>
      <c r="AA780" s="43"/>
      <c r="AB780" s="43"/>
      <c r="AC780" s="43"/>
      <c r="AD780" s="43"/>
      <c r="AE780" s="43"/>
    </row>
    <row r="781">
      <c r="A781" s="13">
        <f t="shared" si="1"/>
        <v>780</v>
      </c>
      <c r="B781" s="28" t="s">
        <v>3913</v>
      </c>
      <c r="C781" s="92" t="s">
        <v>3914</v>
      </c>
      <c r="D781" s="28" t="s">
        <v>19</v>
      </c>
      <c r="E781" s="28" t="s">
        <v>3915</v>
      </c>
      <c r="F781" s="28">
        <v>308.0</v>
      </c>
      <c r="G781" s="28" t="s">
        <v>21</v>
      </c>
      <c r="H781" s="28" t="s">
        <v>221</v>
      </c>
      <c r="I781" s="29">
        <v>46057.0</v>
      </c>
      <c r="J781" s="28" t="s">
        <v>23</v>
      </c>
      <c r="K781" s="30"/>
      <c r="L781" s="31">
        <v>0.375</v>
      </c>
      <c r="M781" s="31">
        <v>0.041666666666666664</v>
      </c>
      <c r="N781" s="32" t="s">
        <v>3916</v>
      </c>
      <c r="O781" s="33" t="s">
        <v>3917</v>
      </c>
      <c r="P781" s="34" t="s">
        <v>3918</v>
      </c>
      <c r="Q781" s="42" t="s">
        <v>3919</v>
      </c>
      <c r="R781" s="43"/>
      <c r="S781" s="43"/>
      <c r="T781" s="43"/>
      <c r="U781" s="43"/>
      <c r="V781" s="43"/>
      <c r="W781" s="43"/>
      <c r="X781" s="43"/>
      <c r="Y781" s="43"/>
      <c r="Z781" s="43"/>
      <c r="AA781" s="43"/>
      <c r="AB781" s="43"/>
      <c r="AC781" s="43"/>
      <c r="AD781" s="43"/>
      <c r="AE781" s="43"/>
    </row>
    <row r="782">
      <c r="A782" s="13">
        <f t="shared" si="1"/>
        <v>781</v>
      </c>
      <c r="B782" s="43" t="s">
        <v>3920</v>
      </c>
      <c r="C782" s="98" t="s">
        <v>3921</v>
      </c>
      <c r="D782" s="43" t="s">
        <v>34</v>
      </c>
      <c r="E782" s="43" t="s">
        <v>3922</v>
      </c>
      <c r="F782" s="26">
        <v>9522.0</v>
      </c>
      <c r="G782" s="43" t="s">
        <v>21</v>
      </c>
      <c r="H782" s="26" t="s">
        <v>3923</v>
      </c>
      <c r="I782" s="17">
        <v>46207.0</v>
      </c>
      <c r="J782" s="43" t="s">
        <v>23</v>
      </c>
      <c r="K782" s="43"/>
      <c r="L782" s="18">
        <v>0.4583333333333333</v>
      </c>
      <c r="M782" s="18">
        <v>0.8958333333333334</v>
      </c>
      <c r="N782" s="19" t="s">
        <v>3924</v>
      </c>
      <c r="O782" s="43" t="str">
        <f>IFERROR(__xludf.DUMMYFUNCTION("REGEXEXTRACT(N782,""^-?[0-9.]+"")"),"-7.289271987052663")</f>
        <v>-7.289271987052663</v>
      </c>
      <c r="P782" s="21" t="str">
        <f>IFERROR(__xludf.DUMMYFUNCTION("REGEXEXTRACT(N782,"",\s*(-?[0-9.]+)"")"),"112.73133214563875")</f>
        <v>112.73133214563875</v>
      </c>
      <c r="Q782" s="22" t="s">
        <v>3925</v>
      </c>
      <c r="R782" s="43"/>
      <c r="S782" s="43"/>
      <c r="T782" s="43"/>
      <c r="U782" s="43"/>
      <c r="V782" s="43"/>
      <c r="W782" s="43"/>
      <c r="X782" s="43"/>
      <c r="Y782" s="43"/>
      <c r="Z782" s="43"/>
      <c r="AA782" s="43"/>
      <c r="AB782" s="43"/>
      <c r="AC782" s="43"/>
      <c r="AD782" s="43"/>
      <c r="AE782" s="43"/>
    </row>
    <row r="783">
      <c r="A783" s="13">
        <f t="shared" si="1"/>
        <v>782</v>
      </c>
      <c r="B783" s="43" t="s">
        <v>3926</v>
      </c>
      <c r="C783" s="98" t="s">
        <v>3927</v>
      </c>
      <c r="D783" s="43" t="s">
        <v>34</v>
      </c>
      <c r="E783" s="43" t="s">
        <v>3928</v>
      </c>
      <c r="F783" s="26">
        <v>1286.0</v>
      </c>
      <c r="G783" s="43" t="s">
        <v>21</v>
      </c>
      <c r="H783" s="26" t="s">
        <v>22</v>
      </c>
      <c r="I783" s="17">
        <v>46116.0</v>
      </c>
      <c r="J783" s="43" t="s">
        <v>23</v>
      </c>
      <c r="K783" s="43"/>
      <c r="L783" s="18">
        <v>0.375</v>
      </c>
      <c r="M783" s="18">
        <v>0.875</v>
      </c>
      <c r="N783" s="19" t="s">
        <v>3929</v>
      </c>
      <c r="O783" s="43" t="str">
        <f>IFERROR(__xludf.DUMMYFUNCTION("REGEXEXTRACT(N783,""^-?[0-9.]+"")"),"-7.266265111722068")</f>
        <v>-7.266265111722068</v>
      </c>
      <c r="P783" s="21" t="str">
        <f>IFERROR(__xludf.DUMMYFUNCTION("REGEXEXTRACT(N783,"",\s*(-?[0-9.]+)"")"),"112.7672489360039")</f>
        <v>112.7672489360039</v>
      </c>
      <c r="Q783" s="22" t="s">
        <v>3930</v>
      </c>
      <c r="R783" s="43"/>
      <c r="S783" s="43"/>
      <c r="T783" s="43"/>
      <c r="U783" s="43"/>
      <c r="V783" s="43"/>
      <c r="W783" s="43"/>
      <c r="X783" s="43"/>
      <c r="Y783" s="43"/>
      <c r="Z783" s="43"/>
      <c r="AA783" s="43"/>
      <c r="AB783" s="43"/>
      <c r="AC783" s="43"/>
      <c r="AD783" s="43"/>
      <c r="AE783" s="43"/>
    </row>
    <row r="784">
      <c r="A784" s="13">
        <f t="shared" si="1"/>
        <v>783</v>
      </c>
      <c r="B784" s="43" t="s">
        <v>3931</v>
      </c>
      <c r="C784" s="98" t="s">
        <v>3932</v>
      </c>
      <c r="D784" s="43" t="s">
        <v>34</v>
      </c>
      <c r="E784" s="43" t="s">
        <v>3933</v>
      </c>
      <c r="F784" s="26">
        <v>1081.0</v>
      </c>
      <c r="G784" s="43" t="s">
        <v>21</v>
      </c>
      <c r="H784" s="26" t="s">
        <v>36</v>
      </c>
      <c r="I784" s="17">
        <v>46146.0</v>
      </c>
      <c r="J784" s="43" t="s">
        <v>23</v>
      </c>
      <c r="K784" s="43"/>
      <c r="L784" s="18">
        <v>0.0</v>
      </c>
      <c r="M784" s="18">
        <v>0.9993055555555556</v>
      </c>
      <c r="N784" s="19" t="s">
        <v>3934</v>
      </c>
      <c r="O784" s="43" t="str">
        <f>IFERROR(__xludf.DUMMYFUNCTION("REGEXEXTRACT(N784,""^-?[0-9.]+"")"),"-7.267646994257676")</f>
        <v>-7.267646994257676</v>
      </c>
      <c r="P784" s="21" t="str">
        <f>IFERROR(__xludf.DUMMYFUNCTION("REGEXEXTRACT(N784,"",\s*(-?[0-9.]+)"")"),"112.734277546412")</f>
        <v>112.734277546412</v>
      </c>
      <c r="Q784" s="22" t="s">
        <v>3935</v>
      </c>
      <c r="R784" s="43"/>
      <c r="S784" s="43"/>
      <c r="T784" s="43"/>
      <c r="U784" s="43"/>
      <c r="V784" s="43"/>
      <c r="W784" s="43"/>
      <c r="X784" s="43"/>
      <c r="Y784" s="43"/>
      <c r="Z784" s="43"/>
      <c r="AA784" s="43"/>
      <c r="AB784" s="43"/>
      <c r="AC784" s="43"/>
      <c r="AD784" s="43"/>
      <c r="AE784" s="43"/>
    </row>
    <row r="785">
      <c r="A785" s="13">
        <f t="shared" si="1"/>
        <v>784</v>
      </c>
      <c r="B785" s="43" t="s">
        <v>3936</v>
      </c>
      <c r="C785" s="98" t="s">
        <v>3937</v>
      </c>
      <c r="D785" s="43" t="s">
        <v>34</v>
      </c>
      <c r="E785" s="43" t="s">
        <v>3938</v>
      </c>
      <c r="F785" s="26">
        <v>951.0</v>
      </c>
      <c r="G785" s="43" t="s">
        <v>21</v>
      </c>
      <c r="H785" s="26" t="s">
        <v>36</v>
      </c>
      <c r="I785" s="17">
        <v>46116.0</v>
      </c>
      <c r="J785" s="43" t="s">
        <v>23</v>
      </c>
      <c r="K785" s="43"/>
      <c r="L785" s="18">
        <v>0.4583333333333333</v>
      </c>
      <c r="M785" s="18">
        <v>0.9993055555555556</v>
      </c>
      <c r="N785" s="19" t="s">
        <v>3939</v>
      </c>
      <c r="O785" s="43" t="str">
        <f>IFERROR(__xludf.DUMMYFUNCTION("REGEXEXTRACT(N785,""^-?[0-9.]+"")"),"-7.268543303279916")</f>
        <v>-7.268543303279916</v>
      </c>
      <c r="P785" s="21" t="str">
        <f>IFERROR(__xludf.DUMMYFUNCTION("REGEXEXTRACT(N785,"",\s*(-?[0-9.]+)"")"),"112.73822676391039")</f>
        <v>112.73822676391039</v>
      </c>
      <c r="Q785" s="22" t="s">
        <v>3940</v>
      </c>
      <c r="R785" s="43"/>
      <c r="S785" s="43"/>
      <c r="T785" s="43"/>
      <c r="U785" s="43"/>
      <c r="V785" s="43"/>
      <c r="W785" s="43"/>
      <c r="X785" s="43"/>
      <c r="Y785" s="43"/>
      <c r="Z785" s="43"/>
      <c r="AA785" s="43"/>
      <c r="AB785" s="43"/>
      <c r="AC785" s="43"/>
      <c r="AD785" s="43"/>
      <c r="AE785" s="43"/>
    </row>
    <row r="786">
      <c r="A786" s="13">
        <f t="shared" si="1"/>
        <v>785</v>
      </c>
      <c r="B786" s="43" t="s">
        <v>3941</v>
      </c>
      <c r="C786" s="98" t="s">
        <v>3942</v>
      </c>
      <c r="D786" s="43" t="s">
        <v>19</v>
      </c>
      <c r="E786" s="43" t="s">
        <v>3943</v>
      </c>
      <c r="F786" s="26">
        <v>1007.0</v>
      </c>
      <c r="G786" s="43" t="s">
        <v>21</v>
      </c>
      <c r="H786" s="26" t="s">
        <v>649</v>
      </c>
      <c r="I786" s="17">
        <v>46238.0</v>
      </c>
      <c r="J786" s="43" t="s">
        <v>23</v>
      </c>
      <c r="K786" s="43"/>
      <c r="L786" s="18">
        <v>0.4166666666666667</v>
      </c>
      <c r="M786" s="18">
        <v>0.90625</v>
      </c>
      <c r="N786" s="19" t="s">
        <v>3944</v>
      </c>
      <c r="O786" s="43" t="str">
        <f>IFERROR(__xludf.DUMMYFUNCTION("REGEXEXTRACT(N786,""^-?[0-9.]+"")"),"-7.290186718405247")</f>
        <v>-7.290186718405247</v>
      </c>
      <c r="P786" s="21" t="str">
        <f>IFERROR(__xludf.DUMMYFUNCTION("REGEXEXTRACT(N786,"",\s*(-?[0-9.]+)"")"),"112.65515400132062")</f>
        <v>112.65515400132062</v>
      </c>
      <c r="Q786" s="22" t="s">
        <v>3945</v>
      </c>
      <c r="R786" s="43"/>
      <c r="S786" s="43"/>
      <c r="T786" s="43"/>
      <c r="U786" s="43"/>
      <c r="V786" s="43"/>
      <c r="W786" s="43"/>
      <c r="X786" s="43"/>
      <c r="Y786" s="43"/>
      <c r="Z786" s="43"/>
      <c r="AA786" s="43"/>
      <c r="AB786" s="43"/>
      <c r="AC786" s="43"/>
      <c r="AD786" s="43"/>
      <c r="AE786" s="43"/>
    </row>
    <row r="787">
      <c r="A787" s="13">
        <f t="shared" si="1"/>
        <v>786</v>
      </c>
      <c r="B787" s="45" t="s">
        <v>3946</v>
      </c>
      <c r="C787" s="104" t="s">
        <v>3947</v>
      </c>
      <c r="D787" s="45" t="s">
        <v>46</v>
      </c>
      <c r="E787" s="45" t="s">
        <v>3948</v>
      </c>
      <c r="F787" s="28">
        <v>182.0</v>
      </c>
      <c r="G787" s="45" t="s">
        <v>21</v>
      </c>
      <c r="H787" s="45">
        <v>5000.0</v>
      </c>
      <c r="I787" s="29">
        <v>46207.0</v>
      </c>
      <c r="J787" s="45" t="s">
        <v>388</v>
      </c>
      <c r="K787" s="46"/>
      <c r="L787" s="47">
        <v>0.3333333333333333</v>
      </c>
      <c r="M787" s="47">
        <v>0.625</v>
      </c>
      <c r="N787" s="48" t="s">
        <v>3949</v>
      </c>
      <c r="O787" s="33" t="s">
        <v>3950</v>
      </c>
      <c r="P787" s="34" t="s">
        <v>3951</v>
      </c>
      <c r="Q787" s="42" t="s">
        <v>3952</v>
      </c>
      <c r="R787" s="43"/>
      <c r="S787" s="43"/>
      <c r="T787" s="43"/>
      <c r="U787" s="43"/>
      <c r="V787" s="43"/>
      <c r="W787" s="43"/>
      <c r="X787" s="43"/>
      <c r="Y787" s="43"/>
      <c r="Z787" s="43"/>
      <c r="AA787" s="43"/>
      <c r="AB787" s="43"/>
      <c r="AC787" s="43"/>
      <c r="AD787" s="43"/>
      <c r="AE787" s="43"/>
    </row>
    <row r="788">
      <c r="A788" s="13">
        <f t="shared" si="1"/>
        <v>787</v>
      </c>
      <c r="B788" s="43" t="s">
        <v>3953</v>
      </c>
      <c r="C788" s="98" t="s">
        <v>3954</v>
      </c>
      <c r="D788" s="43" t="s">
        <v>19</v>
      </c>
      <c r="E788" s="43" t="s">
        <v>3955</v>
      </c>
      <c r="F788" s="26">
        <v>1519.0</v>
      </c>
      <c r="G788" s="43" t="s">
        <v>21</v>
      </c>
      <c r="H788" s="26" t="s">
        <v>22</v>
      </c>
      <c r="I788" s="17">
        <v>46146.0</v>
      </c>
      <c r="J788" s="43" t="s">
        <v>23</v>
      </c>
      <c r="K788" s="43"/>
      <c r="L788" s="18">
        <v>0.3333333333333333</v>
      </c>
      <c r="M788" s="18">
        <v>0.9166666666666666</v>
      </c>
      <c r="N788" s="19" t="s">
        <v>3956</v>
      </c>
      <c r="O788" s="43" t="str">
        <f>IFERROR(__xludf.DUMMYFUNCTION("REGEXEXTRACT(N788,""^-?[0-9.]+"")"),"-7.267056327296016")</f>
        <v>-7.267056327296016</v>
      </c>
      <c r="P788" s="21" t="str">
        <f>IFERROR(__xludf.DUMMYFUNCTION("REGEXEXTRACT(N788,"",\s*(-?[0-9.]+)"")"),"112.74583518505737")</f>
        <v>112.74583518505737</v>
      </c>
      <c r="Q788" s="22" t="s">
        <v>3957</v>
      </c>
      <c r="R788" s="43"/>
      <c r="S788" s="43"/>
      <c r="T788" s="43"/>
      <c r="U788" s="43"/>
      <c r="V788" s="43"/>
      <c r="W788" s="43"/>
      <c r="X788" s="43"/>
      <c r="Y788" s="43"/>
      <c r="Z788" s="43"/>
      <c r="AA788" s="43"/>
      <c r="AB788" s="43"/>
      <c r="AC788" s="43"/>
      <c r="AD788" s="43"/>
      <c r="AE788" s="43"/>
    </row>
    <row r="789">
      <c r="A789" s="13">
        <f t="shared" si="1"/>
        <v>788</v>
      </c>
      <c r="B789" s="45" t="s">
        <v>3958</v>
      </c>
      <c r="C789" s="104" t="s">
        <v>3959</v>
      </c>
      <c r="D789" s="45" t="s">
        <v>46</v>
      </c>
      <c r="E789" s="45" t="s">
        <v>3960</v>
      </c>
      <c r="F789" s="28">
        <v>140.0</v>
      </c>
      <c r="G789" s="45" t="s">
        <v>21</v>
      </c>
      <c r="H789" s="45">
        <v>0.0</v>
      </c>
      <c r="I789" s="29">
        <v>46177.0</v>
      </c>
      <c r="J789" s="45" t="s">
        <v>287</v>
      </c>
      <c r="K789" s="46"/>
      <c r="L789" s="47">
        <v>0.4166666666666667</v>
      </c>
      <c r="M789" s="47">
        <v>0.6666666666666666</v>
      </c>
      <c r="N789" s="48" t="s">
        <v>3961</v>
      </c>
      <c r="O789" s="33" t="s">
        <v>3962</v>
      </c>
      <c r="P789" s="34" t="s">
        <v>3963</v>
      </c>
      <c r="Q789" s="42" t="s">
        <v>3964</v>
      </c>
      <c r="R789" s="43"/>
      <c r="S789" s="43"/>
      <c r="T789" s="43"/>
      <c r="U789" s="43"/>
      <c r="V789" s="43"/>
      <c r="W789" s="43"/>
      <c r="X789" s="43"/>
      <c r="Y789" s="43"/>
      <c r="Z789" s="43"/>
      <c r="AA789" s="43"/>
      <c r="AB789" s="43"/>
      <c r="AC789" s="43"/>
      <c r="AD789" s="43"/>
      <c r="AE789" s="43"/>
    </row>
    <row r="790">
      <c r="A790" s="13">
        <f t="shared" si="1"/>
        <v>789</v>
      </c>
      <c r="B790" s="28" t="s">
        <v>3965</v>
      </c>
      <c r="C790" s="92" t="s">
        <v>2748</v>
      </c>
      <c r="D790" s="28" t="s">
        <v>19</v>
      </c>
      <c r="E790" s="28" t="s">
        <v>2749</v>
      </c>
      <c r="F790" s="28">
        <v>631.0</v>
      </c>
      <c r="G790" s="28" t="s">
        <v>21</v>
      </c>
      <c r="H790" s="28" t="s">
        <v>22</v>
      </c>
      <c r="I790" s="29">
        <v>46207.0</v>
      </c>
      <c r="J790" s="28" t="s">
        <v>23</v>
      </c>
      <c r="K790" s="30"/>
      <c r="L790" s="31">
        <v>0.4166666666666667</v>
      </c>
      <c r="M790" s="31">
        <v>1.0</v>
      </c>
      <c r="N790" s="32" t="s">
        <v>3966</v>
      </c>
      <c r="O790" s="33" t="s">
        <v>3967</v>
      </c>
      <c r="P790" s="34" t="s">
        <v>3968</v>
      </c>
      <c r="Q790" s="22" t="s">
        <v>3969</v>
      </c>
      <c r="R790" s="43"/>
      <c r="S790" s="43"/>
      <c r="T790" s="43"/>
      <c r="U790" s="43"/>
      <c r="V790" s="43"/>
      <c r="W790" s="43"/>
      <c r="X790" s="43"/>
      <c r="Y790" s="43"/>
      <c r="Z790" s="43"/>
      <c r="AA790" s="43"/>
      <c r="AB790" s="43"/>
      <c r="AC790" s="43"/>
      <c r="AD790" s="43"/>
      <c r="AE790" s="43"/>
    </row>
    <row r="791">
      <c r="A791" s="13">
        <f t="shared" si="1"/>
        <v>790</v>
      </c>
      <c r="B791" s="43" t="s">
        <v>3970</v>
      </c>
      <c r="C791" s="98" t="s">
        <v>3971</v>
      </c>
      <c r="D791" s="37" t="s">
        <v>34</v>
      </c>
      <c r="E791" s="43" t="s">
        <v>3972</v>
      </c>
      <c r="F791" s="26">
        <v>153.0</v>
      </c>
      <c r="G791" s="43" t="s">
        <v>21</v>
      </c>
      <c r="H791" s="26" t="s">
        <v>22</v>
      </c>
      <c r="I791" s="17">
        <v>46177.0</v>
      </c>
      <c r="J791" s="43" t="s">
        <v>23</v>
      </c>
      <c r="K791" s="43"/>
      <c r="L791" s="18">
        <v>0.4166666666666667</v>
      </c>
      <c r="M791" s="26" t="s">
        <v>3973</v>
      </c>
      <c r="N791" s="19" t="s">
        <v>3974</v>
      </c>
      <c r="O791" s="43" t="str">
        <f>IFERROR(__xludf.DUMMYFUNCTION("REGEXEXTRACT(N791,""^-?[0-9.]+"")"),"-7.254072100775317")</f>
        <v>-7.254072100775317</v>
      </c>
      <c r="P791" s="21" t="str">
        <f>IFERROR(__xludf.DUMMYFUNCTION("REGEXEXTRACT(N791,"",\s*(-?[0-9.]+)"")"),"112.77818410703489")</f>
        <v>112.77818410703489</v>
      </c>
      <c r="Q791" s="22" t="s">
        <v>3975</v>
      </c>
      <c r="R791" s="43"/>
      <c r="S791" s="43"/>
      <c r="T791" s="43"/>
      <c r="U791" s="43"/>
      <c r="V791" s="43"/>
      <c r="W791" s="43"/>
      <c r="X791" s="43"/>
      <c r="Y791" s="43"/>
      <c r="Z791" s="43"/>
      <c r="AA791" s="43"/>
      <c r="AB791" s="43"/>
      <c r="AC791" s="43"/>
      <c r="AD791" s="43"/>
      <c r="AE791" s="43"/>
    </row>
    <row r="792">
      <c r="A792" s="13">
        <f t="shared" si="1"/>
        <v>791</v>
      </c>
      <c r="B792" s="43" t="s">
        <v>3976</v>
      </c>
      <c r="C792" s="98" t="s">
        <v>3977</v>
      </c>
      <c r="D792" s="37" t="s">
        <v>34</v>
      </c>
      <c r="E792" s="43" t="s">
        <v>3978</v>
      </c>
      <c r="F792" s="26">
        <v>708.0</v>
      </c>
      <c r="G792" s="43" t="s">
        <v>21</v>
      </c>
      <c r="H792" s="26" t="s">
        <v>22</v>
      </c>
      <c r="I792" s="17">
        <v>46238.0</v>
      </c>
      <c r="J792" s="43" t="s">
        <v>23</v>
      </c>
      <c r="K792" s="43"/>
      <c r="L792" s="18">
        <v>0.4583333333333333</v>
      </c>
      <c r="M792" s="18">
        <v>0.875</v>
      </c>
      <c r="N792" s="19" t="s">
        <v>3979</v>
      </c>
      <c r="O792" s="43" t="str">
        <f>IFERROR(__xludf.DUMMYFUNCTION("REGEXEXTRACT(N792,""^-?[0-9.]+"")"),"-7.257394117697718")</f>
        <v>-7.257394117697718</v>
      </c>
      <c r="P792" s="21" t="str">
        <f>IFERROR(__xludf.DUMMYFUNCTION("REGEXEXTRACT(N792,"",\s*(-?[0-9.]+)"")"),"112.77848782250655")</f>
        <v>112.77848782250655</v>
      </c>
      <c r="Q792" s="22" t="s">
        <v>3980</v>
      </c>
      <c r="R792" s="43"/>
      <c r="S792" s="43"/>
      <c r="T792" s="43"/>
      <c r="U792" s="43"/>
      <c r="V792" s="43"/>
      <c r="W792" s="43"/>
      <c r="X792" s="43"/>
      <c r="Y792" s="43"/>
      <c r="Z792" s="43"/>
      <c r="AA792" s="43"/>
      <c r="AB792" s="43"/>
      <c r="AC792" s="43"/>
      <c r="AD792" s="43"/>
      <c r="AE792" s="43"/>
    </row>
    <row r="793">
      <c r="A793" s="13">
        <f t="shared" si="1"/>
        <v>792</v>
      </c>
      <c r="B793" s="28" t="s">
        <v>3981</v>
      </c>
      <c r="C793" s="92" t="s">
        <v>3982</v>
      </c>
      <c r="D793" s="28" t="s">
        <v>129</v>
      </c>
      <c r="E793" s="28" t="s">
        <v>3983</v>
      </c>
      <c r="F793" s="28">
        <v>1550.0</v>
      </c>
      <c r="G793" s="28" t="s">
        <v>21</v>
      </c>
      <c r="H793" s="28">
        <v>0.0</v>
      </c>
      <c r="I793" s="29">
        <v>46116.0</v>
      </c>
      <c r="J793" s="52" t="s">
        <v>23</v>
      </c>
      <c r="K793" s="30"/>
      <c r="L793" s="28" t="s">
        <v>3984</v>
      </c>
      <c r="M793" s="31">
        <v>0.875</v>
      </c>
      <c r="N793" s="96" t="s">
        <v>3985</v>
      </c>
      <c r="O793" s="95">
        <v>-7.2898778E7</v>
      </c>
      <c r="P793" s="95">
        <v>1.127064354E9</v>
      </c>
      <c r="Q793" s="12" t="s">
        <v>3986</v>
      </c>
      <c r="AC793" s="43"/>
      <c r="AD793" s="43"/>
      <c r="AE793" s="43"/>
    </row>
    <row r="794">
      <c r="A794" s="13">
        <f t="shared" si="1"/>
        <v>793</v>
      </c>
      <c r="B794" s="43" t="s">
        <v>3987</v>
      </c>
      <c r="C794" s="98" t="s">
        <v>3988</v>
      </c>
      <c r="D794" s="37" t="s">
        <v>34</v>
      </c>
      <c r="E794" s="43" t="s">
        <v>3989</v>
      </c>
      <c r="F794" s="26">
        <v>244.0</v>
      </c>
      <c r="G794" s="43" t="s">
        <v>21</v>
      </c>
      <c r="H794" s="26" t="s">
        <v>36</v>
      </c>
      <c r="I794" s="17">
        <v>46177.0</v>
      </c>
      <c r="J794" s="43" t="s">
        <v>65</v>
      </c>
      <c r="K794" s="43" t="s">
        <v>66</v>
      </c>
      <c r="L794" s="18">
        <v>0.75</v>
      </c>
      <c r="M794" s="18">
        <v>0.9583333333333334</v>
      </c>
      <c r="N794" s="19" t="s">
        <v>3990</v>
      </c>
      <c r="O794" s="43" t="str">
        <f>IFERROR(__xludf.DUMMYFUNCTION("REGEXEXTRACT(N794,""^-?[0-9.]+"")"),"-7.260422745320723")</f>
        <v>-7.260422745320723</v>
      </c>
      <c r="P794" s="21" t="str">
        <f>IFERROR(__xludf.DUMMYFUNCTION("REGEXEXTRACT(N794,"",\s*(-?[0-9.]+)"")"),"112.77712220071004")</f>
        <v>112.77712220071004</v>
      </c>
      <c r="Q794" s="22" t="s">
        <v>3991</v>
      </c>
      <c r="R794" s="43"/>
      <c r="S794" s="43"/>
      <c r="T794" s="43"/>
      <c r="U794" s="43"/>
      <c r="V794" s="43"/>
      <c r="W794" s="43"/>
      <c r="X794" s="43"/>
      <c r="Y794" s="43"/>
      <c r="Z794" s="43"/>
      <c r="AA794" s="43"/>
      <c r="AB794" s="43"/>
    </row>
    <row r="795">
      <c r="A795" s="13">
        <f t="shared" si="1"/>
        <v>794</v>
      </c>
      <c r="B795" s="37" t="s">
        <v>3992</v>
      </c>
      <c r="C795" s="97" t="s">
        <v>3993</v>
      </c>
      <c r="D795" s="37" t="s">
        <v>34</v>
      </c>
      <c r="E795" s="37" t="s">
        <v>3994</v>
      </c>
      <c r="F795" s="26">
        <v>1768.0</v>
      </c>
      <c r="G795" s="37" t="s">
        <v>21</v>
      </c>
      <c r="H795" s="38">
        <v>20000.0</v>
      </c>
      <c r="I795" s="39">
        <v>46177.0</v>
      </c>
      <c r="J795" s="37" t="s">
        <v>23</v>
      </c>
      <c r="K795" s="40"/>
      <c r="L795" s="41">
        <v>0.2916666666666667</v>
      </c>
      <c r="M795" s="41">
        <v>0.875</v>
      </c>
      <c r="N795" s="19" t="s">
        <v>3995</v>
      </c>
      <c r="O795" s="19" t="s">
        <v>3996</v>
      </c>
      <c r="P795" s="21" t="s">
        <v>3997</v>
      </c>
      <c r="Q795" s="42" t="s">
        <v>3998</v>
      </c>
      <c r="R795" s="43"/>
      <c r="S795" s="43"/>
      <c r="T795" s="43"/>
      <c r="U795" s="43"/>
      <c r="V795" s="43"/>
      <c r="W795" s="43"/>
      <c r="X795" s="43"/>
      <c r="Y795" s="43"/>
      <c r="Z795" s="43"/>
      <c r="AA795" s="43"/>
      <c r="AB795" s="43"/>
      <c r="AC795" s="43"/>
      <c r="AD795" s="43"/>
      <c r="AE795" s="43"/>
    </row>
    <row r="796">
      <c r="A796" s="13">
        <f t="shared" si="1"/>
        <v>795</v>
      </c>
      <c r="B796" s="28" t="s">
        <v>3999</v>
      </c>
      <c r="C796" s="92" t="s">
        <v>4000</v>
      </c>
      <c r="D796" s="28" t="s">
        <v>46</v>
      </c>
      <c r="E796" s="28" t="s">
        <v>4001</v>
      </c>
      <c r="F796" s="28">
        <v>1672.0</v>
      </c>
      <c r="G796" s="28" t="s">
        <v>21</v>
      </c>
      <c r="H796" s="28">
        <v>0.0</v>
      </c>
      <c r="I796" s="29">
        <v>46238.0</v>
      </c>
      <c r="J796" s="52" t="s">
        <v>23</v>
      </c>
      <c r="K796" s="30"/>
      <c r="L796" s="31">
        <v>0.4166666666666667</v>
      </c>
      <c r="M796" s="31">
        <v>0.9166666666666666</v>
      </c>
      <c r="N796" s="94" t="s">
        <v>4002</v>
      </c>
      <c r="O796" s="32">
        <v>-7.2771449E7</v>
      </c>
      <c r="P796" s="94">
        <v>1.128073719E9</v>
      </c>
      <c r="Q796" s="12" t="s">
        <v>4003</v>
      </c>
      <c r="AC796" s="43"/>
      <c r="AD796" s="43"/>
      <c r="AE796" s="43"/>
    </row>
    <row r="797">
      <c r="A797" s="13">
        <f t="shared" si="1"/>
        <v>796</v>
      </c>
      <c r="B797" s="37" t="s">
        <v>4004</v>
      </c>
      <c r="C797" s="97" t="s">
        <v>4005</v>
      </c>
      <c r="D797" s="37" t="s">
        <v>19</v>
      </c>
      <c r="E797" s="37" t="s">
        <v>4006</v>
      </c>
      <c r="F797" s="15">
        <v>2521.0</v>
      </c>
      <c r="G797" s="37" t="s">
        <v>21</v>
      </c>
      <c r="H797" s="79" t="s">
        <v>22</v>
      </c>
      <c r="I797" s="39">
        <v>46207.0</v>
      </c>
      <c r="J797" s="37" t="s">
        <v>23</v>
      </c>
      <c r="K797" s="40"/>
      <c r="L797" s="41">
        <v>0.375</v>
      </c>
      <c r="M797" s="41">
        <v>0.9583333333333334</v>
      </c>
      <c r="N797" s="19" t="s">
        <v>4007</v>
      </c>
      <c r="O797" s="19" t="s">
        <v>4008</v>
      </c>
      <c r="P797" s="21" t="s">
        <v>4009</v>
      </c>
      <c r="Q797" s="42" t="s">
        <v>4010</v>
      </c>
      <c r="R797" s="43"/>
      <c r="S797" s="43"/>
      <c r="T797" s="43"/>
      <c r="U797" s="43"/>
      <c r="V797" s="43"/>
      <c r="W797" s="43"/>
      <c r="X797" s="43"/>
      <c r="Y797" s="43"/>
      <c r="Z797" s="43"/>
      <c r="AA797" s="43"/>
      <c r="AB797" s="43"/>
    </row>
    <row r="798">
      <c r="A798" s="13">
        <f t="shared" si="1"/>
        <v>797</v>
      </c>
      <c r="B798" s="28" t="s">
        <v>4011</v>
      </c>
      <c r="C798" s="92" t="s">
        <v>4012</v>
      </c>
      <c r="D798" s="28" t="s">
        <v>46</v>
      </c>
      <c r="E798" s="28" t="s">
        <v>4013</v>
      </c>
      <c r="F798" s="28">
        <v>406.0</v>
      </c>
      <c r="G798" s="28" t="s">
        <v>21</v>
      </c>
      <c r="H798" s="28">
        <v>15000.0</v>
      </c>
      <c r="I798" s="29">
        <v>46177.0</v>
      </c>
      <c r="J798" s="52" t="s">
        <v>23</v>
      </c>
      <c r="K798" s="30"/>
      <c r="L798" s="31">
        <v>0.375</v>
      </c>
      <c r="M798" s="31">
        <v>0.75</v>
      </c>
      <c r="N798" s="48" t="s">
        <v>4014</v>
      </c>
      <c r="O798" s="33" t="s">
        <v>4015</v>
      </c>
      <c r="P798" s="34" t="s">
        <v>4016</v>
      </c>
      <c r="Q798" s="12" t="s">
        <v>4017</v>
      </c>
      <c r="AC798" s="43"/>
      <c r="AD798" s="43"/>
      <c r="AE798" s="43"/>
    </row>
    <row r="799">
      <c r="A799" s="13">
        <f t="shared" si="1"/>
        <v>798</v>
      </c>
      <c r="B799" s="106" t="s">
        <v>4018</v>
      </c>
      <c r="C799" s="92" t="s">
        <v>4019</v>
      </c>
      <c r="D799" s="28" t="s">
        <v>46</v>
      </c>
      <c r="E799" s="28" t="s">
        <v>4020</v>
      </c>
      <c r="F799" s="28">
        <v>2337.0</v>
      </c>
      <c r="G799" s="28" t="s">
        <v>21</v>
      </c>
      <c r="H799" s="28">
        <v>0.0</v>
      </c>
      <c r="I799" s="29">
        <v>46146.0</v>
      </c>
      <c r="J799" s="28" t="s">
        <v>23</v>
      </c>
      <c r="K799" s="30"/>
      <c r="L799" s="31">
        <v>0.0</v>
      </c>
      <c r="M799" s="31">
        <v>0.0</v>
      </c>
      <c r="N799" s="32" t="s">
        <v>4021</v>
      </c>
      <c r="O799" s="33" t="s">
        <v>4022</v>
      </c>
      <c r="P799" s="34" t="s">
        <v>4023</v>
      </c>
      <c r="Q799" s="12" t="s">
        <v>4024</v>
      </c>
    </row>
    <row r="801">
      <c r="F801" s="66"/>
      <c r="H801" s="66"/>
      <c r="I801" s="66"/>
      <c r="L801" s="66"/>
      <c r="M801" s="66"/>
    </row>
    <row r="802">
      <c r="F802" s="66"/>
      <c r="H802" s="66"/>
      <c r="I802" s="66"/>
      <c r="L802" s="66"/>
      <c r="M802" s="66"/>
    </row>
    <row r="803">
      <c r="F803" s="66"/>
      <c r="H803" s="66"/>
      <c r="I803" s="66"/>
      <c r="L803" s="66"/>
      <c r="M803" s="66"/>
    </row>
    <row r="804">
      <c r="F804" s="66"/>
      <c r="H804" s="66"/>
      <c r="I804" s="66"/>
      <c r="L804" s="66"/>
      <c r="M804" s="66"/>
    </row>
    <row r="805">
      <c r="F805" s="66"/>
      <c r="H805" s="66"/>
      <c r="I805" s="66"/>
      <c r="L805" s="66"/>
      <c r="M805" s="66"/>
    </row>
    <row r="806">
      <c r="F806" s="66"/>
      <c r="H806" s="66"/>
      <c r="I806" s="66"/>
      <c r="L806" s="66"/>
      <c r="M806" s="66"/>
    </row>
    <row r="807">
      <c r="F807" s="66"/>
      <c r="H807" s="66"/>
      <c r="I807" s="66"/>
      <c r="L807" s="66"/>
      <c r="M807" s="66"/>
    </row>
    <row r="808">
      <c r="F808" s="66"/>
      <c r="H808" s="66"/>
      <c r="I808" s="66"/>
      <c r="L808" s="66"/>
      <c r="M808" s="66"/>
    </row>
    <row r="809">
      <c r="F809" s="66"/>
      <c r="H809" s="66"/>
      <c r="I809" s="66"/>
      <c r="L809" s="66"/>
      <c r="M809" s="66"/>
    </row>
    <row r="810">
      <c r="F810" s="66"/>
      <c r="H810" s="66"/>
      <c r="I810" s="66"/>
      <c r="L810" s="66"/>
      <c r="M810" s="66"/>
    </row>
    <row r="811">
      <c r="F811" s="66"/>
      <c r="H811" s="66"/>
      <c r="I811" s="66"/>
      <c r="L811" s="66"/>
      <c r="M811" s="66"/>
    </row>
    <row r="812">
      <c r="F812" s="66"/>
      <c r="H812" s="66"/>
      <c r="I812" s="66"/>
      <c r="L812" s="66"/>
      <c r="M812" s="66"/>
    </row>
    <row r="813">
      <c r="F813" s="66"/>
      <c r="H813" s="66"/>
      <c r="I813" s="66"/>
      <c r="L813" s="66"/>
      <c r="M813" s="66"/>
    </row>
    <row r="814">
      <c r="F814" s="66"/>
      <c r="H814" s="66"/>
      <c r="I814" s="66"/>
      <c r="L814" s="66"/>
      <c r="M814" s="66"/>
    </row>
    <row r="815">
      <c r="F815" s="66"/>
      <c r="H815" s="66"/>
      <c r="I815" s="66"/>
      <c r="L815" s="66"/>
      <c r="M815" s="66"/>
    </row>
    <row r="816">
      <c r="F816" s="66"/>
      <c r="H816" s="66"/>
      <c r="I816" s="66"/>
      <c r="L816" s="66"/>
      <c r="M816" s="66"/>
    </row>
    <row r="817">
      <c r="F817" s="66"/>
      <c r="H817" s="66"/>
      <c r="I817" s="66"/>
      <c r="L817" s="66"/>
      <c r="M817" s="66"/>
    </row>
    <row r="818">
      <c r="F818" s="66"/>
      <c r="H818" s="66"/>
      <c r="I818" s="66"/>
      <c r="L818" s="66"/>
      <c r="M818" s="66"/>
    </row>
    <row r="819">
      <c r="F819" s="66"/>
      <c r="H819" s="66"/>
      <c r="I819" s="66"/>
      <c r="L819" s="66"/>
      <c r="M819" s="66"/>
    </row>
    <row r="820">
      <c r="F820" s="66"/>
      <c r="H820" s="66"/>
      <c r="I820" s="66"/>
      <c r="L820" s="66"/>
      <c r="M820" s="66"/>
    </row>
    <row r="821">
      <c r="F821" s="66"/>
      <c r="H821" s="66"/>
      <c r="I821" s="66"/>
      <c r="L821" s="66"/>
      <c r="M821" s="66"/>
    </row>
    <row r="822">
      <c r="F822" s="66"/>
      <c r="H822" s="66"/>
      <c r="I822" s="66"/>
      <c r="L822" s="66"/>
      <c r="M822" s="66"/>
    </row>
    <row r="823">
      <c r="F823" s="66"/>
      <c r="H823" s="66"/>
      <c r="I823" s="66"/>
      <c r="L823" s="66"/>
      <c r="M823" s="66"/>
    </row>
    <row r="824">
      <c r="F824" s="66"/>
      <c r="H824" s="66"/>
      <c r="I824" s="66"/>
      <c r="L824" s="66"/>
      <c r="M824" s="66"/>
    </row>
    <row r="825">
      <c r="F825" s="66"/>
      <c r="H825" s="66"/>
      <c r="I825" s="66"/>
      <c r="L825" s="66"/>
      <c r="M825" s="66"/>
    </row>
    <row r="826">
      <c r="F826" s="66"/>
      <c r="H826" s="66"/>
      <c r="I826" s="66"/>
      <c r="L826" s="66"/>
      <c r="M826" s="66"/>
    </row>
    <row r="827">
      <c r="F827" s="66"/>
      <c r="H827" s="66"/>
      <c r="I827" s="66"/>
      <c r="L827" s="66"/>
      <c r="M827" s="66"/>
    </row>
    <row r="828">
      <c r="F828" s="66"/>
      <c r="H828" s="66"/>
      <c r="I828" s="66"/>
      <c r="L828" s="66"/>
      <c r="M828" s="66"/>
    </row>
    <row r="829">
      <c r="F829" s="66"/>
      <c r="H829" s="66"/>
      <c r="I829" s="66"/>
      <c r="L829" s="66"/>
      <c r="M829" s="66"/>
    </row>
    <row r="830">
      <c r="F830" s="66"/>
      <c r="H830" s="66"/>
      <c r="I830" s="66"/>
      <c r="L830" s="66"/>
      <c r="M830" s="66"/>
    </row>
    <row r="831">
      <c r="F831" s="66"/>
      <c r="H831" s="66"/>
      <c r="I831" s="66"/>
      <c r="L831" s="66"/>
      <c r="M831" s="66"/>
    </row>
    <row r="832">
      <c r="F832" s="66"/>
      <c r="H832" s="66"/>
      <c r="I832" s="66"/>
      <c r="L832" s="66"/>
      <c r="M832" s="66"/>
    </row>
    <row r="833">
      <c r="F833" s="66"/>
      <c r="H833" s="66"/>
      <c r="I833" s="66"/>
      <c r="L833" s="66"/>
      <c r="M833" s="66"/>
    </row>
    <row r="834">
      <c r="F834" s="66"/>
      <c r="H834" s="66"/>
      <c r="I834" s="66"/>
      <c r="L834" s="66"/>
      <c r="M834" s="66"/>
    </row>
    <row r="835">
      <c r="F835" s="66"/>
      <c r="H835" s="66"/>
      <c r="I835" s="66"/>
      <c r="L835" s="66"/>
      <c r="M835" s="66"/>
    </row>
    <row r="836">
      <c r="F836" s="66"/>
      <c r="H836" s="66"/>
      <c r="I836" s="66"/>
      <c r="L836" s="66"/>
      <c r="M836" s="66"/>
    </row>
    <row r="837">
      <c r="F837" s="66"/>
      <c r="H837" s="66"/>
      <c r="I837" s="66"/>
      <c r="L837" s="66"/>
      <c r="M837" s="66"/>
    </row>
    <row r="838">
      <c r="F838" s="66"/>
      <c r="H838" s="66"/>
      <c r="I838" s="66"/>
      <c r="L838" s="66"/>
      <c r="M838" s="66"/>
    </row>
    <row r="839">
      <c r="F839" s="66"/>
      <c r="H839" s="66"/>
      <c r="I839" s="66"/>
      <c r="L839" s="66"/>
      <c r="M839" s="66"/>
    </row>
    <row r="840">
      <c r="F840" s="66"/>
      <c r="H840" s="66"/>
      <c r="I840" s="66"/>
      <c r="L840" s="66"/>
      <c r="M840" s="66"/>
    </row>
    <row r="841">
      <c r="F841" s="66"/>
      <c r="H841" s="66"/>
      <c r="I841" s="66"/>
      <c r="L841" s="66"/>
      <c r="M841" s="66"/>
    </row>
    <row r="842">
      <c r="F842" s="66"/>
      <c r="H842" s="66"/>
      <c r="I842" s="66"/>
      <c r="L842" s="66"/>
      <c r="M842" s="66"/>
    </row>
    <row r="843">
      <c r="F843" s="66"/>
      <c r="H843" s="66"/>
      <c r="I843" s="66"/>
      <c r="L843" s="66"/>
      <c r="M843" s="66"/>
    </row>
    <row r="844">
      <c r="F844" s="66"/>
      <c r="H844" s="66"/>
      <c r="I844" s="66"/>
      <c r="L844" s="66"/>
      <c r="M844" s="66"/>
    </row>
    <row r="845">
      <c r="F845" s="66"/>
      <c r="H845" s="66"/>
      <c r="I845" s="66"/>
      <c r="L845" s="66"/>
      <c r="M845" s="66"/>
    </row>
    <row r="846">
      <c r="F846" s="66"/>
      <c r="H846" s="66"/>
      <c r="I846" s="66"/>
      <c r="L846" s="66"/>
      <c r="M846" s="66"/>
    </row>
    <row r="847">
      <c r="F847" s="66"/>
      <c r="H847" s="66"/>
      <c r="I847" s="66"/>
      <c r="L847" s="66"/>
      <c r="M847" s="66"/>
    </row>
    <row r="848">
      <c r="F848" s="66"/>
      <c r="H848" s="66"/>
      <c r="I848" s="66"/>
      <c r="L848" s="66"/>
      <c r="M848" s="66"/>
    </row>
    <row r="849">
      <c r="F849" s="66"/>
      <c r="H849" s="66"/>
      <c r="I849" s="66"/>
      <c r="L849" s="66"/>
      <c r="M849" s="66"/>
    </row>
    <row r="850">
      <c r="F850" s="66"/>
      <c r="H850" s="66"/>
      <c r="I850" s="66"/>
      <c r="L850" s="66"/>
      <c r="M850" s="66"/>
    </row>
    <row r="851">
      <c r="F851" s="66"/>
      <c r="H851" s="66"/>
      <c r="I851" s="66"/>
      <c r="L851" s="66"/>
      <c r="M851" s="66"/>
    </row>
    <row r="852">
      <c r="F852" s="66"/>
      <c r="H852" s="66"/>
      <c r="I852" s="66"/>
      <c r="L852" s="66"/>
      <c r="M852" s="66"/>
    </row>
    <row r="853">
      <c r="F853" s="66"/>
      <c r="H853" s="66"/>
      <c r="I853" s="66"/>
      <c r="L853" s="66"/>
      <c r="M853" s="66"/>
    </row>
    <row r="854">
      <c r="F854" s="66"/>
      <c r="H854" s="66"/>
      <c r="I854" s="66"/>
      <c r="L854" s="66"/>
      <c r="M854" s="66"/>
    </row>
    <row r="855">
      <c r="F855" s="66"/>
      <c r="H855" s="66"/>
      <c r="I855" s="66"/>
      <c r="L855" s="66"/>
      <c r="M855" s="66"/>
    </row>
    <row r="856">
      <c r="F856" s="66"/>
      <c r="H856" s="66"/>
      <c r="I856" s="66"/>
      <c r="L856" s="66"/>
      <c r="M856" s="66"/>
    </row>
    <row r="857">
      <c r="F857" s="66"/>
      <c r="H857" s="66"/>
      <c r="I857" s="66"/>
      <c r="L857" s="66"/>
      <c r="M857" s="66"/>
    </row>
    <row r="858">
      <c r="F858" s="66"/>
      <c r="H858" s="66"/>
      <c r="I858" s="66"/>
      <c r="L858" s="66"/>
      <c r="M858" s="66"/>
    </row>
    <row r="859">
      <c r="F859" s="66"/>
      <c r="H859" s="66"/>
      <c r="I859" s="66"/>
      <c r="L859" s="66"/>
      <c r="M859" s="66"/>
    </row>
    <row r="860">
      <c r="F860" s="66"/>
      <c r="H860" s="66"/>
      <c r="I860" s="66"/>
      <c r="L860" s="66"/>
      <c r="M860" s="66"/>
    </row>
    <row r="861">
      <c r="F861" s="66"/>
      <c r="H861" s="66"/>
      <c r="I861" s="66"/>
      <c r="L861" s="66"/>
      <c r="M861" s="66"/>
    </row>
    <row r="862">
      <c r="F862" s="66"/>
      <c r="H862" s="66"/>
      <c r="I862" s="66"/>
      <c r="L862" s="66"/>
      <c r="M862" s="66"/>
    </row>
    <row r="863">
      <c r="F863" s="66"/>
      <c r="H863" s="66"/>
      <c r="I863" s="66"/>
      <c r="L863" s="66"/>
      <c r="M863" s="66"/>
    </row>
    <row r="864">
      <c r="F864" s="66"/>
      <c r="H864" s="66"/>
      <c r="I864" s="66"/>
      <c r="L864" s="66"/>
      <c r="M864" s="66"/>
    </row>
    <row r="865">
      <c r="F865" s="66"/>
      <c r="H865" s="66"/>
      <c r="I865" s="66"/>
      <c r="L865" s="66"/>
      <c r="M865" s="66"/>
    </row>
    <row r="866">
      <c r="F866" s="66"/>
      <c r="H866" s="66"/>
      <c r="I866" s="66"/>
      <c r="L866" s="66"/>
      <c r="M866" s="66"/>
    </row>
    <row r="867">
      <c r="F867" s="66"/>
      <c r="H867" s="66"/>
      <c r="I867" s="66"/>
      <c r="L867" s="66"/>
      <c r="M867" s="66"/>
    </row>
    <row r="868">
      <c r="F868" s="66"/>
      <c r="H868" s="66"/>
      <c r="I868" s="66"/>
      <c r="L868" s="66"/>
      <c r="M868" s="66"/>
    </row>
    <row r="869">
      <c r="F869" s="66"/>
      <c r="H869" s="66"/>
      <c r="I869" s="66"/>
      <c r="L869" s="66"/>
      <c r="M869" s="66"/>
    </row>
    <row r="870">
      <c r="F870" s="66"/>
      <c r="H870" s="66"/>
      <c r="I870" s="66"/>
      <c r="L870" s="66"/>
      <c r="M870" s="66"/>
    </row>
    <row r="871">
      <c r="F871" s="66"/>
      <c r="H871" s="66"/>
      <c r="I871" s="66"/>
      <c r="L871" s="66"/>
      <c r="M871" s="66"/>
    </row>
    <row r="872">
      <c r="F872" s="66"/>
      <c r="H872" s="66"/>
      <c r="I872" s="66"/>
      <c r="L872" s="66"/>
      <c r="M872" s="66"/>
    </row>
    <row r="873">
      <c r="F873" s="66"/>
      <c r="H873" s="66"/>
      <c r="I873" s="66"/>
      <c r="L873" s="66"/>
      <c r="M873" s="66"/>
    </row>
    <row r="874">
      <c r="F874" s="66"/>
      <c r="H874" s="66"/>
      <c r="I874" s="66"/>
      <c r="L874" s="66"/>
      <c r="M874" s="66"/>
    </row>
    <row r="875">
      <c r="F875" s="66"/>
      <c r="H875" s="66"/>
      <c r="I875" s="66"/>
      <c r="L875" s="66"/>
      <c r="M875" s="66"/>
    </row>
    <row r="876">
      <c r="F876" s="66"/>
      <c r="H876" s="66"/>
      <c r="I876" s="66"/>
      <c r="L876" s="66"/>
      <c r="M876" s="66"/>
    </row>
    <row r="877">
      <c r="F877" s="66"/>
      <c r="H877" s="66"/>
      <c r="I877" s="66"/>
      <c r="L877" s="66"/>
      <c r="M877" s="66"/>
    </row>
    <row r="878">
      <c r="F878" s="66"/>
      <c r="H878" s="66"/>
      <c r="I878" s="66"/>
      <c r="L878" s="66"/>
      <c r="M878" s="66"/>
    </row>
    <row r="879">
      <c r="F879" s="66"/>
      <c r="H879" s="66"/>
      <c r="I879" s="66"/>
      <c r="L879" s="66"/>
      <c r="M879" s="66"/>
    </row>
    <row r="880">
      <c r="F880" s="66"/>
      <c r="H880" s="66"/>
      <c r="I880" s="66"/>
      <c r="L880" s="66"/>
      <c r="M880" s="66"/>
    </row>
    <row r="881">
      <c r="F881" s="66"/>
      <c r="H881" s="66"/>
      <c r="I881" s="66"/>
      <c r="L881" s="66"/>
      <c r="M881" s="66"/>
    </row>
    <row r="882">
      <c r="F882" s="66"/>
      <c r="H882" s="66"/>
      <c r="I882" s="66"/>
      <c r="L882" s="66"/>
      <c r="M882" s="66"/>
    </row>
    <row r="883">
      <c r="F883" s="66"/>
      <c r="H883" s="66"/>
      <c r="I883" s="66"/>
      <c r="L883" s="66"/>
      <c r="M883" s="66"/>
    </row>
    <row r="884">
      <c r="F884" s="66"/>
      <c r="H884" s="66"/>
      <c r="I884" s="66"/>
      <c r="L884" s="66"/>
      <c r="M884" s="66"/>
    </row>
    <row r="885">
      <c r="F885" s="66"/>
      <c r="H885" s="66"/>
      <c r="I885" s="66"/>
      <c r="L885" s="66"/>
      <c r="M885" s="66"/>
    </row>
    <row r="886">
      <c r="F886" s="66"/>
      <c r="H886" s="66"/>
      <c r="I886" s="66"/>
      <c r="L886" s="66"/>
      <c r="M886" s="66"/>
    </row>
    <row r="887">
      <c r="F887" s="66"/>
      <c r="H887" s="66"/>
      <c r="I887" s="66"/>
      <c r="L887" s="66"/>
      <c r="M887" s="66"/>
    </row>
    <row r="888">
      <c r="F888" s="66"/>
      <c r="H888" s="66"/>
      <c r="I888" s="66"/>
      <c r="L888" s="66"/>
      <c r="M888" s="66"/>
    </row>
    <row r="889">
      <c r="F889" s="66"/>
      <c r="H889" s="66"/>
      <c r="I889" s="66"/>
      <c r="L889" s="66"/>
      <c r="M889" s="66"/>
    </row>
    <row r="890">
      <c r="F890" s="66"/>
      <c r="H890" s="66"/>
      <c r="I890" s="66"/>
      <c r="L890" s="66"/>
      <c r="M890" s="66"/>
    </row>
    <row r="891">
      <c r="F891" s="66"/>
      <c r="H891" s="66"/>
      <c r="I891" s="66"/>
      <c r="L891" s="66"/>
      <c r="M891" s="66"/>
    </row>
    <row r="892">
      <c r="F892" s="66"/>
      <c r="H892" s="66"/>
      <c r="I892" s="66"/>
      <c r="L892" s="66"/>
      <c r="M892" s="66"/>
    </row>
    <row r="893">
      <c r="F893" s="66"/>
      <c r="H893" s="66"/>
      <c r="I893" s="66"/>
      <c r="L893" s="66"/>
      <c r="M893" s="66"/>
    </row>
    <row r="894">
      <c r="F894" s="66"/>
      <c r="H894" s="66"/>
      <c r="I894" s="66"/>
      <c r="L894" s="66"/>
      <c r="M894" s="66"/>
    </row>
    <row r="895">
      <c r="F895" s="66"/>
      <c r="H895" s="66"/>
      <c r="I895" s="66"/>
      <c r="L895" s="66"/>
      <c r="M895" s="66"/>
    </row>
    <row r="896">
      <c r="F896" s="66"/>
      <c r="H896" s="66"/>
      <c r="I896" s="66"/>
      <c r="L896" s="66"/>
      <c r="M896" s="66"/>
    </row>
    <row r="897">
      <c r="F897" s="66"/>
      <c r="H897" s="66"/>
      <c r="I897" s="66"/>
      <c r="L897" s="66"/>
      <c r="M897" s="66"/>
    </row>
    <row r="898">
      <c r="F898" s="66"/>
      <c r="H898" s="66"/>
      <c r="I898" s="66"/>
      <c r="L898" s="66"/>
      <c r="M898" s="66"/>
    </row>
    <row r="899">
      <c r="F899" s="66"/>
      <c r="H899" s="66"/>
      <c r="I899" s="66"/>
      <c r="L899" s="66"/>
      <c r="M899" s="66"/>
    </row>
    <row r="900">
      <c r="F900" s="66"/>
      <c r="H900" s="66"/>
      <c r="I900" s="66"/>
      <c r="L900" s="66"/>
      <c r="M900" s="66"/>
    </row>
    <row r="901">
      <c r="F901" s="66"/>
      <c r="H901" s="66"/>
      <c r="I901" s="66"/>
      <c r="L901" s="66"/>
      <c r="M901" s="66"/>
    </row>
    <row r="902">
      <c r="F902" s="66"/>
      <c r="H902" s="66"/>
      <c r="I902" s="66"/>
      <c r="L902" s="66"/>
      <c r="M902" s="66"/>
    </row>
    <row r="903">
      <c r="F903" s="66"/>
      <c r="H903" s="66"/>
      <c r="I903" s="66"/>
      <c r="L903" s="66"/>
      <c r="M903" s="66"/>
    </row>
    <row r="904">
      <c r="F904" s="66"/>
      <c r="H904" s="66"/>
      <c r="I904" s="66"/>
      <c r="L904" s="66"/>
      <c r="M904" s="66"/>
    </row>
    <row r="905">
      <c r="F905" s="66"/>
      <c r="H905" s="66"/>
      <c r="I905" s="66"/>
      <c r="L905" s="66"/>
      <c r="M905" s="66"/>
    </row>
    <row r="906">
      <c r="F906" s="66"/>
      <c r="H906" s="66"/>
      <c r="I906" s="66"/>
      <c r="L906" s="66"/>
      <c r="M906" s="66"/>
    </row>
    <row r="907">
      <c r="F907" s="66"/>
      <c r="H907" s="66"/>
      <c r="I907" s="66"/>
      <c r="L907" s="66"/>
      <c r="M907" s="66"/>
    </row>
    <row r="908">
      <c r="F908" s="66"/>
      <c r="H908" s="66"/>
      <c r="I908" s="66"/>
      <c r="L908" s="66"/>
      <c r="M908" s="66"/>
    </row>
    <row r="909">
      <c r="F909" s="66"/>
      <c r="H909" s="66"/>
      <c r="I909" s="66"/>
      <c r="L909" s="66"/>
      <c r="M909" s="66"/>
    </row>
    <row r="910">
      <c r="F910" s="66"/>
      <c r="H910" s="66"/>
      <c r="I910" s="66"/>
      <c r="L910" s="66"/>
      <c r="M910" s="66"/>
    </row>
    <row r="911">
      <c r="F911" s="66"/>
      <c r="H911" s="66"/>
      <c r="I911" s="66"/>
      <c r="L911" s="66"/>
      <c r="M911" s="66"/>
    </row>
    <row r="912">
      <c r="F912" s="66"/>
      <c r="H912" s="66"/>
      <c r="I912" s="66"/>
      <c r="L912" s="66"/>
      <c r="M912" s="66"/>
    </row>
    <row r="913">
      <c r="F913" s="66"/>
      <c r="H913" s="66"/>
      <c r="I913" s="66"/>
      <c r="L913" s="66"/>
      <c r="M913" s="66"/>
    </row>
    <row r="914">
      <c r="F914" s="66"/>
      <c r="H914" s="66"/>
      <c r="I914" s="66"/>
      <c r="L914" s="66"/>
      <c r="M914" s="66"/>
    </row>
    <row r="915">
      <c r="F915" s="66"/>
      <c r="H915" s="66"/>
      <c r="I915" s="66"/>
      <c r="L915" s="66"/>
      <c r="M915" s="66"/>
    </row>
    <row r="916">
      <c r="F916" s="66"/>
      <c r="H916" s="66"/>
      <c r="I916" s="66"/>
      <c r="L916" s="66"/>
      <c r="M916" s="66"/>
    </row>
    <row r="917">
      <c r="F917" s="66"/>
      <c r="H917" s="66"/>
      <c r="I917" s="66"/>
      <c r="L917" s="66"/>
      <c r="M917" s="66"/>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location="sv=CAwSqAIKBmxjbF9wdhJGCgNwdnESP0NnMHZaeTh4TVdSNFpHdG9ZbTFpSWg0S0dGSmxaR0poWTJzZ1UzQmxZMmxoYkhSNUlFTnZabVpsWlJBQ0dBTRKOAQoDbHFpEoYBQ2hoU1pXUmlZV05ySUZOd1pXTnBZV3gwZVNCRGIyWm1aV1ZJNnRUZXlQR3NnSUFJV2pBUUFCQUJFQUlZQUJnQkdBSWlHSEpsWkdKaFkyc2djM0JsWTJsaGJIUjVJR052Wm1abFpTb0lDQUlRQUJBQkVBS1NBUXRqYjJabVpXVmZjMmh2Y0ESEgoDdGJzEgtscmY6ITNzSUFFPRIdCgFxEhhSZWRiYWNrIFNwZWNpYWx0eSBDb2ZmZWUaEmxvY2FsLXBsYWNlLXZpZXdlchgKIIb_y8EI"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4"/>
    <hyperlink r:id="rId463" ref="Q465"/>
    <hyperlink r:id="rId464" ref="Q466"/>
    <hyperlink r:id="rId465" ref="Q467"/>
    <hyperlink r:id="rId466" ref="Q468"/>
    <hyperlink r:id="rId467" ref="Q469"/>
    <hyperlink r:id="rId468" ref="Q470"/>
    <hyperlink r:id="rId469" ref="Q471"/>
    <hyperlink r:id="rId470" ref="Q472"/>
    <hyperlink r:id="rId471" ref="Q473"/>
    <hyperlink r:id="rId472" ref="Q474"/>
    <hyperlink r:id="rId473" ref="Q475"/>
    <hyperlink r:id="rId474" ref="Q476"/>
    <hyperlink r:id="rId475" ref="Q477"/>
    <hyperlink r:id="rId476" ref="Q478"/>
    <hyperlink r:id="rId477" ref="Q479"/>
    <hyperlink r:id="rId478" ref="Q480"/>
    <hyperlink r:id="rId479" ref="Q481"/>
    <hyperlink r:id="rId480" ref="Q482"/>
    <hyperlink r:id="rId481" ref="Q483"/>
    <hyperlink r:id="rId482" ref="Q484"/>
    <hyperlink r:id="rId483" ref="Q485"/>
    <hyperlink r:id="rId484" ref="Q486"/>
    <hyperlink r:id="rId485" ref="Q487"/>
    <hyperlink r:id="rId486" ref="Q488"/>
    <hyperlink r:id="rId487" ref="Q489"/>
    <hyperlink r:id="rId488" ref="Q490"/>
    <hyperlink r:id="rId489" ref="Q491"/>
    <hyperlink r:id="rId490" ref="Q492"/>
    <hyperlink r:id="rId491" ref="Q493"/>
    <hyperlink r:id="rId492" ref="Q494"/>
    <hyperlink r:id="rId493" ref="Q495"/>
    <hyperlink r:id="rId494" ref="Q496"/>
    <hyperlink r:id="rId495" ref="Q497"/>
    <hyperlink r:id="rId496" ref="Q498"/>
    <hyperlink r:id="rId497" ref="Q499"/>
    <hyperlink r:id="rId498" ref="Q500"/>
    <hyperlink r:id="rId499" ref="Q501"/>
    <hyperlink r:id="rId500" ref="Q502"/>
    <hyperlink r:id="rId501" ref="Q503"/>
    <hyperlink r:id="rId502" ref="Q504"/>
    <hyperlink r:id="rId503" ref="Q505"/>
    <hyperlink r:id="rId504" ref="Q506"/>
    <hyperlink r:id="rId505" ref="Q507"/>
    <hyperlink r:id="rId506" ref="Q508"/>
    <hyperlink r:id="rId507" ref="Q509"/>
    <hyperlink r:id="rId508" ref="Q510"/>
    <hyperlink r:id="rId509" ref="Q511"/>
    <hyperlink r:id="rId510" ref="Q512"/>
    <hyperlink r:id="rId511" ref="Q513"/>
    <hyperlink r:id="rId512" ref="Q514"/>
    <hyperlink r:id="rId513" ref="Q515"/>
    <hyperlink r:id="rId514" ref="Q516"/>
    <hyperlink r:id="rId515" ref="Q517"/>
    <hyperlink r:id="rId516" ref="Q518"/>
    <hyperlink r:id="rId517" ref="Q519"/>
    <hyperlink r:id="rId518" ref="Q520"/>
    <hyperlink r:id="rId519" ref="Q521"/>
    <hyperlink r:id="rId520" ref="Q522"/>
    <hyperlink r:id="rId521" ref="Q523"/>
    <hyperlink r:id="rId522" ref="Q524"/>
    <hyperlink r:id="rId523" ref="Q525"/>
    <hyperlink r:id="rId524" ref="Q526"/>
    <hyperlink r:id="rId525" ref="Q527"/>
    <hyperlink r:id="rId526" ref="Q528"/>
    <hyperlink r:id="rId527" ref="Q529"/>
    <hyperlink r:id="rId528" ref="Q530"/>
    <hyperlink r:id="rId529" ref="Q531"/>
    <hyperlink r:id="rId530" ref="Q532"/>
    <hyperlink r:id="rId531" ref="Q533"/>
    <hyperlink r:id="rId532" ref="Q534"/>
    <hyperlink r:id="rId533" ref="Q535"/>
    <hyperlink r:id="rId534" ref="Q536"/>
    <hyperlink r:id="rId535" ref="Q537"/>
    <hyperlink r:id="rId536" ref="Q538"/>
    <hyperlink r:id="rId537" ref="Q539"/>
    <hyperlink r:id="rId538" ref="Q540"/>
    <hyperlink r:id="rId539" ref="Q541"/>
    <hyperlink r:id="rId540" ref="Q542"/>
    <hyperlink r:id="rId541" ref="Q543"/>
    <hyperlink r:id="rId542" ref="Q544"/>
    <hyperlink r:id="rId543" ref="Q545"/>
    <hyperlink r:id="rId544" ref="Q546"/>
    <hyperlink r:id="rId545" ref="Q547"/>
    <hyperlink r:id="rId546" ref="Q548"/>
    <hyperlink r:id="rId547" ref="Q549"/>
    <hyperlink r:id="rId548" ref="Q550"/>
    <hyperlink r:id="rId549" ref="Q551"/>
    <hyperlink r:id="rId550" ref="Q552"/>
    <hyperlink r:id="rId551" ref="Q553"/>
    <hyperlink r:id="rId552" ref="Q554"/>
    <hyperlink r:id="rId553" ref="Q555"/>
    <hyperlink r:id="rId554" ref="Q556"/>
    <hyperlink r:id="rId555" ref="Q557"/>
    <hyperlink r:id="rId556" ref="Q558"/>
    <hyperlink r:id="rId557" ref="Q559"/>
    <hyperlink r:id="rId558" ref="Q560"/>
    <hyperlink r:id="rId559" ref="Q561"/>
    <hyperlink r:id="rId560" ref="Q562"/>
    <hyperlink r:id="rId561" ref="Q563"/>
    <hyperlink r:id="rId562" ref="Q564"/>
    <hyperlink r:id="rId563" ref="Q565"/>
    <hyperlink r:id="rId564" ref="Q566"/>
    <hyperlink r:id="rId565" ref="Q567"/>
    <hyperlink r:id="rId566" ref="Q568"/>
    <hyperlink r:id="rId567" ref="Q569"/>
    <hyperlink r:id="rId568" ref="Q570"/>
    <hyperlink r:id="rId569" ref="Q571"/>
    <hyperlink r:id="rId570" ref="Q572"/>
    <hyperlink r:id="rId571" ref="Q573"/>
    <hyperlink r:id="rId572" ref="Q574"/>
    <hyperlink r:id="rId573" ref="Q575"/>
    <hyperlink r:id="rId574" ref="Q576"/>
    <hyperlink r:id="rId575" ref="Q577"/>
    <hyperlink r:id="rId576" ref="Q578"/>
    <hyperlink r:id="rId577" ref="Q579"/>
    <hyperlink r:id="rId578" ref="Q580"/>
    <hyperlink r:id="rId579" ref="Q581"/>
    <hyperlink r:id="rId580" ref="Q582"/>
    <hyperlink r:id="rId581" ref="Q583"/>
    <hyperlink r:id="rId582" ref="Q584"/>
    <hyperlink r:id="rId583" ref="Q585"/>
    <hyperlink r:id="rId584" ref="Q586"/>
    <hyperlink r:id="rId585" ref="Q587"/>
    <hyperlink r:id="rId586" ref="Q588"/>
    <hyperlink r:id="rId587" ref="Q589"/>
    <hyperlink r:id="rId588" ref="Q590"/>
    <hyperlink r:id="rId589" ref="Q591"/>
    <hyperlink r:id="rId590" ref="Q592"/>
    <hyperlink r:id="rId591" ref="Q593"/>
    <hyperlink r:id="rId592" ref="Q594"/>
    <hyperlink r:id="rId593" ref="Q595"/>
    <hyperlink r:id="rId594" ref="Q596"/>
    <hyperlink r:id="rId595" ref="Q597"/>
    <hyperlink r:id="rId596" ref="Q598"/>
    <hyperlink r:id="rId597" ref="Q599"/>
    <hyperlink r:id="rId598" ref="Q600"/>
    <hyperlink r:id="rId599" ref="Q601"/>
    <hyperlink r:id="rId600" ref="Q602"/>
    <hyperlink r:id="rId601" ref="Q603"/>
    <hyperlink r:id="rId602" ref="Q604"/>
    <hyperlink r:id="rId603" ref="Q605"/>
    <hyperlink r:id="rId604" ref="Q606"/>
    <hyperlink r:id="rId605" ref="Q607"/>
    <hyperlink r:id="rId606" ref="Q608"/>
    <hyperlink r:id="rId607" ref="Q609"/>
    <hyperlink r:id="rId608" ref="Q610"/>
    <hyperlink r:id="rId609" ref="Q611"/>
    <hyperlink r:id="rId610" ref="Q612"/>
    <hyperlink r:id="rId611" ref="Q613"/>
    <hyperlink r:id="rId612" ref="Q614"/>
    <hyperlink r:id="rId613" ref="Q615"/>
    <hyperlink r:id="rId614" ref="Q616"/>
    <hyperlink r:id="rId615" ref="Q617"/>
    <hyperlink r:id="rId616" ref="Q618"/>
    <hyperlink r:id="rId617" ref="Q619"/>
    <hyperlink r:id="rId618" ref="Q620"/>
    <hyperlink r:id="rId619" ref="Q621"/>
    <hyperlink r:id="rId620" ref="Q622"/>
    <hyperlink r:id="rId621" ref="Q623"/>
    <hyperlink r:id="rId622" ref="Q624"/>
    <hyperlink r:id="rId623" ref="Q625"/>
    <hyperlink r:id="rId624" ref="Q626"/>
    <hyperlink r:id="rId625" ref="Q627"/>
    <hyperlink r:id="rId626" ref="Q628"/>
    <hyperlink r:id="rId627" ref="Q629"/>
    <hyperlink r:id="rId628" ref="Q630"/>
    <hyperlink r:id="rId629" ref="Q631"/>
    <hyperlink r:id="rId630" ref="Q632"/>
    <hyperlink r:id="rId631" ref="Q633"/>
    <hyperlink r:id="rId632" ref="Q634"/>
    <hyperlink r:id="rId633" ref="Q635"/>
    <hyperlink r:id="rId634" ref="Q636"/>
    <hyperlink r:id="rId635" ref="Q637"/>
    <hyperlink r:id="rId636" ref="Q638"/>
    <hyperlink r:id="rId637" ref="Q639"/>
    <hyperlink r:id="rId638" ref="Q640"/>
    <hyperlink r:id="rId639" ref="Q641"/>
    <hyperlink r:id="rId640" ref="Q642"/>
    <hyperlink r:id="rId641" ref="Q643"/>
    <hyperlink r:id="rId642" ref="Q644"/>
    <hyperlink r:id="rId643" ref="Q645"/>
    <hyperlink r:id="rId644" ref="Q646"/>
    <hyperlink r:id="rId645" ref="Q647"/>
    <hyperlink r:id="rId646" ref="Q648"/>
    <hyperlink r:id="rId647" ref="Q649"/>
    <hyperlink r:id="rId648" ref="Q650"/>
    <hyperlink r:id="rId649" ref="Q651"/>
    <hyperlink r:id="rId650" ref="Q652"/>
    <hyperlink r:id="rId651" ref="Q653"/>
    <hyperlink r:id="rId652" ref="Q654"/>
    <hyperlink r:id="rId653" ref="Q655"/>
    <hyperlink r:id="rId654" ref="Q656"/>
    <hyperlink r:id="rId655" ref="Q657"/>
    <hyperlink r:id="rId656" ref="Q658"/>
    <hyperlink r:id="rId657" ref="Q659"/>
    <hyperlink r:id="rId658" ref="Q660"/>
    <hyperlink r:id="rId659" ref="Q661"/>
    <hyperlink r:id="rId660" ref="Q662"/>
    <hyperlink r:id="rId661" ref="Q663"/>
    <hyperlink r:id="rId662" ref="Q664"/>
    <hyperlink r:id="rId663" ref="Q665"/>
    <hyperlink r:id="rId664" ref="Q666"/>
    <hyperlink r:id="rId665" ref="Q667"/>
    <hyperlink r:id="rId666" ref="Q668"/>
    <hyperlink r:id="rId667" ref="Q669"/>
    <hyperlink r:id="rId668" ref="Q670"/>
    <hyperlink r:id="rId669" ref="Q671"/>
    <hyperlink r:id="rId670" ref="Q672"/>
    <hyperlink r:id="rId671" ref="Q673"/>
    <hyperlink r:id="rId672" ref="Q674"/>
    <hyperlink r:id="rId673" ref="Q675"/>
    <hyperlink r:id="rId674" ref="Q676"/>
    <hyperlink r:id="rId675" ref="Q677"/>
    <hyperlink r:id="rId676" ref="Q678"/>
    <hyperlink r:id="rId677" ref="Q679"/>
    <hyperlink r:id="rId678" ref="Q680"/>
    <hyperlink r:id="rId679" ref="Q681"/>
    <hyperlink r:id="rId680" ref="Q682"/>
    <hyperlink r:id="rId681" ref="Q683"/>
    <hyperlink r:id="rId682" ref="Q684"/>
    <hyperlink r:id="rId683" ref="Q685"/>
    <hyperlink r:id="rId684" ref="Q686"/>
    <hyperlink r:id="rId685" ref="Q687"/>
    <hyperlink r:id="rId686" ref="Q688"/>
    <hyperlink r:id="rId687" ref="Q689"/>
    <hyperlink r:id="rId688" ref="Q690"/>
    <hyperlink r:id="rId689" ref="Q691"/>
    <hyperlink r:id="rId690" ref="Q692"/>
    <hyperlink r:id="rId691" ref="Q693"/>
    <hyperlink r:id="rId692" ref="Q694"/>
    <hyperlink r:id="rId693" ref="Q695"/>
    <hyperlink r:id="rId694" ref="Q696"/>
    <hyperlink r:id="rId695" ref="Q697"/>
    <hyperlink r:id="rId696" ref="Q698"/>
    <hyperlink r:id="rId697" ref="Q699"/>
    <hyperlink r:id="rId698" ref="Q700"/>
    <hyperlink r:id="rId699" ref="Q701"/>
    <hyperlink r:id="rId700" ref="Q702"/>
    <hyperlink r:id="rId701" ref="Q703"/>
    <hyperlink r:id="rId702" ref="Q704"/>
    <hyperlink r:id="rId703" ref="Q705"/>
    <hyperlink r:id="rId704" ref="Q706"/>
    <hyperlink r:id="rId705" ref="Q707"/>
    <hyperlink r:id="rId706" ref="Q708"/>
    <hyperlink r:id="rId707" ref="Q709"/>
    <hyperlink r:id="rId708" ref="Q710"/>
    <hyperlink r:id="rId709" ref="Q711"/>
    <hyperlink r:id="rId710" ref="Q712"/>
    <hyperlink r:id="rId711" ref="Q713"/>
    <hyperlink r:id="rId712" ref="Q714"/>
    <hyperlink r:id="rId713" ref="Q715"/>
    <hyperlink r:id="rId714" ref="Q716"/>
    <hyperlink r:id="rId715" ref="Q717"/>
    <hyperlink r:id="rId716" ref="Q718"/>
    <hyperlink r:id="rId717" ref="Q719"/>
    <hyperlink r:id="rId718" ref="Q720"/>
    <hyperlink r:id="rId719" ref="Q721"/>
    <hyperlink r:id="rId720" ref="Q722"/>
    <hyperlink r:id="rId721" ref="Q723"/>
    <hyperlink r:id="rId722" ref="Q724"/>
    <hyperlink r:id="rId723" ref="Q725"/>
    <hyperlink r:id="rId724" ref="Q726"/>
    <hyperlink r:id="rId725" ref="Q727"/>
    <hyperlink r:id="rId726" ref="Q728"/>
    <hyperlink r:id="rId727" ref="Q729"/>
    <hyperlink r:id="rId728" ref="Q730"/>
    <hyperlink r:id="rId729" ref="Q731"/>
    <hyperlink r:id="rId730" ref="Q732"/>
    <hyperlink r:id="rId731" ref="Q733"/>
    <hyperlink r:id="rId732" ref="Q734"/>
    <hyperlink r:id="rId733" ref="Q735"/>
    <hyperlink r:id="rId734" ref="Q736"/>
    <hyperlink r:id="rId735" ref="Q737"/>
    <hyperlink r:id="rId736" ref="Q738"/>
    <hyperlink r:id="rId737" ref="Q739"/>
    <hyperlink r:id="rId738" ref="Q740"/>
    <hyperlink r:id="rId739" ref="Q741"/>
    <hyperlink r:id="rId740" ref="Q742"/>
    <hyperlink r:id="rId741" ref="Q743"/>
    <hyperlink r:id="rId742" ref="Q744"/>
    <hyperlink r:id="rId743" ref="Q745"/>
    <hyperlink r:id="rId744" ref="Q746"/>
    <hyperlink r:id="rId745" ref="Q747"/>
    <hyperlink r:id="rId746" ref="Q748"/>
    <hyperlink r:id="rId747" ref="Q749"/>
    <hyperlink r:id="rId748" ref="Q750"/>
    <hyperlink r:id="rId749" ref="Q751"/>
    <hyperlink r:id="rId750" ref="Q752"/>
    <hyperlink r:id="rId751" ref="Q753"/>
    <hyperlink r:id="rId752" ref="Q754"/>
    <hyperlink r:id="rId753" ref="Q755"/>
    <hyperlink r:id="rId754" ref="Q756"/>
    <hyperlink r:id="rId755" ref="Q757"/>
    <hyperlink r:id="rId756" ref="Q758"/>
    <hyperlink r:id="rId757" ref="Q759"/>
    <hyperlink r:id="rId758" ref="Q760"/>
    <hyperlink r:id="rId759" ref="Q761"/>
    <hyperlink r:id="rId760" ref="Q762"/>
    <hyperlink r:id="rId761" ref="Q763"/>
    <hyperlink r:id="rId762" ref="Q764"/>
    <hyperlink r:id="rId763" ref="Q765"/>
    <hyperlink r:id="rId764" ref="Q766"/>
    <hyperlink r:id="rId765" ref="Q767"/>
    <hyperlink r:id="rId766" ref="Q768"/>
    <hyperlink r:id="rId767" ref="Q769"/>
    <hyperlink r:id="rId768" ref="Q770"/>
    <hyperlink r:id="rId769" ref="Q771"/>
    <hyperlink r:id="rId770" ref="Q772"/>
    <hyperlink r:id="rId771" ref="Q773"/>
    <hyperlink r:id="rId772" ref="Q774"/>
    <hyperlink r:id="rId773" ref="Q775"/>
    <hyperlink r:id="rId774" ref="Q776"/>
    <hyperlink r:id="rId775" ref="Q777"/>
    <hyperlink r:id="rId776" ref="Q778"/>
    <hyperlink r:id="rId777" ref="Q779"/>
    <hyperlink r:id="rId778" ref="Q780"/>
    <hyperlink r:id="rId779" ref="Q781"/>
    <hyperlink r:id="rId780" ref="Q782"/>
    <hyperlink r:id="rId781" ref="Q783"/>
    <hyperlink r:id="rId782" ref="Q784"/>
    <hyperlink r:id="rId783" ref="Q785"/>
    <hyperlink r:id="rId784" ref="Q786"/>
    <hyperlink r:id="rId785" ref="Q787"/>
    <hyperlink r:id="rId786" ref="Q788"/>
    <hyperlink r:id="rId787" ref="Q789"/>
    <hyperlink r:id="rId788" ref="Q790"/>
    <hyperlink r:id="rId789" ref="Q791"/>
    <hyperlink r:id="rId790" ref="Q792"/>
    <hyperlink r:id="rId791" ref="Q793"/>
    <hyperlink r:id="rId792" ref="Q794"/>
    <hyperlink r:id="rId793" ref="Q795"/>
    <hyperlink r:id="rId794" ref="Q796"/>
    <hyperlink r:id="rId795" ref="Q797"/>
    <hyperlink r:id="rId796" ref="Q798"/>
    <hyperlink r:id="rId797" ref="Q799"/>
  </hyperlinks>
  <drawing r:id="rId7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75"/>
    <col customWidth="1" min="2" max="2" width="34.88"/>
    <col customWidth="1" min="3" max="3" width="60.5"/>
    <col customWidth="1" min="4" max="4" width="18.75"/>
    <col customWidth="1" min="5" max="5" width="37.13"/>
    <col customWidth="1" min="14" max="14" width="35.63"/>
    <col customWidth="1" min="15" max="15" width="20.5"/>
    <col customWidth="1" min="16" max="16" width="23.5"/>
    <col customWidth="1" min="17" max="17" width="44.63"/>
  </cols>
  <sheetData>
    <row r="1">
      <c r="A1" s="1" t="s">
        <v>0</v>
      </c>
      <c r="B1" s="2" t="s">
        <v>1</v>
      </c>
      <c r="C1" s="2" t="s">
        <v>2</v>
      </c>
      <c r="D1" s="2" t="s">
        <v>3</v>
      </c>
      <c r="E1" s="1" t="s">
        <v>4</v>
      </c>
      <c r="F1" s="1" t="s">
        <v>5</v>
      </c>
      <c r="G1" s="2" t="s">
        <v>6</v>
      </c>
      <c r="H1" s="2" t="s">
        <v>7</v>
      </c>
      <c r="I1" s="3" t="s">
        <v>8</v>
      </c>
      <c r="J1" s="1" t="s">
        <v>9</v>
      </c>
      <c r="K1" s="1" t="s">
        <v>10</v>
      </c>
      <c r="L1" s="1" t="s">
        <v>11</v>
      </c>
      <c r="M1" s="1" t="s">
        <v>12</v>
      </c>
      <c r="N1" s="4" t="s">
        <v>13</v>
      </c>
      <c r="O1" s="5" t="s">
        <v>14</v>
      </c>
      <c r="P1" s="4" t="s">
        <v>15</v>
      </c>
      <c r="Q1" s="1" t="s">
        <v>4025</v>
      </c>
    </row>
    <row r="2" ht="18.0" customHeight="1">
      <c r="A2" s="82">
        <v>1.0</v>
      </c>
      <c r="B2" s="82" t="s">
        <v>3199</v>
      </c>
      <c r="C2" s="82" t="s">
        <v>4026</v>
      </c>
      <c r="D2" s="82" t="s">
        <v>46</v>
      </c>
      <c r="E2" s="28" t="s">
        <v>4027</v>
      </c>
      <c r="F2" s="82">
        <v>252.0</v>
      </c>
      <c r="G2" s="82" t="s">
        <v>21</v>
      </c>
      <c r="H2" s="82">
        <v>0.0</v>
      </c>
      <c r="I2" s="34" t="s">
        <v>4028</v>
      </c>
      <c r="J2" s="82" t="s">
        <v>23</v>
      </c>
      <c r="K2" s="82"/>
      <c r="L2" s="84">
        <v>0.3333333333333333</v>
      </c>
      <c r="M2" s="84">
        <v>0.6666666666666666</v>
      </c>
      <c r="N2" s="85" t="s">
        <v>4029</v>
      </c>
      <c r="O2" s="33" t="s">
        <v>4030</v>
      </c>
      <c r="P2" s="34" t="s">
        <v>4031</v>
      </c>
      <c r="Q2" s="33"/>
    </row>
    <row r="3">
      <c r="A3" s="82">
        <f t="shared" ref="A3:A146" si="1">A2+1</f>
        <v>2</v>
      </c>
      <c r="B3" s="82" t="s">
        <v>4032</v>
      </c>
      <c r="C3" s="82" t="s">
        <v>4033</v>
      </c>
      <c r="D3" s="82" t="s">
        <v>46</v>
      </c>
      <c r="E3" s="28" t="s">
        <v>4034</v>
      </c>
      <c r="F3" s="82">
        <v>5018.0</v>
      </c>
      <c r="G3" s="82" t="s">
        <v>21</v>
      </c>
      <c r="H3" s="82">
        <v>15000.0</v>
      </c>
      <c r="I3" s="34" t="s">
        <v>4035</v>
      </c>
      <c r="J3" s="82" t="s">
        <v>23</v>
      </c>
      <c r="K3" s="82"/>
      <c r="L3" s="84">
        <v>0.25</v>
      </c>
      <c r="M3" s="84">
        <v>0.75</v>
      </c>
      <c r="N3" s="85" t="s">
        <v>4036</v>
      </c>
      <c r="O3" s="33" t="s">
        <v>4037</v>
      </c>
      <c r="P3" s="34" t="s">
        <v>4038</v>
      </c>
      <c r="Q3" s="33"/>
    </row>
    <row r="4">
      <c r="A4" s="82">
        <f t="shared" si="1"/>
        <v>3</v>
      </c>
      <c r="B4" s="82" t="s">
        <v>4039</v>
      </c>
      <c r="C4" s="82" t="s">
        <v>4040</v>
      </c>
      <c r="D4" s="82" t="s">
        <v>46</v>
      </c>
      <c r="E4" s="28" t="s">
        <v>4041</v>
      </c>
      <c r="F4" s="82">
        <v>5385.0</v>
      </c>
      <c r="G4" s="82" t="s">
        <v>21</v>
      </c>
      <c r="H4" s="82">
        <v>35000.0</v>
      </c>
      <c r="I4" s="34" t="s">
        <v>4028</v>
      </c>
      <c r="J4" s="82" t="s">
        <v>23</v>
      </c>
      <c r="K4" s="82"/>
      <c r="L4" s="84">
        <v>0.0</v>
      </c>
      <c r="M4" s="84">
        <v>0.9993055555555556</v>
      </c>
      <c r="N4" s="85" t="s">
        <v>1327</v>
      </c>
      <c r="O4" s="33" t="s">
        <v>4042</v>
      </c>
      <c r="P4" s="34" t="s">
        <v>4043</v>
      </c>
      <c r="Q4" s="33"/>
    </row>
    <row r="5">
      <c r="A5" s="82">
        <f t="shared" si="1"/>
        <v>4</v>
      </c>
      <c r="B5" s="82" t="s">
        <v>4044</v>
      </c>
      <c r="C5" s="82" t="s">
        <v>4045</v>
      </c>
      <c r="D5" s="82" t="s">
        <v>46</v>
      </c>
      <c r="E5" s="28" t="s">
        <v>4046</v>
      </c>
      <c r="F5" s="82">
        <v>9365.0</v>
      </c>
      <c r="G5" s="82" t="s">
        <v>21</v>
      </c>
      <c r="H5" s="82">
        <v>0.0</v>
      </c>
      <c r="I5" s="34" t="s">
        <v>4047</v>
      </c>
      <c r="J5" s="82" t="s">
        <v>23</v>
      </c>
      <c r="K5" s="82"/>
      <c r="L5" s="84">
        <v>0.2916666666666667</v>
      </c>
      <c r="M5" s="84">
        <v>0.875</v>
      </c>
      <c r="N5" s="85" t="s">
        <v>942</v>
      </c>
      <c r="O5" s="33" t="s">
        <v>4048</v>
      </c>
      <c r="P5" s="34" t="s">
        <v>4049</v>
      </c>
      <c r="Q5" s="33"/>
    </row>
    <row r="6">
      <c r="A6" s="82">
        <f t="shared" si="1"/>
        <v>5</v>
      </c>
      <c r="B6" s="82" t="s">
        <v>4050</v>
      </c>
      <c r="C6" s="82" t="s">
        <v>4051</v>
      </c>
      <c r="D6" s="82" t="s">
        <v>46</v>
      </c>
      <c r="E6" s="28" t="s">
        <v>4052</v>
      </c>
      <c r="F6" s="82">
        <v>16770.0</v>
      </c>
      <c r="G6" s="82" t="s">
        <v>21</v>
      </c>
      <c r="H6" s="82">
        <v>15000.0</v>
      </c>
      <c r="I6" s="34" t="s">
        <v>4028</v>
      </c>
      <c r="J6" s="82" t="s">
        <v>23</v>
      </c>
      <c r="K6" s="82"/>
      <c r="L6" s="84">
        <v>0.3333333333333333</v>
      </c>
      <c r="M6" s="84">
        <v>0.875</v>
      </c>
      <c r="N6" s="85" t="s">
        <v>4053</v>
      </c>
      <c r="O6" s="33" t="s">
        <v>4054</v>
      </c>
      <c r="P6" s="34" t="s">
        <v>4055</v>
      </c>
      <c r="Q6" s="33"/>
    </row>
    <row r="7">
      <c r="A7" s="82">
        <f t="shared" si="1"/>
        <v>6</v>
      </c>
      <c r="B7" s="82" t="s">
        <v>2177</v>
      </c>
      <c r="C7" s="82" t="s">
        <v>4056</v>
      </c>
      <c r="D7" s="82" t="s">
        <v>46</v>
      </c>
      <c r="E7" s="28" t="s">
        <v>4057</v>
      </c>
      <c r="F7" s="82">
        <v>2007.0</v>
      </c>
      <c r="G7" s="82" t="s">
        <v>21</v>
      </c>
      <c r="H7" s="82">
        <v>0.0</v>
      </c>
      <c r="I7" s="34" t="s">
        <v>4028</v>
      </c>
      <c r="J7" s="82" t="s">
        <v>23</v>
      </c>
      <c r="K7" s="82"/>
      <c r="L7" s="84">
        <v>0.0</v>
      </c>
      <c r="M7" s="84">
        <v>0.9993055555555556</v>
      </c>
      <c r="N7" s="85" t="s">
        <v>2180</v>
      </c>
      <c r="O7" s="33" t="s">
        <v>2181</v>
      </c>
      <c r="P7" s="34" t="s">
        <v>2182</v>
      </c>
      <c r="Q7" s="33"/>
    </row>
    <row r="8">
      <c r="A8" s="82">
        <f t="shared" si="1"/>
        <v>7</v>
      </c>
      <c r="B8" s="82" t="s">
        <v>4058</v>
      </c>
      <c r="C8" s="82" t="s">
        <v>4059</v>
      </c>
      <c r="D8" s="82" t="s">
        <v>46</v>
      </c>
      <c r="E8" s="28" t="s">
        <v>4060</v>
      </c>
      <c r="F8" s="82">
        <v>403.0</v>
      </c>
      <c r="G8" s="82" t="s">
        <v>21</v>
      </c>
      <c r="H8" s="82">
        <v>0.0</v>
      </c>
      <c r="I8" s="34" t="s">
        <v>4061</v>
      </c>
      <c r="J8" s="82" t="s">
        <v>23</v>
      </c>
      <c r="K8" s="82"/>
      <c r="L8" s="84">
        <v>0.0</v>
      </c>
      <c r="M8" s="84">
        <v>0.9993055555555556</v>
      </c>
      <c r="N8" s="85" t="s">
        <v>4062</v>
      </c>
      <c r="O8" s="33" t="s">
        <v>4063</v>
      </c>
      <c r="P8" s="34" t="s">
        <v>4064</v>
      </c>
      <c r="Q8" s="33"/>
    </row>
    <row r="9">
      <c r="A9" s="82">
        <f t="shared" si="1"/>
        <v>8</v>
      </c>
      <c r="B9" s="82" t="s">
        <v>3391</v>
      </c>
      <c r="C9" s="82" t="s">
        <v>4065</v>
      </c>
      <c r="D9" s="82" t="s">
        <v>46</v>
      </c>
      <c r="E9" s="28" t="s">
        <v>4066</v>
      </c>
      <c r="F9" s="82">
        <v>7271.0</v>
      </c>
      <c r="G9" s="82" t="s">
        <v>21</v>
      </c>
      <c r="H9" s="82">
        <v>0.0</v>
      </c>
      <c r="I9" s="34" t="s">
        <v>4035</v>
      </c>
      <c r="J9" s="82" t="s">
        <v>23</v>
      </c>
      <c r="K9" s="82"/>
      <c r="L9" s="84">
        <v>0.0</v>
      </c>
      <c r="M9" s="84">
        <v>0.9993055555555556</v>
      </c>
      <c r="N9" s="85" t="s">
        <v>4067</v>
      </c>
      <c r="O9" s="33" t="s">
        <v>4068</v>
      </c>
      <c r="P9" s="34" t="s">
        <v>4069</v>
      </c>
      <c r="Q9" s="33"/>
    </row>
    <row r="10">
      <c r="A10" s="82">
        <f t="shared" si="1"/>
        <v>9</v>
      </c>
      <c r="B10" s="82" t="s">
        <v>4070</v>
      </c>
      <c r="C10" s="82" t="s">
        <v>4071</v>
      </c>
      <c r="D10" s="82" t="s">
        <v>46</v>
      </c>
      <c r="E10" s="28" t="s">
        <v>4072</v>
      </c>
      <c r="F10" s="82">
        <v>5998.0</v>
      </c>
      <c r="G10" s="82" t="s">
        <v>21</v>
      </c>
      <c r="H10" s="82">
        <v>0.0</v>
      </c>
      <c r="I10" s="34" t="s">
        <v>4073</v>
      </c>
      <c r="J10" s="82" t="s">
        <v>23</v>
      </c>
      <c r="K10" s="82"/>
      <c r="L10" s="84">
        <v>0.0</v>
      </c>
      <c r="M10" s="84">
        <v>0.9993055555555556</v>
      </c>
      <c r="N10" s="85" t="s">
        <v>4074</v>
      </c>
      <c r="O10" s="33" t="s">
        <v>4075</v>
      </c>
      <c r="P10" s="34" t="s">
        <v>4076</v>
      </c>
      <c r="Q10" s="33"/>
    </row>
    <row r="11" ht="17.25" customHeight="1">
      <c r="A11" s="82">
        <f t="shared" si="1"/>
        <v>10</v>
      </c>
      <c r="B11" s="82" t="s">
        <v>2829</v>
      </c>
      <c r="C11" s="82" t="s">
        <v>4077</v>
      </c>
      <c r="D11" s="82" t="s">
        <v>46</v>
      </c>
      <c r="E11" s="28" t="s">
        <v>4078</v>
      </c>
      <c r="F11" s="82">
        <v>92.0</v>
      </c>
      <c r="G11" s="82" t="s">
        <v>21</v>
      </c>
      <c r="H11" s="82">
        <v>0.0</v>
      </c>
      <c r="I11" s="34" t="s">
        <v>4073</v>
      </c>
      <c r="J11" s="82" t="s">
        <v>23</v>
      </c>
      <c r="K11" s="82"/>
      <c r="L11" s="84">
        <v>0.0</v>
      </c>
      <c r="M11" s="84">
        <v>0.9993055555555556</v>
      </c>
      <c r="N11" s="85" t="s">
        <v>4079</v>
      </c>
      <c r="O11" s="33" t="s">
        <v>4080</v>
      </c>
      <c r="P11" s="34" t="s">
        <v>4081</v>
      </c>
      <c r="Q11" s="33"/>
    </row>
    <row r="12">
      <c r="A12" s="82">
        <f t="shared" si="1"/>
        <v>11</v>
      </c>
      <c r="B12" s="82" t="s">
        <v>4082</v>
      </c>
      <c r="C12" s="82" t="s">
        <v>4083</v>
      </c>
      <c r="D12" s="82" t="s">
        <v>46</v>
      </c>
      <c r="E12" s="28" t="s">
        <v>4084</v>
      </c>
      <c r="F12" s="82">
        <v>24237.0</v>
      </c>
      <c r="G12" s="82" t="s">
        <v>21</v>
      </c>
      <c r="H12" s="82" t="s">
        <v>22</v>
      </c>
      <c r="I12" s="34" t="s">
        <v>4047</v>
      </c>
      <c r="J12" s="82" t="s">
        <v>23</v>
      </c>
      <c r="K12" s="82"/>
      <c r="L12" s="84">
        <v>0.4583333333333333</v>
      </c>
      <c r="M12" s="84">
        <v>0.9166666666666666</v>
      </c>
      <c r="N12" s="85" t="s">
        <v>4085</v>
      </c>
      <c r="O12" s="33" t="s">
        <v>4086</v>
      </c>
      <c r="P12" s="34" t="s">
        <v>4087</v>
      </c>
      <c r="Q12" s="33"/>
    </row>
    <row r="13">
      <c r="A13" s="82">
        <f t="shared" si="1"/>
        <v>12</v>
      </c>
      <c r="B13" s="82" t="s">
        <v>616</v>
      </c>
      <c r="C13" s="82" t="s">
        <v>4088</v>
      </c>
      <c r="D13" s="82" t="s">
        <v>46</v>
      </c>
      <c r="E13" s="28" t="s">
        <v>4089</v>
      </c>
      <c r="F13" s="82">
        <v>563.0</v>
      </c>
      <c r="G13" s="82" t="s">
        <v>21</v>
      </c>
      <c r="H13" s="82">
        <v>0.0</v>
      </c>
      <c r="I13" s="34" t="s">
        <v>4073</v>
      </c>
      <c r="J13" s="82" t="s">
        <v>23</v>
      </c>
      <c r="K13" s="82"/>
      <c r="L13" s="84">
        <v>0.125</v>
      </c>
      <c r="M13" s="84">
        <v>0.9583333333333334</v>
      </c>
      <c r="N13" s="85" t="s">
        <v>4090</v>
      </c>
      <c r="O13" s="33" t="s">
        <v>4091</v>
      </c>
      <c r="P13" s="34" t="s">
        <v>4092</v>
      </c>
      <c r="Q13" s="33"/>
    </row>
    <row r="14">
      <c r="A14" s="82">
        <f t="shared" si="1"/>
        <v>13</v>
      </c>
      <c r="B14" s="82" t="s">
        <v>3568</v>
      </c>
      <c r="C14" s="82" t="s">
        <v>4093</v>
      </c>
      <c r="D14" s="82" t="s">
        <v>46</v>
      </c>
      <c r="E14" s="28" t="s">
        <v>4094</v>
      </c>
      <c r="F14" s="82">
        <v>6243.0</v>
      </c>
      <c r="G14" s="82" t="s">
        <v>21</v>
      </c>
      <c r="H14" s="82">
        <v>35000.0</v>
      </c>
      <c r="I14" s="34" t="s">
        <v>4095</v>
      </c>
      <c r="J14" s="82" t="s">
        <v>23</v>
      </c>
      <c r="K14" s="82"/>
      <c r="L14" s="84">
        <v>0.375</v>
      </c>
      <c r="M14" s="84">
        <v>0.7083333333333334</v>
      </c>
      <c r="N14" s="85" t="s">
        <v>4096</v>
      </c>
      <c r="O14" s="33" t="s">
        <v>4097</v>
      </c>
      <c r="P14" s="34" t="s">
        <v>4098</v>
      </c>
      <c r="Q14" s="33"/>
    </row>
    <row r="15">
      <c r="A15" s="82">
        <f t="shared" si="1"/>
        <v>14</v>
      </c>
      <c r="B15" s="82" t="s">
        <v>523</v>
      </c>
      <c r="C15" s="82" t="s">
        <v>4099</v>
      </c>
      <c r="D15" s="82" t="s">
        <v>46</v>
      </c>
      <c r="E15" s="28" t="s">
        <v>4100</v>
      </c>
      <c r="F15" s="82">
        <v>23258.0</v>
      </c>
      <c r="G15" s="82" t="s">
        <v>21</v>
      </c>
      <c r="H15" s="82">
        <v>50000.0</v>
      </c>
      <c r="I15" s="34" t="s">
        <v>4028</v>
      </c>
      <c r="J15" s="82" t="s">
        <v>388</v>
      </c>
      <c r="K15" s="82" t="s">
        <v>59</v>
      </c>
      <c r="L15" s="84">
        <v>0.5</v>
      </c>
      <c r="M15" s="84">
        <v>0.7916666666666666</v>
      </c>
      <c r="N15" s="85" t="s">
        <v>4101</v>
      </c>
      <c r="O15" s="33" t="s">
        <v>4102</v>
      </c>
      <c r="P15" s="34" t="s">
        <v>4103</v>
      </c>
      <c r="Q15" s="33"/>
    </row>
    <row r="16">
      <c r="A16" s="82">
        <f t="shared" si="1"/>
        <v>15</v>
      </c>
      <c r="B16" s="82" t="s">
        <v>2852</v>
      </c>
      <c r="C16" s="82" t="s">
        <v>4104</v>
      </c>
      <c r="D16" s="82" t="s">
        <v>46</v>
      </c>
      <c r="E16" s="28" t="s">
        <v>4105</v>
      </c>
      <c r="F16" s="82">
        <v>7517.0</v>
      </c>
      <c r="G16" s="82" t="s">
        <v>21</v>
      </c>
      <c r="H16" s="82">
        <v>0.0</v>
      </c>
      <c r="I16" s="34" t="s">
        <v>4035</v>
      </c>
      <c r="J16" s="82" t="s">
        <v>23</v>
      </c>
      <c r="K16" s="82"/>
      <c r="L16" s="84">
        <v>0.2916666666666667</v>
      </c>
      <c r="M16" s="84">
        <v>0.7083333333333334</v>
      </c>
      <c r="N16" s="85" t="s">
        <v>4106</v>
      </c>
      <c r="O16" s="33" t="s">
        <v>4107</v>
      </c>
      <c r="P16" s="34" t="s">
        <v>4108</v>
      </c>
      <c r="Q16" s="33"/>
    </row>
    <row r="17">
      <c r="A17" s="82">
        <f t="shared" si="1"/>
        <v>16</v>
      </c>
      <c r="B17" s="82" t="s">
        <v>2443</v>
      </c>
      <c r="C17" s="82" t="s">
        <v>4109</v>
      </c>
      <c r="D17" s="82" t="s">
        <v>46</v>
      </c>
      <c r="E17" s="82" t="s">
        <v>4110</v>
      </c>
      <c r="F17" s="82">
        <v>367.0</v>
      </c>
      <c r="G17" s="82" t="s">
        <v>21</v>
      </c>
      <c r="H17" s="82">
        <v>0.0</v>
      </c>
      <c r="I17" s="34" t="s">
        <v>4035</v>
      </c>
      <c r="J17" s="82" t="s">
        <v>23</v>
      </c>
      <c r="K17" s="84"/>
      <c r="L17" s="84">
        <v>0.3125</v>
      </c>
      <c r="M17" s="84">
        <v>0.6666666666666666</v>
      </c>
      <c r="N17" s="85" t="s">
        <v>4111</v>
      </c>
      <c r="O17" s="33" t="s">
        <v>4112</v>
      </c>
      <c r="P17" s="34" t="s">
        <v>4113</v>
      </c>
      <c r="Q17" s="33"/>
    </row>
    <row r="18" ht="18.0" customHeight="1">
      <c r="A18" s="82">
        <f t="shared" si="1"/>
        <v>17</v>
      </c>
      <c r="B18" s="82" t="s">
        <v>4114</v>
      </c>
      <c r="C18" s="82" t="s">
        <v>4115</v>
      </c>
      <c r="D18" s="82" t="s">
        <v>46</v>
      </c>
      <c r="E18" s="28" t="s">
        <v>4116</v>
      </c>
      <c r="F18" s="82">
        <v>56140.0</v>
      </c>
      <c r="G18" s="82" t="s">
        <v>21</v>
      </c>
      <c r="H18" s="82">
        <v>15000.0</v>
      </c>
      <c r="I18" s="34" t="s">
        <v>4073</v>
      </c>
      <c r="J18" s="52" t="s">
        <v>23</v>
      </c>
      <c r="K18" s="84"/>
      <c r="L18" s="84">
        <v>0.3333333333333333</v>
      </c>
      <c r="M18" s="84">
        <v>0.6666666666666666</v>
      </c>
      <c r="N18" s="85" t="s">
        <v>4117</v>
      </c>
      <c r="O18" s="33" t="s">
        <v>4118</v>
      </c>
      <c r="P18" s="34" t="s">
        <v>4119</v>
      </c>
      <c r="Q18" s="33"/>
    </row>
    <row r="19" ht="15.0" customHeight="1">
      <c r="A19" s="82">
        <f t="shared" si="1"/>
        <v>18</v>
      </c>
      <c r="B19" s="82" t="s">
        <v>4120</v>
      </c>
      <c r="C19" s="82" t="s">
        <v>4121</v>
      </c>
      <c r="D19" s="82" t="s">
        <v>46</v>
      </c>
      <c r="E19" s="28" t="s">
        <v>4122</v>
      </c>
      <c r="F19" s="82">
        <v>68.0</v>
      </c>
      <c r="G19" s="82" t="s">
        <v>21</v>
      </c>
      <c r="H19" s="82">
        <v>0.0</v>
      </c>
      <c r="I19" s="34" t="s">
        <v>4035</v>
      </c>
      <c r="J19" s="82" t="s">
        <v>65</v>
      </c>
      <c r="K19" s="82" t="s">
        <v>66</v>
      </c>
      <c r="L19" s="84">
        <v>0.375</v>
      </c>
      <c r="M19" s="84">
        <v>0.7083333333333334</v>
      </c>
      <c r="N19" s="85" t="s">
        <v>4123</v>
      </c>
      <c r="O19" s="33" t="s">
        <v>4124</v>
      </c>
      <c r="P19" s="34" t="s">
        <v>4125</v>
      </c>
      <c r="Q19" s="33"/>
    </row>
    <row r="20">
      <c r="A20" s="82">
        <f t="shared" si="1"/>
        <v>19</v>
      </c>
      <c r="B20" s="82" t="s">
        <v>2255</v>
      </c>
      <c r="C20" s="82" t="s">
        <v>4126</v>
      </c>
      <c r="D20" s="82" t="s">
        <v>46</v>
      </c>
      <c r="E20" s="28" t="s">
        <v>4127</v>
      </c>
      <c r="F20" s="82">
        <v>7664.0</v>
      </c>
      <c r="G20" s="82" t="s">
        <v>21</v>
      </c>
      <c r="H20" s="82">
        <v>0.0</v>
      </c>
      <c r="I20" s="34" t="s">
        <v>4128</v>
      </c>
      <c r="J20" s="52" t="s">
        <v>23</v>
      </c>
      <c r="K20" s="84"/>
      <c r="L20" s="84">
        <v>0.16666666666666666</v>
      </c>
      <c r="M20" s="84">
        <v>0.9166666666666666</v>
      </c>
      <c r="N20" s="85" t="s">
        <v>2258</v>
      </c>
      <c r="O20" s="33" t="s">
        <v>2259</v>
      </c>
      <c r="P20" s="34" t="s">
        <v>2260</v>
      </c>
      <c r="Q20" s="33"/>
    </row>
    <row r="21" ht="17.25" customHeight="1">
      <c r="A21" s="82">
        <f t="shared" si="1"/>
        <v>20</v>
      </c>
      <c r="B21" s="82" t="s">
        <v>4129</v>
      </c>
      <c r="C21" s="82" t="s">
        <v>4130</v>
      </c>
      <c r="D21" s="82" t="s">
        <v>46</v>
      </c>
      <c r="E21" s="28" t="s">
        <v>4131</v>
      </c>
      <c r="F21" s="82">
        <v>8366.0</v>
      </c>
      <c r="G21" s="82" t="s">
        <v>21</v>
      </c>
      <c r="H21" s="82">
        <v>0.0</v>
      </c>
      <c r="I21" s="34" t="s">
        <v>4132</v>
      </c>
      <c r="J21" s="52" t="s">
        <v>23</v>
      </c>
      <c r="K21" s="84"/>
      <c r="L21" s="84">
        <v>0.0</v>
      </c>
      <c r="M21" s="84">
        <v>0.9993055555555556</v>
      </c>
      <c r="N21" s="85" t="s">
        <v>4133</v>
      </c>
      <c r="O21" s="33" t="s">
        <v>4134</v>
      </c>
      <c r="P21" s="34" t="s">
        <v>4135</v>
      </c>
      <c r="Q21" s="33"/>
    </row>
    <row r="22" ht="17.25" customHeight="1">
      <c r="A22" s="82">
        <f t="shared" si="1"/>
        <v>21</v>
      </c>
      <c r="B22" s="82" t="s">
        <v>2349</v>
      </c>
      <c r="C22" s="82" t="s">
        <v>4136</v>
      </c>
      <c r="D22" s="82" t="s">
        <v>46</v>
      </c>
      <c r="E22" s="28" t="s">
        <v>4137</v>
      </c>
      <c r="F22" s="82">
        <v>620.0</v>
      </c>
      <c r="G22" s="82" t="s">
        <v>21</v>
      </c>
      <c r="H22" s="82" t="s">
        <v>4138</v>
      </c>
      <c r="I22" s="34" t="s">
        <v>4035</v>
      </c>
      <c r="J22" s="52" t="s">
        <v>287</v>
      </c>
      <c r="K22" s="82" t="s">
        <v>288</v>
      </c>
      <c r="L22" s="84">
        <v>0.3333333333333333</v>
      </c>
      <c r="M22" s="84">
        <v>0.5833333333333334</v>
      </c>
      <c r="N22" s="85" t="s">
        <v>2352</v>
      </c>
      <c r="O22" s="33" t="s">
        <v>4139</v>
      </c>
      <c r="P22" s="34" t="s">
        <v>4140</v>
      </c>
      <c r="Q22" s="33"/>
    </row>
    <row r="23">
      <c r="A23" s="82">
        <f t="shared" si="1"/>
        <v>22</v>
      </c>
      <c r="B23" s="82" t="s">
        <v>4141</v>
      </c>
      <c r="C23" s="82" t="s">
        <v>4142</v>
      </c>
      <c r="D23" s="82" t="s">
        <v>46</v>
      </c>
      <c r="E23" s="28" t="s">
        <v>4143</v>
      </c>
      <c r="F23" s="82">
        <v>274.0</v>
      </c>
      <c r="G23" s="82" t="s">
        <v>21</v>
      </c>
      <c r="H23" s="82">
        <v>0.0</v>
      </c>
      <c r="I23" s="34" t="s">
        <v>4035</v>
      </c>
      <c r="J23" s="52" t="s">
        <v>23</v>
      </c>
      <c r="K23" s="84"/>
      <c r="L23" s="84">
        <v>0.0</v>
      </c>
      <c r="M23" s="84">
        <v>0.9993055555555556</v>
      </c>
      <c r="N23" s="85" t="s">
        <v>4144</v>
      </c>
      <c r="O23" s="33" t="s">
        <v>4145</v>
      </c>
      <c r="P23" s="34" t="s">
        <v>4146</v>
      </c>
      <c r="Q23" s="33"/>
    </row>
    <row r="24">
      <c r="A24" s="82">
        <f t="shared" si="1"/>
        <v>23</v>
      </c>
      <c r="B24" s="82" t="s">
        <v>2992</v>
      </c>
      <c r="C24" s="82" t="s">
        <v>4147</v>
      </c>
      <c r="D24" s="82" t="s">
        <v>46</v>
      </c>
      <c r="E24" s="28" t="s">
        <v>4148</v>
      </c>
      <c r="F24" s="82">
        <v>1818.0</v>
      </c>
      <c r="G24" s="82" t="s">
        <v>21</v>
      </c>
      <c r="H24" s="82">
        <v>5000.0</v>
      </c>
      <c r="I24" s="85">
        <v>4.7</v>
      </c>
      <c r="J24" s="52" t="s">
        <v>388</v>
      </c>
      <c r="K24" s="82" t="s">
        <v>59</v>
      </c>
      <c r="L24" s="84">
        <v>0.3333333333333333</v>
      </c>
      <c r="M24" s="84">
        <v>0.6666666666666666</v>
      </c>
      <c r="N24" s="85" t="s">
        <v>2994</v>
      </c>
      <c r="O24" s="33" t="s">
        <v>4149</v>
      </c>
      <c r="P24" s="34" t="s">
        <v>4150</v>
      </c>
      <c r="Q24" s="33"/>
    </row>
    <row r="25">
      <c r="A25" s="82">
        <f t="shared" si="1"/>
        <v>24</v>
      </c>
      <c r="B25" s="82" t="s">
        <v>4151</v>
      </c>
      <c r="C25" s="82" t="s">
        <v>4152</v>
      </c>
      <c r="D25" s="82" t="s">
        <v>46</v>
      </c>
      <c r="E25" s="52" t="s">
        <v>4153</v>
      </c>
      <c r="F25" s="82">
        <v>2835.0</v>
      </c>
      <c r="G25" s="82" t="s">
        <v>21</v>
      </c>
      <c r="H25" s="82">
        <v>10000.0</v>
      </c>
      <c r="I25" s="34" t="s">
        <v>4047</v>
      </c>
      <c r="J25" s="82" t="s">
        <v>23</v>
      </c>
      <c r="K25" s="84"/>
      <c r="L25" s="84">
        <v>0.2916666666666667</v>
      </c>
      <c r="M25" s="84">
        <v>0.8333333333333334</v>
      </c>
      <c r="N25" s="85" t="s">
        <v>4154</v>
      </c>
      <c r="O25" s="33" t="s">
        <v>4155</v>
      </c>
      <c r="P25" s="34" t="s">
        <v>4156</v>
      </c>
      <c r="Q25" s="33"/>
    </row>
    <row r="26" ht="18.0" customHeight="1">
      <c r="A26" s="82">
        <f t="shared" si="1"/>
        <v>25</v>
      </c>
      <c r="B26" s="82" t="s">
        <v>4157</v>
      </c>
      <c r="C26" s="82" t="s">
        <v>4158</v>
      </c>
      <c r="D26" s="82" t="s">
        <v>46</v>
      </c>
      <c r="E26" s="52" t="s">
        <v>4159</v>
      </c>
      <c r="F26" s="82">
        <v>27203.0</v>
      </c>
      <c r="G26" s="82" t="s">
        <v>21</v>
      </c>
      <c r="H26" s="82">
        <v>5000.0</v>
      </c>
      <c r="I26" s="34" t="s">
        <v>4128</v>
      </c>
      <c r="J26" s="82" t="s">
        <v>388</v>
      </c>
      <c r="K26" s="82" t="s">
        <v>59</v>
      </c>
      <c r="L26" s="84">
        <v>0.3333333333333333</v>
      </c>
      <c r="M26" s="84">
        <v>0.625</v>
      </c>
      <c r="N26" s="85" t="s">
        <v>4160</v>
      </c>
      <c r="O26" s="33" t="s">
        <v>4161</v>
      </c>
      <c r="P26" s="34" t="s">
        <v>4162</v>
      </c>
      <c r="Q26" s="33"/>
    </row>
    <row r="27">
      <c r="A27" s="82">
        <f t="shared" si="1"/>
        <v>26</v>
      </c>
      <c r="B27" s="82" t="s">
        <v>4163</v>
      </c>
      <c r="C27" s="82" t="s">
        <v>4164</v>
      </c>
      <c r="D27" s="82" t="s">
        <v>46</v>
      </c>
      <c r="E27" s="28" t="s">
        <v>4165</v>
      </c>
      <c r="F27" s="82">
        <v>333.0</v>
      </c>
      <c r="G27" s="82" t="s">
        <v>21</v>
      </c>
      <c r="H27" s="82">
        <v>0.0</v>
      </c>
      <c r="I27" s="34" t="s">
        <v>4166</v>
      </c>
      <c r="J27" s="82" t="s">
        <v>388</v>
      </c>
      <c r="K27" s="82" t="s">
        <v>59</v>
      </c>
      <c r="L27" s="84">
        <v>0.3333333333333333</v>
      </c>
      <c r="M27" s="84">
        <v>0.625</v>
      </c>
      <c r="N27" s="85" t="s">
        <v>4167</v>
      </c>
      <c r="O27" s="33" t="s">
        <v>4168</v>
      </c>
      <c r="P27" s="34" t="s">
        <v>4169</v>
      </c>
      <c r="Q27" s="33"/>
    </row>
    <row r="28">
      <c r="A28" s="82">
        <f t="shared" si="1"/>
        <v>27</v>
      </c>
      <c r="B28" s="82" t="s">
        <v>3515</v>
      </c>
      <c r="C28" s="82" t="s">
        <v>4170</v>
      </c>
      <c r="D28" s="82" t="s">
        <v>46</v>
      </c>
      <c r="E28" s="82" t="s">
        <v>4171</v>
      </c>
      <c r="F28" s="82">
        <v>8239.0</v>
      </c>
      <c r="G28" s="82" t="s">
        <v>21</v>
      </c>
      <c r="H28" s="82">
        <v>0.0</v>
      </c>
      <c r="I28" s="34" t="s">
        <v>4047</v>
      </c>
      <c r="J28" s="82" t="s">
        <v>388</v>
      </c>
      <c r="K28" s="82" t="s">
        <v>59</v>
      </c>
      <c r="L28" s="84">
        <v>0.3333333333333333</v>
      </c>
      <c r="M28" s="84">
        <v>0.625</v>
      </c>
      <c r="N28" s="85" t="s">
        <v>4172</v>
      </c>
      <c r="O28" s="33" t="s">
        <v>4173</v>
      </c>
      <c r="P28" s="34" t="s">
        <v>4174</v>
      </c>
      <c r="Q28" s="33"/>
    </row>
    <row r="29">
      <c r="A29" s="82">
        <f t="shared" si="1"/>
        <v>28</v>
      </c>
      <c r="B29" s="82" t="s">
        <v>4175</v>
      </c>
      <c r="C29" s="82" t="s">
        <v>4176</v>
      </c>
      <c r="D29" s="82" t="s">
        <v>46</v>
      </c>
      <c r="E29" s="52" t="s">
        <v>4177</v>
      </c>
      <c r="F29" s="82">
        <v>1397.0</v>
      </c>
      <c r="G29" s="82" t="s">
        <v>21</v>
      </c>
      <c r="H29" s="82">
        <v>0.0</v>
      </c>
      <c r="I29" s="34" t="s">
        <v>4047</v>
      </c>
      <c r="J29" s="82" t="s">
        <v>287</v>
      </c>
      <c r="K29" s="82" t="s">
        <v>288</v>
      </c>
      <c r="L29" s="84">
        <v>0.2916666666666667</v>
      </c>
      <c r="M29" s="84">
        <v>0.625</v>
      </c>
      <c r="N29" s="85" t="s">
        <v>4178</v>
      </c>
      <c r="O29" s="33" t="s">
        <v>4179</v>
      </c>
      <c r="P29" s="34" t="s">
        <v>4180</v>
      </c>
      <c r="Q29" s="33"/>
    </row>
    <row r="30">
      <c r="A30" s="82">
        <f t="shared" si="1"/>
        <v>29</v>
      </c>
      <c r="B30" s="82" t="s">
        <v>4181</v>
      </c>
      <c r="C30" s="82" t="s">
        <v>4182</v>
      </c>
      <c r="D30" s="82" t="s">
        <v>46</v>
      </c>
      <c r="E30" s="82" t="s">
        <v>4183</v>
      </c>
      <c r="F30" s="82">
        <v>7545.0</v>
      </c>
      <c r="G30" s="82" t="s">
        <v>21</v>
      </c>
      <c r="H30" s="82">
        <v>0.0</v>
      </c>
      <c r="I30" s="34" t="s">
        <v>4128</v>
      </c>
      <c r="J30" s="82" t="s">
        <v>23</v>
      </c>
      <c r="K30" s="84"/>
      <c r="L30" s="84">
        <v>0.0</v>
      </c>
      <c r="M30" s="84">
        <v>0.9993055555555556</v>
      </c>
      <c r="N30" s="85" t="s">
        <v>4184</v>
      </c>
      <c r="O30" s="33" t="s">
        <v>4185</v>
      </c>
      <c r="P30" s="34" t="s">
        <v>4186</v>
      </c>
      <c r="Q30" s="33"/>
    </row>
    <row r="31">
      <c r="A31" s="82">
        <f t="shared" si="1"/>
        <v>30</v>
      </c>
      <c r="B31" s="82" t="s">
        <v>4187</v>
      </c>
      <c r="C31" s="82" t="s">
        <v>4188</v>
      </c>
      <c r="D31" s="82" t="s">
        <v>46</v>
      </c>
      <c r="E31" s="52" t="s">
        <v>4189</v>
      </c>
      <c r="F31" s="82">
        <v>4124.0</v>
      </c>
      <c r="G31" s="82" t="s">
        <v>21</v>
      </c>
      <c r="H31" s="82">
        <v>15000.0</v>
      </c>
      <c r="I31" s="34" t="s">
        <v>4095</v>
      </c>
      <c r="J31" s="82" t="s">
        <v>23</v>
      </c>
      <c r="K31" s="84"/>
      <c r="L31" s="84">
        <v>0.3333333333333333</v>
      </c>
      <c r="M31" s="84">
        <v>0.6666666666666666</v>
      </c>
      <c r="N31" s="85" t="s">
        <v>4190</v>
      </c>
      <c r="O31" s="33" t="s">
        <v>4191</v>
      </c>
      <c r="P31" s="34" t="s">
        <v>4192</v>
      </c>
      <c r="Q31" s="33"/>
    </row>
    <row r="32" ht="15.0" customHeight="1">
      <c r="A32" s="82">
        <f t="shared" si="1"/>
        <v>31</v>
      </c>
      <c r="B32" s="82" t="s">
        <v>4193</v>
      </c>
      <c r="C32" s="82" t="s">
        <v>4194</v>
      </c>
      <c r="D32" s="82" t="s">
        <v>46</v>
      </c>
      <c r="E32" s="82" t="s">
        <v>4195</v>
      </c>
      <c r="F32" s="82">
        <v>3286.0</v>
      </c>
      <c r="G32" s="82" t="s">
        <v>21</v>
      </c>
      <c r="H32" s="82">
        <v>35000.0</v>
      </c>
      <c r="I32" s="34" t="s">
        <v>4061</v>
      </c>
      <c r="J32" s="82" t="s">
        <v>23</v>
      </c>
      <c r="K32" s="84"/>
      <c r="L32" s="84">
        <v>0.375</v>
      </c>
      <c r="M32" s="84">
        <v>0.75</v>
      </c>
      <c r="N32" s="85" t="s">
        <v>4196</v>
      </c>
      <c r="O32" s="33" t="s">
        <v>4197</v>
      </c>
      <c r="P32" s="34" t="s">
        <v>4198</v>
      </c>
      <c r="Q32" s="33"/>
    </row>
    <row r="33">
      <c r="A33" s="82">
        <f t="shared" si="1"/>
        <v>32</v>
      </c>
      <c r="B33" s="82" t="s">
        <v>4199</v>
      </c>
      <c r="C33" s="82" t="s">
        <v>4200</v>
      </c>
      <c r="D33" s="82" t="s">
        <v>46</v>
      </c>
      <c r="E33" s="28" t="s">
        <v>4201</v>
      </c>
      <c r="F33" s="82">
        <v>1714.0</v>
      </c>
      <c r="G33" s="82" t="s">
        <v>21</v>
      </c>
      <c r="H33" s="82">
        <v>0.0</v>
      </c>
      <c r="I33" s="34" t="s">
        <v>4128</v>
      </c>
      <c r="J33" s="52" t="s">
        <v>23</v>
      </c>
      <c r="K33" s="84"/>
      <c r="L33" s="84">
        <v>0.3333333333333333</v>
      </c>
      <c r="M33" s="84">
        <v>0.6666666666666666</v>
      </c>
      <c r="N33" s="85" t="s">
        <v>4202</v>
      </c>
      <c r="O33" s="33" t="s">
        <v>4203</v>
      </c>
      <c r="P33" s="34" t="s">
        <v>4204</v>
      </c>
      <c r="Q33" s="33"/>
    </row>
    <row r="34">
      <c r="A34" s="82">
        <f t="shared" si="1"/>
        <v>33</v>
      </c>
      <c r="B34" s="82" t="s">
        <v>4205</v>
      </c>
      <c r="C34" s="82" t="s">
        <v>4206</v>
      </c>
      <c r="D34" s="82" t="s">
        <v>46</v>
      </c>
      <c r="E34" s="28" t="s">
        <v>4207</v>
      </c>
      <c r="F34" s="82">
        <v>689.0</v>
      </c>
      <c r="G34" s="82" t="s">
        <v>21</v>
      </c>
      <c r="H34" s="82">
        <v>0.0</v>
      </c>
      <c r="I34" s="34" t="s">
        <v>4073</v>
      </c>
      <c r="J34" s="52" t="s">
        <v>23</v>
      </c>
      <c r="K34" s="84"/>
      <c r="L34" s="84">
        <v>0.3333333333333333</v>
      </c>
      <c r="M34" s="84">
        <v>0.7083333333333334</v>
      </c>
      <c r="N34" s="85" t="s">
        <v>4208</v>
      </c>
      <c r="O34" s="33" t="s">
        <v>4209</v>
      </c>
      <c r="P34" s="34" t="s">
        <v>4210</v>
      </c>
      <c r="Q34" s="33"/>
    </row>
    <row r="35">
      <c r="A35" s="82">
        <f t="shared" si="1"/>
        <v>34</v>
      </c>
      <c r="B35" s="82" t="s">
        <v>4211</v>
      </c>
      <c r="C35" s="82" t="s">
        <v>4212</v>
      </c>
      <c r="D35" s="82" t="s">
        <v>46</v>
      </c>
      <c r="E35" s="28" t="s">
        <v>4213</v>
      </c>
      <c r="F35" s="82">
        <v>6135.0</v>
      </c>
      <c r="G35" s="82" t="s">
        <v>21</v>
      </c>
      <c r="H35" s="82">
        <v>0.0</v>
      </c>
      <c r="I35" s="34" t="s">
        <v>4047</v>
      </c>
      <c r="J35" s="52" t="s">
        <v>23</v>
      </c>
      <c r="K35" s="84"/>
      <c r="L35" s="84">
        <v>0.0</v>
      </c>
      <c r="M35" s="84">
        <v>0.9993055555555556</v>
      </c>
      <c r="N35" s="85" t="s">
        <v>4214</v>
      </c>
      <c r="O35" s="33" t="s">
        <v>4215</v>
      </c>
      <c r="P35" s="34" t="s">
        <v>4216</v>
      </c>
      <c r="Q35" s="33"/>
    </row>
    <row r="36">
      <c r="A36" s="82">
        <f t="shared" si="1"/>
        <v>35</v>
      </c>
      <c r="B36" s="82" t="s">
        <v>4217</v>
      </c>
      <c r="C36" s="82" t="s">
        <v>4218</v>
      </c>
      <c r="D36" s="82" t="s">
        <v>46</v>
      </c>
      <c r="E36" s="28" t="s">
        <v>4219</v>
      </c>
      <c r="F36" s="82">
        <v>2856.0</v>
      </c>
      <c r="G36" s="82" t="s">
        <v>21</v>
      </c>
      <c r="H36" s="82">
        <v>125000.0</v>
      </c>
      <c r="I36" s="34" t="s">
        <v>4028</v>
      </c>
      <c r="J36" s="52" t="s">
        <v>23</v>
      </c>
      <c r="K36" s="84"/>
      <c r="L36" s="84">
        <v>0.4166666666666667</v>
      </c>
      <c r="M36" s="84">
        <v>0.75</v>
      </c>
      <c r="N36" s="85" t="s">
        <v>4220</v>
      </c>
      <c r="O36" s="33" t="s">
        <v>4221</v>
      </c>
      <c r="P36" s="34" t="s">
        <v>4222</v>
      </c>
      <c r="Q36" s="33"/>
    </row>
    <row r="37">
      <c r="A37" s="82">
        <f t="shared" si="1"/>
        <v>36</v>
      </c>
      <c r="B37" s="82" t="s">
        <v>4223</v>
      </c>
      <c r="C37" s="82" t="s">
        <v>4224</v>
      </c>
      <c r="D37" s="82" t="s">
        <v>46</v>
      </c>
      <c r="E37" s="28" t="s">
        <v>4225</v>
      </c>
      <c r="F37" s="82">
        <v>7074.0</v>
      </c>
      <c r="G37" s="82" t="s">
        <v>21</v>
      </c>
      <c r="H37" s="82">
        <v>0.0</v>
      </c>
      <c r="I37" s="34" t="s">
        <v>4028</v>
      </c>
      <c r="J37" s="52" t="s">
        <v>23</v>
      </c>
      <c r="K37" s="84"/>
      <c r="L37" s="84">
        <v>0.0</v>
      </c>
      <c r="M37" s="84">
        <v>0.9993055555555556</v>
      </c>
      <c r="N37" s="85" t="s">
        <v>4226</v>
      </c>
      <c r="O37" s="33" t="s">
        <v>4227</v>
      </c>
      <c r="P37" s="34" t="s">
        <v>4228</v>
      </c>
      <c r="Q37" s="33"/>
    </row>
    <row r="38">
      <c r="A38" s="82">
        <f t="shared" si="1"/>
        <v>37</v>
      </c>
      <c r="B38" s="82" t="s">
        <v>2615</v>
      </c>
      <c r="C38" s="82" t="s">
        <v>4229</v>
      </c>
      <c r="D38" s="82" t="s">
        <v>46</v>
      </c>
      <c r="E38" s="28" t="s">
        <v>4230</v>
      </c>
      <c r="F38" s="82">
        <v>3938.0</v>
      </c>
      <c r="G38" s="82" t="s">
        <v>21</v>
      </c>
      <c r="H38" s="82">
        <v>2000.0</v>
      </c>
      <c r="I38" s="34" t="s">
        <v>4028</v>
      </c>
      <c r="J38" s="52" t="s">
        <v>23</v>
      </c>
      <c r="K38" s="84"/>
      <c r="L38" s="84">
        <v>0.3333333333333333</v>
      </c>
      <c r="M38" s="84">
        <v>0.6458333333333334</v>
      </c>
      <c r="N38" s="85" t="s">
        <v>4231</v>
      </c>
      <c r="O38" s="33" t="s">
        <v>4232</v>
      </c>
      <c r="P38" s="34" t="s">
        <v>4233</v>
      </c>
      <c r="Q38" s="33"/>
    </row>
    <row r="39">
      <c r="A39" s="82">
        <f t="shared" si="1"/>
        <v>38</v>
      </c>
      <c r="B39" s="82" t="s">
        <v>2874</v>
      </c>
      <c r="C39" s="82" t="s">
        <v>4234</v>
      </c>
      <c r="D39" s="82" t="s">
        <v>46</v>
      </c>
      <c r="E39" s="28" t="s">
        <v>4235</v>
      </c>
      <c r="F39" s="82">
        <v>58326.0</v>
      </c>
      <c r="G39" s="82" t="s">
        <v>21</v>
      </c>
      <c r="H39" s="82">
        <v>0.0</v>
      </c>
      <c r="I39" s="34" t="s">
        <v>4047</v>
      </c>
      <c r="J39" s="52" t="s">
        <v>23</v>
      </c>
      <c r="K39" s="84"/>
      <c r="L39" s="84">
        <v>0.0</v>
      </c>
      <c r="M39" s="84">
        <v>0.9993055555555556</v>
      </c>
      <c r="N39" s="85" t="s">
        <v>4236</v>
      </c>
      <c r="O39" s="33" t="s">
        <v>4237</v>
      </c>
      <c r="P39" s="34" t="s">
        <v>4238</v>
      </c>
      <c r="Q39" s="33"/>
    </row>
    <row r="40">
      <c r="A40" s="82">
        <f t="shared" si="1"/>
        <v>39</v>
      </c>
      <c r="B40" s="82" t="s">
        <v>4239</v>
      </c>
      <c r="C40" s="82" t="s">
        <v>4240</v>
      </c>
      <c r="D40" s="82" t="s">
        <v>46</v>
      </c>
      <c r="E40" s="28" t="s">
        <v>4241</v>
      </c>
      <c r="F40" s="82">
        <v>5385.0</v>
      </c>
      <c r="G40" s="82" t="s">
        <v>21</v>
      </c>
      <c r="H40" s="82">
        <v>0.0</v>
      </c>
      <c r="I40" s="34" t="s">
        <v>4028</v>
      </c>
      <c r="J40" s="52" t="s">
        <v>23</v>
      </c>
      <c r="K40" s="84"/>
      <c r="L40" s="84">
        <v>0.0</v>
      </c>
      <c r="M40" s="84">
        <v>0.9993055555555556</v>
      </c>
      <c r="N40" s="85" t="s">
        <v>4242</v>
      </c>
      <c r="O40" s="33" t="s">
        <v>4243</v>
      </c>
      <c r="P40" s="34" t="s">
        <v>4244</v>
      </c>
      <c r="Q40" s="33"/>
    </row>
    <row r="41">
      <c r="A41" s="82">
        <f t="shared" si="1"/>
        <v>40</v>
      </c>
      <c r="B41" s="82" t="s">
        <v>2145</v>
      </c>
      <c r="C41" s="82" t="s">
        <v>4245</v>
      </c>
      <c r="D41" s="82" t="s">
        <v>46</v>
      </c>
      <c r="E41" s="28" t="s">
        <v>4246</v>
      </c>
      <c r="F41" s="82">
        <v>10758.0</v>
      </c>
      <c r="G41" s="82" t="s">
        <v>21</v>
      </c>
      <c r="H41" s="82">
        <v>0.0</v>
      </c>
      <c r="I41" s="34" t="s">
        <v>4047</v>
      </c>
      <c r="J41" s="52" t="s">
        <v>23</v>
      </c>
      <c r="K41" s="84"/>
      <c r="L41" s="84">
        <v>0.2916666666666667</v>
      </c>
      <c r="M41" s="84">
        <v>0.7083333333333334</v>
      </c>
      <c r="N41" s="85" t="s">
        <v>2148</v>
      </c>
      <c r="O41" s="33" t="s">
        <v>2149</v>
      </c>
      <c r="P41" s="34" t="s">
        <v>2150</v>
      </c>
      <c r="Q41" s="33"/>
    </row>
    <row r="42" ht="17.25" customHeight="1">
      <c r="A42" s="82">
        <f t="shared" si="1"/>
        <v>41</v>
      </c>
      <c r="B42" s="82" t="s">
        <v>4247</v>
      </c>
      <c r="C42" s="82" t="s">
        <v>4248</v>
      </c>
      <c r="D42" s="82" t="s">
        <v>46</v>
      </c>
      <c r="E42" s="28" t="s">
        <v>4249</v>
      </c>
      <c r="F42" s="82">
        <v>1408.0</v>
      </c>
      <c r="G42" s="82" t="s">
        <v>21</v>
      </c>
      <c r="H42" s="82">
        <v>10000.0</v>
      </c>
      <c r="I42" s="34" t="s">
        <v>4166</v>
      </c>
      <c r="J42" s="52" t="s">
        <v>23</v>
      </c>
      <c r="K42" s="84"/>
      <c r="L42" s="84">
        <v>0.3333333333333333</v>
      </c>
      <c r="M42" s="84">
        <v>0.7916666666666666</v>
      </c>
      <c r="N42" s="85" t="s">
        <v>4250</v>
      </c>
      <c r="O42" s="33" t="s">
        <v>4251</v>
      </c>
      <c r="P42" s="34" t="s">
        <v>4252</v>
      </c>
      <c r="Q42" s="33"/>
    </row>
    <row r="43">
      <c r="A43" s="82">
        <f t="shared" si="1"/>
        <v>42</v>
      </c>
      <c r="B43" s="52" t="s">
        <v>498</v>
      </c>
      <c r="C43" s="52" t="s">
        <v>4253</v>
      </c>
      <c r="D43" s="52" t="s">
        <v>19</v>
      </c>
      <c r="E43" s="52" t="s">
        <v>4254</v>
      </c>
      <c r="F43" s="52">
        <v>1402.0</v>
      </c>
      <c r="G43" s="52" t="s">
        <v>21</v>
      </c>
      <c r="H43" s="52" t="s">
        <v>131</v>
      </c>
      <c r="I43" s="107" t="s">
        <v>4047</v>
      </c>
      <c r="J43" s="52" t="s">
        <v>23</v>
      </c>
      <c r="K43" s="52"/>
      <c r="L43" s="77">
        <v>0.2916666666666667</v>
      </c>
      <c r="M43" s="77">
        <v>0.9166666666666666</v>
      </c>
      <c r="N43" s="48" t="s">
        <v>501</v>
      </c>
      <c r="O43" s="33" t="s">
        <v>4255</v>
      </c>
      <c r="P43" s="34" t="s">
        <v>4256</v>
      </c>
      <c r="Q43" s="33"/>
    </row>
    <row r="44">
      <c r="A44" s="82">
        <f t="shared" si="1"/>
        <v>43</v>
      </c>
      <c r="B44" s="52" t="s">
        <v>4257</v>
      </c>
      <c r="C44" s="52" t="s">
        <v>4258</v>
      </c>
      <c r="D44" s="52" t="s">
        <v>19</v>
      </c>
      <c r="E44" s="52" t="s">
        <v>4259</v>
      </c>
      <c r="F44" s="52">
        <v>632.0</v>
      </c>
      <c r="G44" s="52" t="s">
        <v>21</v>
      </c>
      <c r="H44" s="52" t="s">
        <v>29</v>
      </c>
      <c r="I44" s="107" t="s">
        <v>4028</v>
      </c>
      <c r="J44" s="52" t="s">
        <v>23</v>
      </c>
      <c r="K44" s="52"/>
      <c r="L44" s="77">
        <v>0.4583333333333333</v>
      </c>
      <c r="M44" s="77">
        <v>0.9166666666666666</v>
      </c>
      <c r="N44" s="48" t="s">
        <v>4260</v>
      </c>
      <c r="O44" s="33" t="s">
        <v>4261</v>
      </c>
      <c r="P44" s="34" t="s">
        <v>4262</v>
      </c>
      <c r="Q44" s="33"/>
    </row>
    <row r="45">
      <c r="A45" s="82">
        <f t="shared" si="1"/>
        <v>44</v>
      </c>
      <c r="B45" s="52" t="s">
        <v>4263</v>
      </c>
      <c r="C45" s="52" t="s">
        <v>4264</v>
      </c>
      <c r="D45" s="52" t="s">
        <v>19</v>
      </c>
      <c r="E45" s="52" t="s">
        <v>4265</v>
      </c>
      <c r="F45" s="52">
        <v>242.0</v>
      </c>
      <c r="G45" s="52" t="s">
        <v>21</v>
      </c>
      <c r="H45" s="52" t="s">
        <v>22</v>
      </c>
      <c r="I45" s="107" t="s">
        <v>4047</v>
      </c>
      <c r="J45" s="52" t="s">
        <v>23</v>
      </c>
      <c r="K45" s="52"/>
      <c r="L45" s="77">
        <v>0.4166666666666667</v>
      </c>
      <c r="M45" s="77">
        <v>1.0</v>
      </c>
      <c r="N45" s="48" t="s">
        <v>4266</v>
      </c>
      <c r="O45" s="33" t="s">
        <v>4267</v>
      </c>
      <c r="P45" s="34" t="s">
        <v>4268</v>
      </c>
      <c r="Q45" s="33"/>
    </row>
    <row r="46">
      <c r="A46" s="82">
        <f t="shared" si="1"/>
        <v>45</v>
      </c>
      <c r="B46" s="52" t="s">
        <v>1739</v>
      </c>
      <c r="C46" s="52" t="s">
        <v>4269</v>
      </c>
      <c r="D46" s="52" t="s">
        <v>19</v>
      </c>
      <c r="E46" s="52" t="s">
        <v>4270</v>
      </c>
      <c r="F46" s="52">
        <v>2031.0</v>
      </c>
      <c r="G46" s="52" t="s">
        <v>21</v>
      </c>
      <c r="H46" s="52" t="s">
        <v>72</v>
      </c>
      <c r="I46" s="107" t="s">
        <v>4028</v>
      </c>
      <c r="J46" s="52" t="s">
        <v>23</v>
      </c>
      <c r="K46" s="52"/>
      <c r="L46" s="77">
        <v>0.375</v>
      </c>
      <c r="M46" s="77">
        <v>0.9583333333333334</v>
      </c>
      <c r="N46" s="48" t="s">
        <v>1742</v>
      </c>
      <c r="O46" s="33" t="s">
        <v>1743</v>
      </c>
      <c r="P46" s="34" t="s">
        <v>1744</v>
      </c>
      <c r="Q46" s="33"/>
    </row>
    <row r="47">
      <c r="A47" s="82">
        <f t="shared" si="1"/>
        <v>46</v>
      </c>
      <c r="B47" s="52" t="s">
        <v>4271</v>
      </c>
      <c r="C47" s="52" t="s">
        <v>4272</v>
      </c>
      <c r="D47" s="52" t="s">
        <v>19</v>
      </c>
      <c r="E47" s="52" t="s">
        <v>4273</v>
      </c>
      <c r="F47" s="52">
        <v>4090.0</v>
      </c>
      <c r="G47" s="52" t="s">
        <v>21</v>
      </c>
      <c r="H47" s="52" t="s">
        <v>22</v>
      </c>
      <c r="I47" s="107" t="s">
        <v>4028</v>
      </c>
      <c r="J47" s="52" t="s">
        <v>23</v>
      </c>
      <c r="K47" s="52"/>
      <c r="L47" s="77">
        <v>0.4166666666666667</v>
      </c>
      <c r="M47" s="77">
        <v>0.0</v>
      </c>
      <c r="N47" s="48" t="s">
        <v>4274</v>
      </c>
      <c r="O47" s="33" t="s">
        <v>4275</v>
      </c>
      <c r="P47" s="34" t="s">
        <v>4276</v>
      </c>
      <c r="Q47" s="33"/>
    </row>
    <row r="48">
      <c r="A48" s="82">
        <f t="shared" si="1"/>
        <v>47</v>
      </c>
      <c r="B48" s="52" t="s">
        <v>4277</v>
      </c>
      <c r="C48" s="52" t="s">
        <v>4278</v>
      </c>
      <c r="D48" s="52" t="s">
        <v>19</v>
      </c>
      <c r="E48" s="52" t="s">
        <v>4279</v>
      </c>
      <c r="F48" s="52">
        <v>169.0</v>
      </c>
      <c r="G48" s="52" t="s">
        <v>21</v>
      </c>
      <c r="H48" s="52" t="s">
        <v>22</v>
      </c>
      <c r="I48" s="107" t="s">
        <v>4128</v>
      </c>
      <c r="J48" s="52" t="s">
        <v>23</v>
      </c>
      <c r="K48" s="52"/>
      <c r="L48" s="77">
        <v>0.3333333333333333</v>
      </c>
      <c r="M48" s="77">
        <v>0.875</v>
      </c>
      <c r="N48" s="48" t="s">
        <v>4280</v>
      </c>
      <c r="O48" s="33" t="s">
        <v>4281</v>
      </c>
      <c r="P48" s="34" t="s">
        <v>4282</v>
      </c>
      <c r="Q48" s="33"/>
    </row>
    <row r="49">
      <c r="A49" s="82">
        <f t="shared" si="1"/>
        <v>48</v>
      </c>
      <c r="B49" s="52" t="s">
        <v>4283</v>
      </c>
      <c r="C49" s="52" t="s">
        <v>4284</v>
      </c>
      <c r="D49" s="52" t="s">
        <v>19</v>
      </c>
      <c r="E49" s="52" t="s">
        <v>4285</v>
      </c>
      <c r="F49" s="52">
        <v>1100.0</v>
      </c>
      <c r="G49" s="52" t="s">
        <v>21</v>
      </c>
      <c r="H49" s="52" t="s">
        <v>22</v>
      </c>
      <c r="I49" s="107" t="s">
        <v>4035</v>
      </c>
      <c r="J49" s="52" t="s">
        <v>23</v>
      </c>
      <c r="K49" s="52"/>
      <c r="L49" s="77">
        <v>0.6666666666666666</v>
      </c>
      <c r="M49" s="77">
        <v>0.0</v>
      </c>
      <c r="N49" s="48" t="s">
        <v>1220</v>
      </c>
      <c r="O49" s="33" t="s">
        <v>4286</v>
      </c>
      <c r="P49" s="34" t="s">
        <v>4287</v>
      </c>
      <c r="Q49" s="33"/>
    </row>
    <row r="50">
      <c r="A50" s="82">
        <f t="shared" si="1"/>
        <v>49</v>
      </c>
      <c r="B50" s="52" t="s">
        <v>4288</v>
      </c>
      <c r="C50" s="52" t="s">
        <v>4289</v>
      </c>
      <c r="D50" s="52" t="s">
        <v>19</v>
      </c>
      <c r="E50" s="52" t="s">
        <v>4290</v>
      </c>
      <c r="F50" s="52">
        <v>115.0</v>
      </c>
      <c r="G50" s="52" t="s">
        <v>21</v>
      </c>
      <c r="H50" s="52" t="s">
        <v>22</v>
      </c>
      <c r="I50" s="107" t="s">
        <v>4047</v>
      </c>
      <c r="J50" s="52" t="s">
        <v>23</v>
      </c>
      <c r="K50" s="52"/>
      <c r="L50" s="77">
        <v>0.3333333333333333</v>
      </c>
      <c r="M50" s="77">
        <v>0.9166666666666666</v>
      </c>
      <c r="N50" s="48" t="s">
        <v>4291</v>
      </c>
      <c r="O50" s="33" t="s">
        <v>4292</v>
      </c>
      <c r="P50" s="34" t="s">
        <v>4293</v>
      </c>
      <c r="Q50" s="33"/>
    </row>
    <row r="51">
      <c r="A51" s="82">
        <f t="shared" si="1"/>
        <v>50</v>
      </c>
      <c r="B51" s="52" t="s">
        <v>4294</v>
      </c>
      <c r="C51" s="52" t="s">
        <v>4295</v>
      </c>
      <c r="D51" s="52" t="s">
        <v>19</v>
      </c>
      <c r="E51" s="52" t="s">
        <v>4296</v>
      </c>
      <c r="F51" s="52">
        <v>3483.0</v>
      </c>
      <c r="G51" s="52" t="s">
        <v>21</v>
      </c>
      <c r="H51" s="52" t="s">
        <v>22</v>
      </c>
      <c r="I51" s="107" t="s">
        <v>4166</v>
      </c>
      <c r="J51" s="52" t="s">
        <v>23</v>
      </c>
      <c r="K51" s="52"/>
      <c r="L51" s="52" t="s">
        <v>4297</v>
      </c>
      <c r="M51" s="52" t="s">
        <v>4298</v>
      </c>
      <c r="N51" s="48" t="s">
        <v>3232</v>
      </c>
      <c r="O51" s="33" t="s">
        <v>4299</v>
      </c>
      <c r="P51" s="34" t="s">
        <v>4300</v>
      </c>
      <c r="Q51" s="33"/>
    </row>
    <row r="52">
      <c r="A52" s="82">
        <f t="shared" si="1"/>
        <v>51</v>
      </c>
      <c r="B52" s="52" t="s">
        <v>4301</v>
      </c>
      <c r="C52" s="52" t="s">
        <v>4302</v>
      </c>
      <c r="D52" s="52" t="s">
        <v>19</v>
      </c>
      <c r="E52" s="52" t="s">
        <v>4303</v>
      </c>
      <c r="F52" s="52">
        <v>584.0</v>
      </c>
      <c r="G52" s="52" t="s">
        <v>21</v>
      </c>
      <c r="H52" s="52" t="s">
        <v>131</v>
      </c>
      <c r="I52" s="107" t="s">
        <v>4028</v>
      </c>
      <c r="J52" s="52" t="s">
        <v>23</v>
      </c>
      <c r="K52" s="52"/>
      <c r="L52" s="77">
        <v>0.2916666666666667</v>
      </c>
      <c r="M52" s="77">
        <v>0.9166666666666666</v>
      </c>
      <c r="N52" s="48" t="s">
        <v>4304</v>
      </c>
      <c r="O52" s="33" t="s">
        <v>4305</v>
      </c>
      <c r="P52" s="34" t="s">
        <v>4306</v>
      </c>
      <c r="Q52" s="33"/>
    </row>
    <row r="53">
      <c r="A53" s="82">
        <f t="shared" si="1"/>
        <v>52</v>
      </c>
      <c r="B53" s="52" t="s">
        <v>4307</v>
      </c>
      <c r="C53" s="52" t="s">
        <v>4308</v>
      </c>
      <c r="D53" s="52" t="s">
        <v>34</v>
      </c>
      <c r="E53" s="52" t="s">
        <v>4309</v>
      </c>
      <c r="F53" s="52">
        <v>9915.0</v>
      </c>
      <c r="G53" s="52" t="s">
        <v>21</v>
      </c>
      <c r="H53" s="52" t="s">
        <v>221</v>
      </c>
      <c r="I53" s="107" t="s">
        <v>4095</v>
      </c>
      <c r="J53" s="52" t="s">
        <v>23</v>
      </c>
      <c r="K53" s="52"/>
      <c r="L53" s="77">
        <v>0.3333333333333333</v>
      </c>
      <c r="M53" s="52" t="s">
        <v>4310</v>
      </c>
      <c r="N53" s="48" t="s">
        <v>1911</v>
      </c>
      <c r="O53" s="33" t="s">
        <v>4311</v>
      </c>
      <c r="P53" s="34" t="s">
        <v>4312</v>
      </c>
      <c r="Q53" s="33"/>
    </row>
    <row r="54">
      <c r="A54" s="82">
        <f t="shared" si="1"/>
        <v>53</v>
      </c>
      <c r="B54" s="52" t="s">
        <v>1581</v>
      </c>
      <c r="C54" s="52" t="s">
        <v>4313</v>
      </c>
      <c r="D54" s="52" t="s">
        <v>34</v>
      </c>
      <c r="E54" s="52" t="s">
        <v>4314</v>
      </c>
      <c r="F54" s="52">
        <v>8878.0</v>
      </c>
      <c r="G54" s="52" t="s">
        <v>21</v>
      </c>
      <c r="H54" s="52" t="s">
        <v>22</v>
      </c>
      <c r="I54" s="107" t="s">
        <v>4028</v>
      </c>
      <c r="J54" s="52" t="s">
        <v>23</v>
      </c>
      <c r="K54" s="52"/>
      <c r="L54" s="77">
        <v>0.375</v>
      </c>
      <c r="M54" s="77">
        <v>0.125</v>
      </c>
      <c r="N54" s="48" t="s">
        <v>1584</v>
      </c>
      <c r="O54" s="33" t="s">
        <v>4315</v>
      </c>
      <c r="P54" s="34" t="s">
        <v>4316</v>
      </c>
      <c r="Q54" s="33"/>
    </row>
    <row r="55">
      <c r="A55" s="82">
        <f t="shared" si="1"/>
        <v>54</v>
      </c>
      <c r="B55" s="52" t="s">
        <v>4317</v>
      </c>
      <c r="C55" s="52" t="s">
        <v>4318</v>
      </c>
      <c r="D55" s="52" t="s">
        <v>34</v>
      </c>
      <c r="E55" s="52" t="s">
        <v>4319</v>
      </c>
      <c r="F55" s="52">
        <v>953.0</v>
      </c>
      <c r="G55" s="52" t="s">
        <v>21</v>
      </c>
      <c r="H55" s="52" t="s">
        <v>22</v>
      </c>
      <c r="I55" s="107" t="s">
        <v>4073</v>
      </c>
      <c r="J55" s="52" t="s">
        <v>23</v>
      </c>
      <c r="K55" s="52"/>
      <c r="L55" s="77">
        <v>0.3333333333333333</v>
      </c>
      <c r="M55" s="77">
        <v>0.875</v>
      </c>
      <c r="N55" s="48" t="s">
        <v>1629</v>
      </c>
      <c r="O55" s="33" t="s">
        <v>4320</v>
      </c>
      <c r="P55" s="34" t="s">
        <v>4321</v>
      </c>
      <c r="Q55" s="33"/>
    </row>
    <row r="56">
      <c r="A56" s="82">
        <f t="shared" si="1"/>
        <v>55</v>
      </c>
      <c r="B56" s="52" t="s">
        <v>4322</v>
      </c>
      <c r="C56" s="52" t="s">
        <v>4323</v>
      </c>
      <c r="D56" s="52" t="s">
        <v>34</v>
      </c>
      <c r="E56" s="52" t="s">
        <v>4324</v>
      </c>
      <c r="F56" s="52">
        <v>61.0</v>
      </c>
      <c r="G56" s="52" t="s">
        <v>21</v>
      </c>
      <c r="H56" s="52" t="s">
        <v>22</v>
      </c>
      <c r="I56" s="107" t="s">
        <v>4047</v>
      </c>
      <c r="J56" s="52" t="s">
        <v>23</v>
      </c>
      <c r="K56" s="52"/>
      <c r="L56" s="77">
        <v>0.20833333333333334</v>
      </c>
      <c r="M56" s="77">
        <v>0.5</v>
      </c>
      <c r="N56" s="48" t="s">
        <v>1669</v>
      </c>
      <c r="O56" s="33" t="s">
        <v>4325</v>
      </c>
      <c r="P56" s="34" t="s">
        <v>4326</v>
      </c>
      <c r="Q56" s="33"/>
    </row>
    <row r="57">
      <c r="A57" s="82">
        <f t="shared" si="1"/>
        <v>56</v>
      </c>
      <c r="B57" s="52" t="s">
        <v>4327</v>
      </c>
      <c r="C57" s="52" t="s">
        <v>4328</v>
      </c>
      <c r="D57" s="52" t="s">
        <v>34</v>
      </c>
      <c r="E57" s="52" t="s">
        <v>4329</v>
      </c>
      <c r="F57" s="52">
        <v>1684.0</v>
      </c>
      <c r="G57" s="52" t="s">
        <v>21</v>
      </c>
      <c r="H57" s="52" t="s">
        <v>72</v>
      </c>
      <c r="I57" s="107" t="s">
        <v>4095</v>
      </c>
      <c r="J57" s="52" t="s">
        <v>23</v>
      </c>
      <c r="K57" s="52"/>
      <c r="L57" s="77">
        <v>0.4166666666666667</v>
      </c>
      <c r="M57" s="77">
        <v>0.875</v>
      </c>
      <c r="N57" s="48" t="s">
        <v>4330</v>
      </c>
      <c r="O57" s="33" t="s">
        <v>4331</v>
      </c>
      <c r="P57" s="34" t="s">
        <v>4332</v>
      </c>
      <c r="Q57" s="33"/>
    </row>
    <row r="58">
      <c r="A58" s="82">
        <f t="shared" si="1"/>
        <v>57</v>
      </c>
      <c r="B58" s="52" t="s">
        <v>4333</v>
      </c>
      <c r="C58" s="52" t="s">
        <v>4334</v>
      </c>
      <c r="D58" s="52" t="s">
        <v>34</v>
      </c>
      <c r="E58" s="52" t="s">
        <v>4335</v>
      </c>
      <c r="F58" s="52">
        <v>905.0</v>
      </c>
      <c r="G58" s="52" t="s">
        <v>21</v>
      </c>
      <c r="H58" s="52" t="s">
        <v>22</v>
      </c>
      <c r="I58" s="107" t="s">
        <v>4095</v>
      </c>
      <c r="J58" s="52" t="s">
        <v>23</v>
      </c>
      <c r="K58" s="52"/>
      <c r="L58" s="77">
        <v>0.4166666666666667</v>
      </c>
      <c r="M58" s="77">
        <v>0.875</v>
      </c>
      <c r="N58" s="48" t="s">
        <v>4336</v>
      </c>
      <c r="O58" s="33" t="s">
        <v>4337</v>
      </c>
      <c r="P58" s="34" t="s">
        <v>4338</v>
      </c>
      <c r="Q58" s="33"/>
    </row>
    <row r="59">
      <c r="A59" s="82">
        <f t="shared" si="1"/>
        <v>58</v>
      </c>
      <c r="B59" s="52" t="s">
        <v>1036</v>
      </c>
      <c r="C59" s="52" t="s">
        <v>4339</v>
      </c>
      <c r="D59" s="52" t="s">
        <v>34</v>
      </c>
      <c r="E59" s="52" t="s">
        <v>4340</v>
      </c>
      <c r="F59" s="52">
        <v>10808.0</v>
      </c>
      <c r="G59" s="52" t="s">
        <v>21</v>
      </c>
      <c r="H59" s="52">
        <v>25000.0</v>
      </c>
      <c r="I59" s="107" t="s">
        <v>4073</v>
      </c>
      <c r="J59" s="52" t="s">
        <v>23</v>
      </c>
      <c r="K59" s="52"/>
      <c r="L59" s="77">
        <v>0.6666666666666666</v>
      </c>
      <c r="M59" s="77">
        <v>0.0</v>
      </c>
      <c r="N59" s="48" t="s">
        <v>1039</v>
      </c>
      <c r="O59" s="33" t="s">
        <v>4341</v>
      </c>
      <c r="P59" s="34" t="s">
        <v>4342</v>
      </c>
      <c r="Q59" s="33"/>
    </row>
    <row r="60">
      <c r="A60" s="82">
        <f t="shared" si="1"/>
        <v>59</v>
      </c>
      <c r="B60" s="52" t="s">
        <v>4343</v>
      </c>
      <c r="C60" s="52" t="s">
        <v>4344</v>
      </c>
      <c r="D60" s="52" t="s">
        <v>34</v>
      </c>
      <c r="E60" s="52" t="s">
        <v>4345</v>
      </c>
      <c r="F60" s="52">
        <v>5793.0</v>
      </c>
      <c r="G60" s="52" t="s">
        <v>21</v>
      </c>
      <c r="H60" s="52" t="s">
        <v>22</v>
      </c>
      <c r="I60" s="107" t="s">
        <v>4035</v>
      </c>
      <c r="J60" s="52" t="s">
        <v>23</v>
      </c>
      <c r="K60" s="52"/>
      <c r="L60" s="77">
        <v>0.875</v>
      </c>
      <c r="M60" s="77">
        <v>0.125</v>
      </c>
      <c r="N60" s="48" t="s">
        <v>3553</v>
      </c>
      <c r="O60" s="33" t="s">
        <v>4346</v>
      </c>
      <c r="P60" s="34" t="s">
        <v>4347</v>
      </c>
      <c r="Q60" s="33"/>
    </row>
    <row r="61">
      <c r="A61" s="82">
        <f t="shared" si="1"/>
        <v>60</v>
      </c>
      <c r="B61" s="52" t="s">
        <v>4348</v>
      </c>
      <c r="C61" s="52" t="s">
        <v>4349</v>
      </c>
      <c r="D61" s="52" t="s">
        <v>34</v>
      </c>
      <c r="E61" s="52" t="s">
        <v>4350</v>
      </c>
      <c r="F61" s="52">
        <v>7755.0</v>
      </c>
      <c r="G61" s="52" t="s">
        <v>21</v>
      </c>
      <c r="H61" s="52" t="s">
        <v>22</v>
      </c>
      <c r="I61" s="107" t="s">
        <v>4035</v>
      </c>
      <c r="J61" s="52" t="s">
        <v>23</v>
      </c>
      <c r="K61" s="52"/>
      <c r="L61" s="77">
        <v>0.2708333333333333</v>
      </c>
      <c r="M61" s="77">
        <v>0.8333333333333334</v>
      </c>
      <c r="N61" s="48" t="s">
        <v>309</v>
      </c>
      <c r="O61" s="33" t="s">
        <v>4351</v>
      </c>
      <c r="P61" s="34" t="s">
        <v>4352</v>
      </c>
      <c r="Q61" s="33"/>
    </row>
    <row r="62">
      <c r="A62" s="82">
        <f t="shared" si="1"/>
        <v>61</v>
      </c>
      <c r="B62" s="52" t="s">
        <v>1816</v>
      </c>
      <c r="C62" s="52" t="s">
        <v>4353</v>
      </c>
      <c r="D62" s="52" t="s">
        <v>34</v>
      </c>
      <c r="E62" s="52" t="s">
        <v>4354</v>
      </c>
      <c r="F62" s="52">
        <v>1496.0</v>
      </c>
      <c r="G62" s="52" t="s">
        <v>21</v>
      </c>
      <c r="H62" s="52" t="s">
        <v>72</v>
      </c>
      <c r="I62" s="107" t="s">
        <v>4095</v>
      </c>
      <c r="J62" s="52" t="s">
        <v>23</v>
      </c>
      <c r="K62" s="52"/>
      <c r="L62" s="77">
        <v>0.4166666666666667</v>
      </c>
      <c r="M62" s="77">
        <v>0.875</v>
      </c>
      <c r="N62" s="48" t="s">
        <v>1819</v>
      </c>
      <c r="O62" s="33" t="s">
        <v>4355</v>
      </c>
      <c r="P62" s="34" t="s">
        <v>4356</v>
      </c>
      <c r="Q62" s="33"/>
    </row>
    <row r="63">
      <c r="A63" s="82">
        <f t="shared" si="1"/>
        <v>62</v>
      </c>
      <c r="B63" s="52" t="s">
        <v>4357</v>
      </c>
      <c r="C63" s="52" t="s">
        <v>4358</v>
      </c>
      <c r="D63" s="52" t="s">
        <v>4359</v>
      </c>
      <c r="E63" s="52" t="s">
        <v>4360</v>
      </c>
      <c r="F63" s="52">
        <v>799.0</v>
      </c>
      <c r="G63" s="52" t="s">
        <v>21</v>
      </c>
      <c r="H63" s="52">
        <v>0.0</v>
      </c>
      <c r="I63" s="107" t="s">
        <v>4035</v>
      </c>
      <c r="J63" s="52" t="s">
        <v>23</v>
      </c>
      <c r="K63" s="52"/>
      <c r="L63" s="77">
        <v>0.0</v>
      </c>
      <c r="M63" s="77">
        <v>0.0</v>
      </c>
      <c r="N63" s="48" t="s">
        <v>120</v>
      </c>
      <c r="O63" s="33" t="s">
        <v>4361</v>
      </c>
      <c r="P63" s="34" t="s">
        <v>4362</v>
      </c>
      <c r="Q63" s="33"/>
    </row>
    <row r="64">
      <c r="A64" s="82">
        <f t="shared" si="1"/>
        <v>63</v>
      </c>
      <c r="B64" s="52" t="s">
        <v>4363</v>
      </c>
      <c r="C64" s="52" t="s">
        <v>4364</v>
      </c>
      <c r="D64" s="52" t="s">
        <v>46</v>
      </c>
      <c r="E64" s="52" t="s">
        <v>4365</v>
      </c>
      <c r="F64" s="52">
        <v>493.0</v>
      </c>
      <c r="G64" s="52" t="s">
        <v>21</v>
      </c>
      <c r="H64" s="52">
        <v>0.0</v>
      </c>
      <c r="I64" s="107" t="s">
        <v>4166</v>
      </c>
      <c r="J64" s="52" t="s">
        <v>388</v>
      </c>
      <c r="K64" s="52" t="s">
        <v>59</v>
      </c>
      <c r="L64" s="77">
        <v>0.3333333333333333</v>
      </c>
      <c r="M64" s="77">
        <v>0.625</v>
      </c>
      <c r="N64" s="48" t="s">
        <v>1706</v>
      </c>
      <c r="O64" s="33" t="s">
        <v>4366</v>
      </c>
      <c r="P64" s="34" t="s">
        <v>4367</v>
      </c>
      <c r="Q64" s="33"/>
    </row>
    <row r="65">
      <c r="A65" s="82">
        <f t="shared" si="1"/>
        <v>64</v>
      </c>
      <c r="B65" s="52" t="s">
        <v>4368</v>
      </c>
      <c r="C65" s="52" t="s">
        <v>4369</v>
      </c>
      <c r="D65" s="52" t="s">
        <v>46</v>
      </c>
      <c r="E65" s="52" t="s">
        <v>4370</v>
      </c>
      <c r="F65" s="52">
        <v>1089.0</v>
      </c>
      <c r="G65" s="52" t="s">
        <v>21</v>
      </c>
      <c r="H65" s="52">
        <v>10000.0</v>
      </c>
      <c r="I65" s="107" t="s">
        <v>4035</v>
      </c>
      <c r="J65" s="52" t="s">
        <v>23</v>
      </c>
      <c r="K65" s="52"/>
      <c r="L65" s="77">
        <v>0.3333333333333333</v>
      </c>
      <c r="M65" s="77">
        <v>0.6666666666666666</v>
      </c>
      <c r="N65" s="48" t="s">
        <v>1965</v>
      </c>
      <c r="O65" s="33" t="s">
        <v>4371</v>
      </c>
      <c r="P65" s="34" t="s">
        <v>4372</v>
      </c>
      <c r="Q65" s="33"/>
    </row>
    <row r="66">
      <c r="A66" s="82">
        <f t="shared" si="1"/>
        <v>65</v>
      </c>
      <c r="B66" s="52" t="s">
        <v>4373</v>
      </c>
      <c r="C66" s="52" t="s">
        <v>4374</v>
      </c>
      <c r="D66" s="52" t="s">
        <v>46</v>
      </c>
      <c r="E66" s="52" t="s">
        <v>4375</v>
      </c>
      <c r="F66" s="52">
        <v>1034.0</v>
      </c>
      <c r="G66" s="52" t="s">
        <v>21</v>
      </c>
      <c r="H66" s="52">
        <v>0.0</v>
      </c>
      <c r="I66" s="107" t="s">
        <v>4028</v>
      </c>
      <c r="J66" s="52" t="s">
        <v>23</v>
      </c>
      <c r="K66" s="52"/>
      <c r="L66" s="77">
        <v>0.3333333333333333</v>
      </c>
      <c r="M66" s="77">
        <v>0.6666666666666666</v>
      </c>
      <c r="N66" s="48" t="s">
        <v>1644</v>
      </c>
      <c r="O66" s="33" t="s">
        <v>4376</v>
      </c>
      <c r="P66" s="34" t="s">
        <v>4377</v>
      </c>
      <c r="Q66" s="33"/>
    </row>
    <row r="67">
      <c r="A67" s="82">
        <f t="shared" si="1"/>
        <v>66</v>
      </c>
      <c r="B67" s="52" t="s">
        <v>4378</v>
      </c>
      <c r="C67" s="52" t="s">
        <v>4379</v>
      </c>
      <c r="D67" s="52" t="s">
        <v>19</v>
      </c>
      <c r="E67" s="52" t="s">
        <v>4380</v>
      </c>
      <c r="F67" s="52">
        <v>1105.0</v>
      </c>
      <c r="G67" s="52" t="s">
        <v>21</v>
      </c>
      <c r="H67" s="52" t="s">
        <v>221</v>
      </c>
      <c r="I67" s="107" t="s">
        <v>4047</v>
      </c>
      <c r="J67" s="52" t="s">
        <v>23</v>
      </c>
      <c r="K67" s="52"/>
      <c r="L67" s="77">
        <v>0.3333333333333333</v>
      </c>
      <c r="M67" s="77">
        <v>0.8333333333333334</v>
      </c>
      <c r="N67" s="48" t="s">
        <v>573</v>
      </c>
      <c r="O67" s="33" t="s">
        <v>4381</v>
      </c>
      <c r="P67" s="34" t="s">
        <v>4382</v>
      </c>
      <c r="Q67" s="33"/>
    </row>
    <row r="68">
      <c r="A68" s="82">
        <f t="shared" si="1"/>
        <v>67</v>
      </c>
      <c r="B68" s="28" t="s">
        <v>4383</v>
      </c>
      <c r="C68" s="28" t="s">
        <v>2656</v>
      </c>
      <c r="D68" s="28" t="s">
        <v>46</v>
      </c>
      <c r="E68" s="28" t="s">
        <v>2657</v>
      </c>
      <c r="F68" s="28">
        <v>988.0</v>
      </c>
      <c r="G68" s="28" t="s">
        <v>21</v>
      </c>
      <c r="H68" s="28">
        <v>0.0</v>
      </c>
      <c r="I68" s="33" t="s">
        <v>4035</v>
      </c>
      <c r="J68" s="52" t="s">
        <v>23</v>
      </c>
      <c r="K68" s="30"/>
      <c r="L68" s="31">
        <v>0.25</v>
      </c>
      <c r="M68" s="31">
        <v>0.75</v>
      </c>
      <c r="N68" s="48" t="s">
        <v>4384</v>
      </c>
      <c r="O68" s="33" t="s">
        <v>4385</v>
      </c>
      <c r="P68" s="34" t="s">
        <v>4386</v>
      </c>
      <c r="Q68" s="33"/>
    </row>
    <row r="69">
      <c r="A69" s="82">
        <f t="shared" si="1"/>
        <v>68</v>
      </c>
      <c r="B69" s="28" t="s">
        <v>4387</v>
      </c>
      <c r="C69" s="28" t="s">
        <v>4388</v>
      </c>
      <c r="D69" s="28" t="s">
        <v>46</v>
      </c>
      <c r="E69" s="28" t="s">
        <v>4389</v>
      </c>
      <c r="F69" s="28">
        <v>655.0</v>
      </c>
      <c r="G69" s="28" t="s">
        <v>21</v>
      </c>
      <c r="H69" s="28">
        <v>10000.0</v>
      </c>
      <c r="I69" s="33" t="s">
        <v>4047</v>
      </c>
      <c r="J69" s="52" t="s">
        <v>23</v>
      </c>
      <c r="K69" s="30"/>
      <c r="L69" s="31">
        <v>0.3333333333333333</v>
      </c>
      <c r="M69" s="31">
        <v>0.875</v>
      </c>
      <c r="N69" s="48" t="s">
        <v>1449</v>
      </c>
      <c r="O69" s="33" t="s">
        <v>1450</v>
      </c>
      <c r="P69" s="34" t="s">
        <v>1451</v>
      </c>
      <c r="Q69" s="33"/>
    </row>
    <row r="70">
      <c r="A70" s="82">
        <f t="shared" si="1"/>
        <v>69</v>
      </c>
      <c r="B70" s="28" t="s">
        <v>4390</v>
      </c>
      <c r="C70" s="28" t="s">
        <v>4391</v>
      </c>
      <c r="D70" s="28" t="s">
        <v>46</v>
      </c>
      <c r="E70" s="28" t="s">
        <v>4392</v>
      </c>
      <c r="F70" s="28">
        <v>8950.0</v>
      </c>
      <c r="G70" s="28" t="s">
        <v>21</v>
      </c>
      <c r="H70" s="28">
        <v>0.0</v>
      </c>
      <c r="I70" s="33" t="s">
        <v>4128</v>
      </c>
      <c r="J70" s="52" t="s">
        <v>23</v>
      </c>
      <c r="K70" s="30"/>
      <c r="L70" s="31">
        <v>0.0</v>
      </c>
      <c r="M70" s="31">
        <v>0.9993055555555556</v>
      </c>
      <c r="N70" s="48" t="s">
        <v>1674</v>
      </c>
      <c r="O70" s="33" t="s">
        <v>1675</v>
      </c>
      <c r="P70" s="34" t="s">
        <v>1676</v>
      </c>
      <c r="Q70" s="33"/>
    </row>
    <row r="71">
      <c r="A71" s="82">
        <f t="shared" si="1"/>
        <v>70</v>
      </c>
      <c r="B71" s="28" t="s">
        <v>3981</v>
      </c>
      <c r="C71" s="28" t="s">
        <v>3982</v>
      </c>
      <c r="D71" s="28" t="s">
        <v>46</v>
      </c>
      <c r="E71" s="28" t="s">
        <v>3983</v>
      </c>
      <c r="F71" s="28">
        <v>42.0</v>
      </c>
      <c r="G71" s="28" t="s">
        <v>21</v>
      </c>
      <c r="H71" s="28">
        <v>0.0</v>
      </c>
      <c r="I71" s="33" t="s">
        <v>4035</v>
      </c>
      <c r="J71" s="52" t="s">
        <v>23</v>
      </c>
      <c r="K71" s="30"/>
      <c r="L71" s="31">
        <v>0.375</v>
      </c>
      <c r="M71" s="31">
        <v>0.7083333333333334</v>
      </c>
      <c r="N71" s="48" t="s">
        <v>4393</v>
      </c>
      <c r="O71" s="33" t="s">
        <v>4394</v>
      </c>
      <c r="P71" s="34" t="s">
        <v>4395</v>
      </c>
      <c r="Q71" s="33"/>
    </row>
    <row r="72">
      <c r="A72" s="82">
        <f t="shared" si="1"/>
        <v>71</v>
      </c>
      <c r="B72" s="28" t="s">
        <v>3140</v>
      </c>
      <c r="C72" s="28" t="s">
        <v>3141</v>
      </c>
      <c r="D72" s="28" t="s">
        <v>46</v>
      </c>
      <c r="E72" s="28" t="s">
        <v>3142</v>
      </c>
      <c r="F72" s="28">
        <v>871.0</v>
      </c>
      <c r="G72" s="28" t="s">
        <v>21</v>
      </c>
      <c r="H72" s="28">
        <v>0.0</v>
      </c>
      <c r="I72" s="33" t="s">
        <v>4128</v>
      </c>
      <c r="J72" s="52" t="s">
        <v>23</v>
      </c>
      <c r="K72" s="30"/>
      <c r="L72" s="31">
        <v>0.25</v>
      </c>
      <c r="M72" s="31">
        <v>0.9166666666666666</v>
      </c>
      <c r="N72" s="48" t="s">
        <v>4396</v>
      </c>
      <c r="O72" s="33" t="s">
        <v>4397</v>
      </c>
      <c r="P72" s="34" t="s">
        <v>4398</v>
      </c>
      <c r="Q72" s="33"/>
    </row>
    <row r="73">
      <c r="A73" s="82">
        <f t="shared" si="1"/>
        <v>72</v>
      </c>
      <c r="B73" s="28" t="s">
        <v>3999</v>
      </c>
      <c r="C73" s="28" t="s">
        <v>4000</v>
      </c>
      <c r="D73" s="28" t="s">
        <v>46</v>
      </c>
      <c r="E73" s="28" t="s">
        <v>4001</v>
      </c>
      <c r="F73" s="28">
        <v>1672.0</v>
      </c>
      <c r="G73" s="28" t="s">
        <v>21</v>
      </c>
      <c r="H73" s="28">
        <v>0.0</v>
      </c>
      <c r="I73" s="33" t="s">
        <v>4166</v>
      </c>
      <c r="J73" s="52" t="s">
        <v>23</v>
      </c>
      <c r="K73" s="30"/>
      <c r="L73" s="31">
        <v>0.4166666666666667</v>
      </c>
      <c r="M73" s="31">
        <v>0.9166666666666666</v>
      </c>
      <c r="N73" s="48" t="s">
        <v>4399</v>
      </c>
      <c r="O73" s="33" t="s">
        <v>4400</v>
      </c>
      <c r="P73" s="34" t="s">
        <v>4401</v>
      </c>
      <c r="Q73" s="33"/>
    </row>
    <row r="74">
      <c r="A74" s="82">
        <f t="shared" si="1"/>
        <v>73</v>
      </c>
      <c r="B74" s="28" t="s">
        <v>848</v>
      </c>
      <c r="C74" s="28" t="s">
        <v>849</v>
      </c>
      <c r="D74" s="28" t="s">
        <v>46</v>
      </c>
      <c r="E74" s="28" t="s">
        <v>850</v>
      </c>
      <c r="F74" s="28">
        <v>4185.0</v>
      </c>
      <c r="G74" s="28" t="s">
        <v>21</v>
      </c>
      <c r="H74" s="28">
        <v>0.0</v>
      </c>
      <c r="I74" s="33" t="s">
        <v>4166</v>
      </c>
      <c r="J74" s="52" t="s">
        <v>23</v>
      </c>
      <c r="K74" s="30"/>
      <c r="L74" s="31">
        <v>0.0</v>
      </c>
      <c r="M74" s="31">
        <v>0.9993055555555556</v>
      </c>
      <c r="N74" s="48" t="s">
        <v>851</v>
      </c>
      <c r="O74" s="33" t="s">
        <v>852</v>
      </c>
      <c r="P74" s="34" t="s">
        <v>853</v>
      </c>
      <c r="Q74" s="33"/>
    </row>
    <row r="75">
      <c r="A75" s="82">
        <f t="shared" si="1"/>
        <v>74</v>
      </c>
      <c r="B75" s="28" t="s">
        <v>4011</v>
      </c>
      <c r="C75" s="28" t="s">
        <v>4012</v>
      </c>
      <c r="D75" s="28" t="s">
        <v>46</v>
      </c>
      <c r="E75" s="28" t="s">
        <v>4013</v>
      </c>
      <c r="F75" s="28">
        <v>406.0</v>
      </c>
      <c r="G75" s="28" t="s">
        <v>21</v>
      </c>
      <c r="H75" s="28">
        <v>15000.0</v>
      </c>
      <c r="I75" s="33" t="s">
        <v>4047</v>
      </c>
      <c r="J75" s="52" t="s">
        <v>23</v>
      </c>
      <c r="K75" s="30"/>
      <c r="L75" s="31">
        <v>0.375</v>
      </c>
      <c r="M75" s="31">
        <v>0.75</v>
      </c>
      <c r="N75" s="48" t="s">
        <v>4014</v>
      </c>
      <c r="O75" s="33" t="s">
        <v>4015</v>
      </c>
      <c r="P75" s="34" t="s">
        <v>4016</v>
      </c>
      <c r="Q75" s="33"/>
    </row>
    <row r="76">
      <c r="A76" s="82">
        <f t="shared" si="1"/>
        <v>75</v>
      </c>
      <c r="B76" s="28" t="s">
        <v>3600</v>
      </c>
      <c r="C76" s="28" t="s">
        <v>3601</v>
      </c>
      <c r="D76" s="28" t="s">
        <v>46</v>
      </c>
      <c r="E76" s="28" t="s">
        <v>3602</v>
      </c>
      <c r="F76" s="28">
        <v>777.0</v>
      </c>
      <c r="G76" s="28" t="s">
        <v>21</v>
      </c>
      <c r="H76" s="28">
        <v>0.0</v>
      </c>
      <c r="I76" s="33" t="s">
        <v>4047</v>
      </c>
      <c r="J76" s="52" t="s">
        <v>23</v>
      </c>
      <c r="K76" s="30"/>
      <c r="L76" s="31">
        <v>0.0</v>
      </c>
      <c r="M76" s="31">
        <v>0.9993055555555556</v>
      </c>
      <c r="N76" s="48" t="s">
        <v>4402</v>
      </c>
      <c r="O76" s="33" t="s">
        <v>4403</v>
      </c>
      <c r="P76" s="34" t="s">
        <v>4404</v>
      </c>
      <c r="Q76" s="33"/>
    </row>
    <row r="77">
      <c r="A77" s="82">
        <f t="shared" si="1"/>
        <v>76</v>
      </c>
      <c r="B77" s="28" t="s">
        <v>3673</v>
      </c>
      <c r="C77" s="28" t="s">
        <v>3674</v>
      </c>
      <c r="D77" s="28" t="s">
        <v>46</v>
      </c>
      <c r="E77" s="28" t="s">
        <v>3675</v>
      </c>
      <c r="F77" s="28">
        <v>85.0</v>
      </c>
      <c r="G77" s="28" t="s">
        <v>21</v>
      </c>
      <c r="H77" s="28">
        <v>0.0</v>
      </c>
      <c r="I77" s="33" t="s">
        <v>4028</v>
      </c>
      <c r="J77" s="52" t="s">
        <v>23</v>
      </c>
      <c r="K77" s="30"/>
      <c r="L77" s="31">
        <v>0.0</v>
      </c>
      <c r="M77" s="31">
        <v>0.9993055555555556</v>
      </c>
      <c r="N77" s="48" t="s">
        <v>4405</v>
      </c>
      <c r="O77" s="33" t="s">
        <v>4406</v>
      </c>
      <c r="P77" s="34" t="s">
        <v>4407</v>
      </c>
      <c r="Q77" s="33"/>
    </row>
    <row r="78">
      <c r="A78" s="82">
        <f t="shared" si="1"/>
        <v>77</v>
      </c>
      <c r="B78" s="28" t="s">
        <v>3749</v>
      </c>
      <c r="C78" s="28" t="s">
        <v>3750</v>
      </c>
      <c r="D78" s="28" t="s">
        <v>46</v>
      </c>
      <c r="E78" s="28" t="s">
        <v>3751</v>
      </c>
      <c r="F78" s="28">
        <v>2586.0</v>
      </c>
      <c r="G78" s="28" t="s">
        <v>21</v>
      </c>
      <c r="H78" s="28">
        <v>0.0</v>
      </c>
      <c r="I78" s="33" t="s">
        <v>4166</v>
      </c>
      <c r="J78" s="52" t="s">
        <v>23</v>
      </c>
      <c r="K78" s="30"/>
      <c r="L78" s="31">
        <v>0.0</v>
      </c>
      <c r="M78" s="31">
        <v>0.9993055555555556</v>
      </c>
      <c r="N78" s="48" t="s">
        <v>4408</v>
      </c>
      <c r="O78" s="33" t="s">
        <v>4409</v>
      </c>
      <c r="P78" s="34" t="s">
        <v>4410</v>
      </c>
      <c r="Q78" s="33"/>
    </row>
    <row r="79">
      <c r="A79" s="82">
        <f t="shared" si="1"/>
        <v>78</v>
      </c>
      <c r="B79" s="28" t="s">
        <v>3051</v>
      </c>
      <c r="C79" s="28" t="s">
        <v>3052</v>
      </c>
      <c r="D79" s="28" t="s">
        <v>46</v>
      </c>
      <c r="E79" s="28" t="s">
        <v>3053</v>
      </c>
      <c r="F79" s="28">
        <v>749.0</v>
      </c>
      <c r="G79" s="28" t="s">
        <v>21</v>
      </c>
      <c r="H79" s="28">
        <v>0.0</v>
      </c>
      <c r="I79" s="33" t="s">
        <v>4028</v>
      </c>
      <c r="J79" s="52" t="s">
        <v>23</v>
      </c>
      <c r="K79" s="30"/>
      <c r="L79" s="31">
        <v>0.22916666666666666</v>
      </c>
      <c r="M79" s="31">
        <v>0.875</v>
      </c>
      <c r="N79" s="48" t="s">
        <v>4411</v>
      </c>
      <c r="O79" s="33" t="s">
        <v>4412</v>
      </c>
      <c r="P79" s="34" t="s">
        <v>4413</v>
      </c>
      <c r="Q79" s="33"/>
    </row>
    <row r="80">
      <c r="A80" s="82">
        <f t="shared" si="1"/>
        <v>79</v>
      </c>
      <c r="B80" s="28" t="s">
        <v>2878</v>
      </c>
      <c r="C80" s="28" t="s">
        <v>2879</v>
      </c>
      <c r="D80" s="28" t="s">
        <v>46</v>
      </c>
      <c r="E80" s="28" t="s">
        <v>2880</v>
      </c>
      <c r="F80" s="28">
        <v>908.0</v>
      </c>
      <c r="G80" s="28" t="s">
        <v>21</v>
      </c>
      <c r="H80" s="28">
        <v>5000.0</v>
      </c>
      <c r="I80" s="33" t="s">
        <v>4028</v>
      </c>
      <c r="J80" s="52" t="s">
        <v>23</v>
      </c>
      <c r="K80" s="30"/>
      <c r="L80" s="31">
        <v>0.3333333333333333</v>
      </c>
      <c r="M80" s="31">
        <v>0.6666666666666666</v>
      </c>
      <c r="N80" s="48" t="s">
        <v>4414</v>
      </c>
      <c r="O80" s="33" t="s">
        <v>4415</v>
      </c>
      <c r="P80" s="34" t="s">
        <v>4416</v>
      </c>
      <c r="Q80" s="33"/>
    </row>
    <row r="81">
      <c r="A81" s="82">
        <f t="shared" si="1"/>
        <v>80</v>
      </c>
      <c r="B81" s="28" t="s">
        <v>3754</v>
      </c>
      <c r="C81" s="28" t="s">
        <v>3755</v>
      </c>
      <c r="D81" s="28" t="s">
        <v>46</v>
      </c>
      <c r="E81" s="28" t="s">
        <v>3756</v>
      </c>
      <c r="F81" s="28">
        <v>14.0</v>
      </c>
      <c r="G81" s="28" t="s">
        <v>21</v>
      </c>
      <c r="H81" s="28">
        <v>0.0</v>
      </c>
      <c r="I81" s="33" t="s">
        <v>4132</v>
      </c>
      <c r="J81" s="52" t="s">
        <v>23</v>
      </c>
      <c r="K81" s="30"/>
      <c r="L81" s="31">
        <v>0.3333333333333333</v>
      </c>
      <c r="M81" s="31">
        <v>0.9166666666666666</v>
      </c>
      <c r="N81" s="48" t="s">
        <v>4417</v>
      </c>
      <c r="O81" s="33" t="s">
        <v>4418</v>
      </c>
      <c r="P81" s="34" t="s">
        <v>4419</v>
      </c>
      <c r="Q81" s="33"/>
    </row>
    <row r="82">
      <c r="A82" s="82">
        <f t="shared" si="1"/>
        <v>81</v>
      </c>
      <c r="B82" s="28" t="s">
        <v>3764</v>
      </c>
      <c r="C82" s="28" t="s">
        <v>3765</v>
      </c>
      <c r="D82" s="28" t="s">
        <v>46</v>
      </c>
      <c r="E82" s="28" t="s">
        <v>3766</v>
      </c>
      <c r="F82" s="28">
        <v>46.0</v>
      </c>
      <c r="G82" s="28" t="s">
        <v>21</v>
      </c>
      <c r="H82" s="28">
        <v>5000.0</v>
      </c>
      <c r="I82" s="33" t="s">
        <v>4035</v>
      </c>
      <c r="J82" s="52" t="s">
        <v>23</v>
      </c>
      <c r="K82" s="30"/>
      <c r="L82" s="31">
        <v>0.3333333333333333</v>
      </c>
      <c r="M82" s="31">
        <v>0.6666666666666666</v>
      </c>
      <c r="N82" s="48" t="s">
        <v>4420</v>
      </c>
      <c r="O82" s="33" t="s">
        <v>4421</v>
      </c>
      <c r="P82" s="34" t="s">
        <v>4422</v>
      </c>
      <c r="Q82" s="33"/>
    </row>
    <row r="83">
      <c r="A83" s="82">
        <f t="shared" si="1"/>
        <v>82</v>
      </c>
      <c r="B83" s="28" t="s">
        <v>3774</v>
      </c>
      <c r="C83" s="28" t="s">
        <v>3775</v>
      </c>
      <c r="D83" s="28" t="s">
        <v>46</v>
      </c>
      <c r="E83" s="28" t="s">
        <v>3776</v>
      </c>
      <c r="F83" s="28">
        <v>32.0</v>
      </c>
      <c r="G83" s="28" t="s">
        <v>21</v>
      </c>
      <c r="H83" s="28">
        <v>5000.0</v>
      </c>
      <c r="I83" s="33" t="s">
        <v>4028</v>
      </c>
      <c r="J83" s="52" t="s">
        <v>23</v>
      </c>
      <c r="K83" s="30"/>
      <c r="L83" s="31">
        <v>0.3333333333333333</v>
      </c>
      <c r="M83" s="31">
        <v>0.6666666666666666</v>
      </c>
      <c r="N83" s="48" t="s">
        <v>4423</v>
      </c>
      <c r="O83" s="33" t="s">
        <v>4424</v>
      </c>
      <c r="P83" s="34" t="s">
        <v>4425</v>
      </c>
      <c r="Q83" s="33"/>
    </row>
    <row r="84">
      <c r="A84" s="82">
        <f t="shared" si="1"/>
        <v>83</v>
      </c>
      <c r="B84" s="28" t="s">
        <v>3779</v>
      </c>
      <c r="C84" s="28" t="s">
        <v>3780</v>
      </c>
      <c r="D84" s="28" t="s">
        <v>46</v>
      </c>
      <c r="E84" s="28" t="s">
        <v>3781</v>
      </c>
      <c r="F84" s="28">
        <v>1209.0</v>
      </c>
      <c r="G84" s="28" t="s">
        <v>21</v>
      </c>
      <c r="H84" s="28">
        <v>0.0</v>
      </c>
      <c r="I84" s="33" t="s">
        <v>4028</v>
      </c>
      <c r="J84" s="52" t="s">
        <v>23</v>
      </c>
      <c r="K84" s="30"/>
      <c r="L84" s="31">
        <v>0.4166666666666667</v>
      </c>
      <c r="M84" s="31">
        <v>0.75</v>
      </c>
      <c r="N84" s="48" t="s">
        <v>4426</v>
      </c>
      <c r="O84" s="33" t="s">
        <v>4427</v>
      </c>
      <c r="P84" s="34" t="s">
        <v>4428</v>
      </c>
      <c r="Q84" s="33"/>
    </row>
    <row r="85">
      <c r="A85" s="82">
        <f t="shared" si="1"/>
        <v>84</v>
      </c>
      <c r="B85" s="28" t="s">
        <v>2933</v>
      </c>
      <c r="C85" s="28" t="s">
        <v>2934</v>
      </c>
      <c r="D85" s="28" t="s">
        <v>129</v>
      </c>
      <c r="E85" s="28" t="s">
        <v>2935</v>
      </c>
      <c r="F85" s="28">
        <v>10653.0</v>
      </c>
      <c r="G85" s="28" t="s">
        <v>21</v>
      </c>
      <c r="H85" s="28">
        <v>0.0</v>
      </c>
      <c r="I85" s="33" t="s">
        <v>4047</v>
      </c>
      <c r="J85" s="52" t="s">
        <v>23</v>
      </c>
      <c r="K85" s="30"/>
      <c r="L85" s="31">
        <v>0.3333333333333333</v>
      </c>
      <c r="M85" s="31">
        <v>0.9166666666666666</v>
      </c>
      <c r="N85" s="48" t="s">
        <v>4429</v>
      </c>
      <c r="O85" s="33" t="s">
        <v>4430</v>
      </c>
      <c r="P85" s="34" t="s">
        <v>4431</v>
      </c>
      <c r="Q85" s="33"/>
    </row>
    <row r="86">
      <c r="A86" s="82">
        <f t="shared" si="1"/>
        <v>85</v>
      </c>
      <c r="B86" s="28" t="s">
        <v>3784</v>
      </c>
      <c r="C86" s="28" t="s">
        <v>3785</v>
      </c>
      <c r="D86" s="28" t="s">
        <v>46</v>
      </c>
      <c r="E86" s="28" t="s">
        <v>3786</v>
      </c>
      <c r="F86" s="28">
        <v>149.0</v>
      </c>
      <c r="G86" s="28" t="s">
        <v>21</v>
      </c>
      <c r="H86" s="28">
        <v>0.0</v>
      </c>
      <c r="I86" s="33" t="s">
        <v>4047</v>
      </c>
      <c r="J86" s="52" t="s">
        <v>23</v>
      </c>
      <c r="K86" s="30"/>
      <c r="L86" s="31">
        <v>0.0</v>
      </c>
      <c r="M86" s="31">
        <v>0.9993055555555556</v>
      </c>
      <c r="N86" s="48" t="s">
        <v>4432</v>
      </c>
      <c r="O86" s="33" t="s">
        <v>4433</v>
      </c>
      <c r="P86" s="34" t="s">
        <v>4434</v>
      </c>
      <c r="Q86" s="33"/>
    </row>
    <row r="87">
      <c r="A87" s="82">
        <f t="shared" si="1"/>
        <v>86</v>
      </c>
      <c r="B87" s="28" t="s">
        <v>3098</v>
      </c>
      <c r="C87" s="28" t="s">
        <v>3099</v>
      </c>
      <c r="D87" s="28" t="s">
        <v>19</v>
      </c>
      <c r="E87" s="28" t="s">
        <v>3100</v>
      </c>
      <c r="F87" s="28">
        <v>7192.0</v>
      </c>
      <c r="G87" s="28" t="s">
        <v>21</v>
      </c>
      <c r="H87" s="28" t="s">
        <v>1939</v>
      </c>
      <c r="I87" s="33" t="s">
        <v>4128</v>
      </c>
      <c r="J87" s="52" t="s">
        <v>23</v>
      </c>
      <c r="K87" s="30"/>
      <c r="L87" s="31">
        <v>0.4166666666666667</v>
      </c>
      <c r="M87" s="31">
        <v>0.8333333333333334</v>
      </c>
      <c r="N87" s="48" t="s">
        <v>4435</v>
      </c>
      <c r="O87" s="33" t="s">
        <v>4436</v>
      </c>
      <c r="P87" s="34" t="s">
        <v>4437</v>
      </c>
      <c r="Q87" s="33"/>
    </row>
    <row r="88">
      <c r="A88" s="82">
        <f t="shared" si="1"/>
        <v>87</v>
      </c>
      <c r="B88" s="28" t="s">
        <v>3789</v>
      </c>
      <c r="C88" s="28" t="s">
        <v>3790</v>
      </c>
      <c r="D88" s="28" t="s">
        <v>19</v>
      </c>
      <c r="E88" s="28" t="s">
        <v>3791</v>
      </c>
      <c r="F88" s="28">
        <v>816.0</v>
      </c>
      <c r="G88" s="28" t="s">
        <v>21</v>
      </c>
      <c r="H88" s="28" t="s">
        <v>679</v>
      </c>
      <c r="I88" s="33" t="s">
        <v>4035</v>
      </c>
      <c r="J88" s="52" t="s">
        <v>23</v>
      </c>
      <c r="K88" s="30"/>
      <c r="L88" s="31">
        <v>0.5</v>
      </c>
      <c r="M88" s="31">
        <v>0.041666666666666664</v>
      </c>
      <c r="N88" s="48" t="s">
        <v>4438</v>
      </c>
      <c r="O88" s="33" t="s">
        <v>4439</v>
      </c>
      <c r="P88" s="34" t="s">
        <v>4440</v>
      </c>
      <c r="Q88" s="33"/>
    </row>
    <row r="89">
      <c r="A89" s="82">
        <f t="shared" si="1"/>
        <v>88</v>
      </c>
      <c r="B89" s="28" t="s">
        <v>3794</v>
      </c>
      <c r="C89" s="28" t="s">
        <v>3795</v>
      </c>
      <c r="D89" s="28" t="s">
        <v>19</v>
      </c>
      <c r="E89" s="28" t="s">
        <v>3796</v>
      </c>
      <c r="F89" s="28">
        <v>186.0</v>
      </c>
      <c r="G89" s="28" t="s">
        <v>21</v>
      </c>
      <c r="H89" s="28" t="s">
        <v>221</v>
      </c>
      <c r="I89" s="33" t="s">
        <v>4047</v>
      </c>
      <c r="J89" s="52" t="s">
        <v>23</v>
      </c>
      <c r="K89" s="30"/>
      <c r="L89" s="31">
        <v>0.375</v>
      </c>
      <c r="M89" s="31">
        <v>0.9166666666666666</v>
      </c>
      <c r="N89" s="48" t="s">
        <v>4441</v>
      </c>
      <c r="O89" s="33" t="s">
        <v>4442</v>
      </c>
      <c r="P89" s="34" t="s">
        <v>4443</v>
      </c>
      <c r="Q89" s="33"/>
    </row>
    <row r="90">
      <c r="A90" s="82">
        <f t="shared" si="1"/>
        <v>89</v>
      </c>
      <c r="B90" s="28" t="s">
        <v>3799</v>
      </c>
      <c r="C90" s="28" t="s">
        <v>3800</v>
      </c>
      <c r="D90" s="28" t="s">
        <v>46</v>
      </c>
      <c r="E90" s="28" t="s">
        <v>3801</v>
      </c>
      <c r="F90" s="28">
        <v>187.0</v>
      </c>
      <c r="G90" s="28" t="s">
        <v>21</v>
      </c>
      <c r="H90" s="28">
        <v>0.0</v>
      </c>
      <c r="I90" s="33" t="s">
        <v>4047</v>
      </c>
      <c r="J90" s="52" t="s">
        <v>23</v>
      </c>
      <c r="K90" s="30"/>
      <c r="L90" s="31">
        <v>0.0</v>
      </c>
      <c r="M90" s="31">
        <v>0.0</v>
      </c>
      <c r="N90" s="48" t="s">
        <v>3802</v>
      </c>
      <c r="O90" s="33" t="s">
        <v>3803</v>
      </c>
      <c r="P90" s="34" t="s">
        <v>3804</v>
      </c>
      <c r="Q90" s="33"/>
    </row>
    <row r="91">
      <c r="A91" s="82">
        <f t="shared" si="1"/>
        <v>90</v>
      </c>
      <c r="B91" s="28" t="s">
        <v>1555</v>
      </c>
      <c r="C91" s="28" t="s">
        <v>4444</v>
      </c>
      <c r="D91" s="28" t="s">
        <v>46</v>
      </c>
      <c r="E91" s="28" t="s">
        <v>4445</v>
      </c>
      <c r="F91" s="28">
        <v>1376.0</v>
      </c>
      <c r="G91" s="28" t="s">
        <v>21</v>
      </c>
      <c r="H91" s="28">
        <v>5000.0</v>
      </c>
      <c r="I91" s="33" t="s">
        <v>4166</v>
      </c>
      <c r="J91" s="28" t="s">
        <v>388</v>
      </c>
      <c r="K91" s="28" t="s">
        <v>59</v>
      </c>
      <c r="L91" s="31">
        <v>0.3333333333333333</v>
      </c>
      <c r="M91" s="31">
        <v>0.875</v>
      </c>
      <c r="N91" s="32" t="s">
        <v>1558</v>
      </c>
      <c r="O91" s="33" t="s">
        <v>1559</v>
      </c>
      <c r="P91" s="34" t="s">
        <v>1560</v>
      </c>
      <c r="Q91" s="33"/>
    </row>
    <row r="92">
      <c r="A92" s="82">
        <f t="shared" si="1"/>
        <v>91</v>
      </c>
      <c r="B92" s="106" t="s">
        <v>4018</v>
      </c>
      <c r="C92" s="28" t="s">
        <v>4019</v>
      </c>
      <c r="D92" s="28" t="s">
        <v>46</v>
      </c>
      <c r="E92" s="28" t="s">
        <v>4020</v>
      </c>
      <c r="F92" s="28">
        <v>2337.0</v>
      </c>
      <c r="G92" s="28" t="s">
        <v>21</v>
      </c>
      <c r="H92" s="28">
        <v>0.0</v>
      </c>
      <c r="I92" s="33" t="s">
        <v>4035</v>
      </c>
      <c r="J92" s="28" t="s">
        <v>23</v>
      </c>
      <c r="K92" s="30"/>
      <c r="L92" s="31">
        <v>0.0</v>
      </c>
      <c r="M92" s="31">
        <v>0.0</v>
      </c>
      <c r="N92" s="32" t="s">
        <v>4021</v>
      </c>
      <c r="O92" s="33" t="s">
        <v>4022</v>
      </c>
      <c r="P92" s="34" t="s">
        <v>4023</v>
      </c>
      <c r="Q92" s="33"/>
    </row>
    <row r="93">
      <c r="A93" s="82">
        <f t="shared" si="1"/>
        <v>92</v>
      </c>
      <c r="B93" s="28" t="s">
        <v>3811</v>
      </c>
      <c r="C93" s="28" t="s">
        <v>3812</v>
      </c>
      <c r="D93" s="28" t="s">
        <v>46</v>
      </c>
      <c r="E93" s="28" t="s">
        <v>3813</v>
      </c>
      <c r="F93" s="28">
        <v>106.0</v>
      </c>
      <c r="G93" s="28" t="s">
        <v>21</v>
      </c>
      <c r="H93" s="28">
        <v>0.0</v>
      </c>
      <c r="I93" s="33" t="s">
        <v>4035</v>
      </c>
      <c r="J93" s="28" t="s">
        <v>23</v>
      </c>
      <c r="K93" s="30"/>
      <c r="L93" s="31">
        <v>0.375</v>
      </c>
      <c r="M93" s="31">
        <v>0.875</v>
      </c>
      <c r="N93" s="32" t="s">
        <v>3814</v>
      </c>
      <c r="O93" s="33" t="s">
        <v>3815</v>
      </c>
      <c r="P93" s="34" t="s">
        <v>3816</v>
      </c>
      <c r="Q93" s="33"/>
    </row>
    <row r="94">
      <c r="A94" s="82">
        <f t="shared" si="1"/>
        <v>93</v>
      </c>
      <c r="B94" s="28" t="s">
        <v>3818</v>
      </c>
      <c r="C94" s="28" t="s">
        <v>3819</v>
      </c>
      <c r="D94" s="28" t="s">
        <v>46</v>
      </c>
      <c r="E94" s="28" t="s">
        <v>3820</v>
      </c>
      <c r="F94" s="28">
        <v>46.0</v>
      </c>
      <c r="G94" s="28" t="s">
        <v>21</v>
      </c>
      <c r="H94" s="28">
        <v>0.0</v>
      </c>
      <c r="I94" s="33" t="s">
        <v>4035</v>
      </c>
      <c r="J94" s="28" t="s">
        <v>23</v>
      </c>
      <c r="K94" s="30"/>
      <c r="L94" s="31">
        <v>0.3333333333333333</v>
      </c>
      <c r="M94" s="31">
        <v>0.8333333333333334</v>
      </c>
      <c r="N94" s="32" t="s">
        <v>3821</v>
      </c>
      <c r="O94" s="33" t="s">
        <v>3822</v>
      </c>
      <c r="P94" s="34" t="s">
        <v>3823</v>
      </c>
      <c r="Q94" s="33"/>
    </row>
    <row r="95">
      <c r="A95" s="82">
        <f t="shared" si="1"/>
        <v>94</v>
      </c>
      <c r="B95" s="28" t="s">
        <v>4446</v>
      </c>
      <c r="C95" s="28" t="s">
        <v>4447</v>
      </c>
      <c r="D95" s="28" t="s">
        <v>46</v>
      </c>
      <c r="E95" s="28" t="s">
        <v>4448</v>
      </c>
      <c r="F95" s="28">
        <v>817.0</v>
      </c>
      <c r="G95" s="28" t="s">
        <v>21</v>
      </c>
      <c r="H95" s="28">
        <v>5000.0</v>
      </c>
      <c r="I95" s="33" t="s">
        <v>4128</v>
      </c>
      <c r="J95" s="28" t="s">
        <v>388</v>
      </c>
      <c r="K95" s="28" t="s">
        <v>59</v>
      </c>
      <c r="L95" s="31">
        <v>0.3333333333333333</v>
      </c>
      <c r="M95" s="31">
        <v>0.625</v>
      </c>
      <c r="N95" s="32" t="s">
        <v>4449</v>
      </c>
      <c r="O95" s="33" t="s">
        <v>4450</v>
      </c>
      <c r="P95" s="34" t="s">
        <v>4451</v>
      </c>
      <c r="Q95" s="33"/>
    </row>
    <row r="96">
      <c r="A96" s="82">
        <f t="shared" si="1"/>
        <v>95</v>
      </c>
      <c r="B96" s="28" t="s">
        <v>3825</v>
      </c>
      <c r="C96" s="28" t="s">
        <v>3826</v>
      </c>
      <c r="D96" s="28" t="s">
        <v>46</v>
      </c>
      <c r="E96" s="28" t="s">
        <v>3827</v>
      </c>
      <c r="F96" s="28">
        <v>141.0</v>
      </c>
      <c r="G96" s="28" t="s">
        <v>21</v>
      </c>
      <c r="H96" s="28">
        <v>0.0</v>
      </c>
      <c r="I96" s="33" t="s">
        <v>4047</v>
      </c>
      <c r="J96" s="28" t="s">
        <v>23</v>
      </c>
      <c r="K96" s="30"/>
      <c r="L96" s="31">
        <v>0.5</v>
      </c>
      <c r="M96" s="31">
        <v>0.8333333333333334</v>
      </c>
      <c r="N96" s="32" t="s">
        <v>3828</v>
      </c>
      <c r="O96" s="33" t="s">
        <v>4452</v>
      </c>
      <c r="P96" s="34" t="s">
        <v>4453</v>
      </c>
      <c r="Q96" s="33"/>
    </row>
    <row r="97">
      <c r="A97" s="82">
        <f t="shared" si="1"/>
        <v>96</v>
      </c>
      <c r="B97" s="28" t="s">
        <v>3830</v>
      </c>
      <c r="C97" s="28" t="s">
        <v>3831</v>
      </c>
      <c r="D97" s="28" t="s">
        <v>46</v>
      </c>
      <c r="E97" s="28" t="s">
        <v>3832</v>
      </c>
      <c r="F97" s="28">
        <v>301.0</v>
      </c>
      <c r="G97" s="28" t="s">
        <v>21</v>
      </c>
      <c r="H97" s="28">
        <v>0.0</v>
      </c>
      <c r="I97" s="33" t="s">
        <v>3833</v>
      </c>
      <c r="J97" s="28" t="s">
        <v>3834</v>
      </c>
      <c r="K97" s="28" t="s">
        <v>3835</v>
      </c>
      <c r="L97" s="31">
        <v>0.3958333333333333</v>
      </c>
      <c r="M97" s="31">
        <v>0.625</v>
      </c>
      <c r="N97" s="32" t="s">
        <v>3836</v>
      </c>
      <c r="O97" s="33" t="s">
        <v>3837</v>
      </c>
      <c r="P97" s="34" t="s">
        <v>3838</v>
      </c>
      <c r="Q97" s="33"/>
    </row>
    <row r="98">
      <c r="A98" s="82">
        <f t="shared" si="1"/>
        <v>97</v>
      </c>
      <c r="B98" s="28" t="s">
        <v>3840</v>
      </c>
      <c r="C98" s="28" t="s">
        <v>3841</v>
      </c>
      <c r="D98" s="28" t="s">
        <v>46</v>
      </c>
      <c r="E98" s="28" t="s">
        <v>3842</v>
      </c>
      <c r="F98" s="28">
        <v>1.0</v>
      </c>
      <c r="G98" s="28" t="s">
        <v>21</v>
      </c>
      <c r="H98" s="28">
        <v>0.0</v>
      </c>
      <c r="I98" s="33" t="s">
        <v>3833</v>
      </c>
      <c r="J98" s="28" t="s">
        <v>23</v>
      </c>
      <c r="K98" s="30"/>
      <c r="L98" s="31">
        <v>0.4166666666666667</v>
      </c>
      <c r="M98" s="31">
        <v>0.9583333333333334</v>
      </c>
      <c r="N98" s="32" t="s">
        <v>3843</v>
      </c>
      <c r="O98" s="33" t="s">
        <v>3844</v>
      </c>
      <c r="P98" s="34" t="s">
        <v>3845</v>
      </c>
      <c r="Q98" s="33"/>
    </row>
    <row r="99">
      <c r="A99" s="82">
        <f t="shared" si="1"/>
        <v>98</v>
      </c>
      <c r="B99" s="28" t="s">
        <v>3847</v>
      </c>
      <c r="C99" s="28" t="s">
        <v>3848</v>
      </c>
      <c r="D99" s="28" t="s">
        <v>46</v>
      </c>
      <c r="E99" s="28" t="s">
        <v>3849</v>
      </c>
      <c r="F99" s="28">
        <v>1085.0</v>
      </c>
      <c r="G99" s="28" t="s">
        <v>21</v>
      </c>
      <c r="H99" s="28">
        <v>0.0</v>
      </c>
      <c r="I99" s="33" t="s">
        <v>4166</v>
      </c>
      <c r="J99" s="28" t="s">
        <v>388</v>
      </c>
      <c r="K99" s="28" t="s">
        <v>59</v>
      </c>
      <c r="L99" s="31">
        <v>0.3333333333333333</v>
      </c>
      <c r="M99" s="31">
        <v>0.625</v>
      </c>
      <c r="N99" s="32" t="s">
        <v>3850</v>
      </c>
      <c r="O99" s="33" t="s">
        <v>3851</v>
      </c>
      <c r="P99" s="34" t="s">
        <v>3852</v>
      </c>
      <c r="Q99" s="33"/>
    </row>
    <row r="100">
      <c r="A100" s="82">
        <f t="shared" si="1"/>
        <v>99</v>
      </c>
      <c r="B100" s="28" t="s">
        <v>3854</v>
      </c>
      <c r="C100" s="28" t="s">
        <v>3855</v>
      </c>
      <c r="D100" s="28" t="s">
        <v>46</v>
      </c>
      <c r="E100" s="28" t="s">
        <v>3856</v>
      </c>
      <c r="F100" s="28">
        <v>0.0</v>
      </c>
      <c r="G100" s="28" t="s">
        <v>21</v>
      </c>
      <c r="H100" s="28">
        <v>0.0</v>
      </c>
      <c r="I100" s="33" t="s">
        <v>4028</v>
      </c>
      <c r="J100" s="28" t="s">
        <v>23</v>
      </c>
      <c r="K100" s="30"/>
      <c r="L100" s="31">
        <v>0.0</v>
      </c>
      <c r="M100" s="31">
        <v>0.0</v>
      </c>
      <c r="N100" s="32" t="s">
        <v>3857</v>
      </c>
      <c r="O100" s="33" t="s">
        <v>3858</v>
      </c>
      <c r="P100" s="34" t="s">
        <v>3859</v>
      </c>
      <c r="Q100" s="33"/>
    </row>
    <row r="101">
      <c r="A101" s="82">
        <f t="shared" si="1"/>
        <v>100</v>
      </c>
      <c r="B101" s="28" t="s">
        <v>3861</v>
      </c>
      <c r="C101" s="28" t="s">
        <v>3862</v>
      </c>
      <c r="D101" s="28" t="s">
        <v>46</v>
      </c>
      <c r="E101" s="28" t="s">
        <v>3863</v>
      </c>
      <c r="F101" s="28">
        <v>819.0</v>
      </c>
      <c r="G101" s="28" t="s">
        <v>21</v>
      </c>
      <c r="H101" s="28">
        <v>0.0</v>
      </c>
      <c r="I101" s="33" t="s">
        <v>4128</v>
      </c>
      <c r="J101" s="28" t="s">
        <v>23</v>
      </c>
      <c r="K101" s="30"/>
      <c r="L101" s="31">
        <v>0.3333333333333333</v>
      </c>
      <c r="M101" s="31">
        <v>0.9166666666666666</v>
      </c>
      <c r="N101" s="32" t="s">
        <v>3864</v>
      </c>
      <c r="O101" s="33" t="s">
        <v>3865</v>
      </c>
      <c r="P101" s="34" t="s">
        <v>3866</v>
      </c>
      <c r="Q101" s="33"/>
    </row>
    <row r="102">
      <c r="A102" s="82">
        <f t="shared" si="1"/>
        <v>101</v>
      </c>
      <c r="B102" s="28" t="s">
        <v>3868</v>
      </c>
      <c r="C102" s="28" t="s">
        <v>3869</v>
      </c>
      <c r="D102" s="28" t="s">
        <v>129</v>
      </c>
      <c r="E102" s="28" t="s">
        <v>3870</v>
      </c>
      <c r="F102" s="28">
        <v>89030.0</v>
      </c>
      <c r="G102" s="28" t="s">
        <v>21</v>
      </c>
      <c r="H102" s="28" t="s">
        <v>131</v>
      </c>
      <c r="I102" s="33" t="s">
        <v>4128</v>
      </c>
      <c r="J102" s="28" t="s">
        <v>23</v>
      </c>
      <c r="K102" s="30"/>
      <c r="L102" s="31">
        <v>0.4166666666666667</v>
      </c>
      <c r="M102" s="31">
        <v>0.9166666666666666</v>
      </c>
      <c r="N102" s="32" t="s">
        <v>3871</v>
      </c>
      <c r="O102" s="33" t="s">
        <v>3872</v>
      </c>
      <c r="P102" s="34" t="s">
        <v>3873</v>
      </c>
      <c r="Q102" s="33"/>
    </row>
    <row r="103">
      <c r="A103" s="82">
        <f t="shared" si="1"/>
        <v>102</v>
      </c>
      <c r="B103" s="28" t="s">
        <v>3875</v>
      </c>
      <c r="C103" s="28" t="s">
        <v>3876</v>
      </c>
      <c r="D103" s="28" t="s">
        <v>129</v>
      </c>
      <c r="E103" s="28" t="s">
        <v>3877</v>
      </c>
      <c r="F103" s="28">
        <v>15167.0</v>
      </c>
      <c r="G103" s="28" t="s">
        <v>21</v>
      </c>
      <c r="H103" s="28" t="s">
        <v>131</v>
      </c>
      <c r="I103" s="33" t="s">
        <v>4047</v>
      </c>
      <c r="J103" s="28" t="s">
        <v>23</v>
      </c>
      <c r="K103" s="30"/>
      <c r="L103" s="31">
        <v>0.4166666666666667</v>
      </c>
      <c r="M103" s="31">
        <v>0.9166666666666666</v>
      </c>
      <c r="N103" s="32" t="s">
        <v>3878</v>
      </c>
      <c r="O103" s="33" t="s">
        <v>3879</v>
      </c>
      <c r="P103" s="34" t="s">
        <v>3880</v>
      </c>
      <c r="Q103" s="33"/>
    </row>
    <row r="104">
      <c r="A104" s="82">
        <f t="shared" si="1"/>
        <v>103</v>
      </c>
      <c r="B104" s="28" t="s">
        <v>3887</v>
      </c>
      <c r="C104" s="28" t="s">
        <v>3888</v>
      </c>
      <c r="D104" s="28" t="s">
        <v>129</v>
      </c>
      <c r="E104" s="28" t="s">
        <v>3889</v>
      </c>
      <c r="F104" s="28">
        <v>13771.0</v>
      </c>
      <c r="G104" s="28" t="s">
        <v>21</v>
      </c>
      <c r="H104" s="28" t="s">
        <v>131</v>
      </c>
      <c r="I104" s="33" t="s">
        <v>4028</v>
      </c>
      <c r="J104" s="28" t="s">
        <v>23</v>
      </c>
      <c r="K104" s="30"/>
      <c r="L104" s="31">
        <v>0.4166666666666667</v>
      </c>
      <c r="M104" s="31">
        <v>0.9166666666666666</v>
      </c>
      <c r="N104" s="32" t="s">
        <v>3890</v>
      </c>
      <c r="O104" s="33" t="s">
        <v>3891</v>
      </c>
      <c r="P104" s="34" t="s">
        <v>3892</v>
      </c>
      <c r="Q104" s="33"/>
    </row>
    <row r="105">
      <c r="A105" s="82">
        <f t="shared" si="1"/>
        <v>104</v>
      </c>
      <c r="B105" s="28" t="s">
        <v>127</v>
      </c>
      <c r="C105" s="28" t="s">
        <v>128</v>
      </c>
      <c r="D105" s="28" t="s">
        <v>129</v>
      </c>
      <c r="E105" s="28" t="s">
        <v>130</v>
      </c>
      <c r="F105" s="28">
        <v>17842.0</v>
      </c>
      <c r="G105" s="28" t="s">
        <v>21</v>
      </c>
      <c r="H105" s="28" t="s">
        <v>131</v>
      </c>
      <c r="I105" s="33" t="s">
        <v>4128</v>
      </c>
      <c r="J105" s="28" t="s">
        <v>23</v>
      </c>
      <c r="K105" s="30"/>
      <c r="L105" s="31">
        <v>0.4166666666666667</v>
      </c>
      <c r="M105" s="31">
        <v>0.9166666666666666</v>
      </c>
      <c r="N105" s="32" t="s">
        <v>132</v>
      </c>
      <c r="O105" s="33" t="s">
        <v>133</v>
      </c>
      <c r="P105" s="34" t="s">
        <v>134</v>
      </c>
      <c r="Q105" s="33"/>
    </row>
    <row r="106">
      <c r="A106" s="82">
        <f t="shared" si="1"/>
        <v>105</v>
      </c>
      <c r="B106" s="28" t="s">
        <v>1851</v>
      </c>
      <c r="C106" s="28" t="s">
        <v>4454</v>
      </c>
      <c r="D106" s="28" t="s">
        <v>34</v>
      </c>
      <c r="E106" s="28" t="s">
        <v>4455</v>
      </c>
      <c r="F106" s="28">
        <v>23574.0</v>
      </c>
      <c r="G106" s="28" t="s">
        <v>21</v>
      </c>
      <c r="H106" s="28" t="s">
        <v>22</v>
      </c>
      <c r="I106" s="33" t="s">
        <v>4035</v>
      </c>
      <c r="J106" s="28" t="s">
        <v>23</v>
      </c>
      <c r="K106" s="30"/>
      <c r="L106" s="31">
        <v>0.25</v>
      </c>
      <c r="M106" s="31">
        <v>0.08333333333333333</v>
      </c>
      <c r="N106" s="32" t="s">
        <v>1854</v>
      </c>
      <c r="O106" s="33" t="s">
        <v>1855</v>
      </c>
      <c r="P106" s="34" t="s">
        <v>1856</v>
      </c>
      <c r="Q106" s="33"/>
    </row>
    <row r="107">
      <c r="A107" s="82">
        <f t="shared" si="1"/>
        <v>106</v>
      </c>
      <c r="B107" s="28" t="s">
        <v>4456</v>
      </c>
      <c r="C107" s="28" t="s">
        <v>2412</v>
      </c>
      <c r="D107" s="28" t="s">
        <v>34</v>
      </c>
      <c r="E107" s="28" t="s">
        <v>4457</v>
      </c>
      <c r="F107" s="28">
        <v>2246.0</v>
      </c>
      <c r="G107" s="28" t="s">
        <v>21</v>
      </c>
      <c r="H107" s="28">
        <v>25000.0</v>
      </c>
      <c r="I107" s="33" t="s">
        <v>4128</v>
      </c>
      <c r="J107" s="28" t="s">
        <v>23</v>
      </c>
      <c r="K107" s="30"/>
      <c r="L107" s="31">
        <v>0.25</v>
      </c>
      <c r="M107" s="31">
        <v>0.875</v>
      </c>
      <c r="N107" s="32" t="s">
        <v>2414</v>
      </c>
      <c r="O107" s="33" t="s">
        <v>2415</v>
      </c>
      <c r="P107" s="34" t="s">
        <v>2416</v>
      </c>
      <c r="Q107" s="33"/>
    </row>
    <row r="108">
      <c r="A108" s="82">
        <f t="shared" si="1"/>
        <v>107</v>
      </c>
      <c r="B108" s="28" t="s">
        <v>3894</v>
      </c>
      <c r="C108" s="28" t="s">
        <v>3895</v>
      </c>
      <c r="D108" s="28" t="s">
        <v>34</v>
      </c>
      <c r="E108" s="28" t="s">
        <v>3896</v>
      </c>
      <c r="F108" s="28">
        <v>506.0</v>
      </c>
      <c r="G108" s="28" t="s">
        <v>21</v>
      </c>
      <c r="H108" s="28">
        <v>25000.0</v>
      </c>
      <c r="I108" s="33" t="s">
        <v>4128</v>
      </c>
      <c r="J108" s="28" t="s">
        <v>23</v>
      </c>
      <c r="K108" s="30"/>
      <c r="L108" s="31">
        <v>0.4375</v>
      </c>
      <c r="M108" s="31">
        <v>0.75</v>
      </c>
      <c r="N108" s="32" t="s">
        <v>3897</v>
      </c>
      <c r="O108" s="33" t="s">
        <v>3898</v>
      </c>
      <c r="P108" s="34" t="s">
        <v>3899</v>
      </c>
      <c r="Q108" s="33"/>
    </row>
    <row r="109">
      <c r="A109" s="82">
        <f t="shared" si="1"/>
        <v>108</v>
      </c>
      <c r="B109" s="28" t="s">
        <v>3901</v>
      </c>
      <c r="C109" s="28" t="s">
        <v>3902</v>
      </c>
      <c r="D109" s="28" t="s">
        <v>34</v>
      </c>
      <c r="E109" s="28" t="s">
        <v>3903</v>
      </c>
      <c r="F109" s="28">
        <v>1636.0</v>
      </c>
      <c r="G109" s="28" t="s">
        <v>21</v>
      </c>
      <c r="H109" s="28" t="s">
        <v>22</v>
      </c>
      <c r="I109" s="33" t="s">
        <v>4035</v>
      </c>
      <c r="J109" s="28" t="s">
        <v>388</v>
      </c>
      <c r="K109" s="28" t="s">
        <v>59</v>
      </c>
      <c r="L109" s="31">
        <v>0.4583333333333333</v>
      </c>
      <c r="M109" s="31">
        <v>0.7083333333333334</v>
      </c>
      <c r="N109" s="32" t="s">
        <v>3904</v>
      </c>
      <c r="O109" s="33" t="s">
        <v>3905</v>
      </c>
      <c r="P109" s="34" t="s">
        <v>3906</v>
      </c>
      <c r="Q109" s="33"/>
    </row>
    <row r="110">
      <c r="A110" s="82">
        <f t="shared" si="1"/>
        <v>109</v>
      </c>
      <c r="B110" s="28" t="s">
        <v>2752</v>
      </c>
      <c r="C110" s="28" t="s">
        <v>2753</v>
      </c>
      <c r="D110" s="28" t="s">
        <v>34</v>
      </c>
      <c r="E110" s="28" t="s">
        <v>2754</v>
      </c>
      <c r="F110" s="28">
        <v>6714.0</v>
      </c>
      <c r="G110" s="28" t="s">
        <v>21</v>
      </c>
      <c r="H110" s="28">
        <v>25000.0</v>
      </c>
      <c r="I110" s="33" t="s">
        <v>4035</v>
      </c>
      <c r="J110" s="28" t="s">
        <v>23</v>
      </c>
      <c r="K110" s="30"/>
      <c r="L110" s="31">
        <v>0.7083333333333334</v>
      </c>
      <c r="M110" s="31">
        <v>0.08333333333333333</v>
      </c>
      <c r="N110" s="32" t="s">
        <v>4458</v>
      </c>
      <c r="O110" s="33" t="s">
        <v>4459</v>
      </c>
      <c r="P110" s="34" t="s">
        <v>4460</v>
      </c>
      <c r="Q110" s="33"/>
    </row>
    <row r="111">
      <c r="A111" s="82">
        <f t="shared" si="1"/>
        <v>110</v>
      </c>
      <c r="B111" s="28" t="s">
        <v>3913</v>
      </c>
      <c r="C111" s="28" t="s">
        <v>3914</v>
      </c>
      <c r="D111" s="28" t="s">
        <v>19</v>
      </c>
      <c r="E111" s="28" t="s">
        <v>3915</v>
      </c>
      <c r="F111" s="28">
        <v>308.0</v>
      </c>
      <c r="G111" s="28" t="s">
        <v>21</v>
      </c>
      <c r="H111" s="28" t="s">
        <v>221</v>
      </c>
      <c r="I111" s="33" t="s">
        <v>4095</v>
      </c>
      <c r="J111" s="28" t="s">
        <v>23</v>
      </c>
      <c r="K111" s="30"/>
      <c r="L111" s="31">
        <v>0.375</v>
      </c>
      <c r="M111" s="31">
        <v>0.041666666666666664</v>
      </c>
      <c r="N111" s="32" t="s">
        <v>3916</v>
      </c>
      <c r="O111" s="33" t="s">
        <v>3917</v>
      </c>
      <c r="P111" s="34" t="s">
        <v>3918</v>
      </c>
      <c r="Q111" s="33"/>
    </row>
    <row r="112">
      <c r="A112" s="82">
        <f t="shared" si="1"/>
        <v>111</v>
      </c>
      <c r="B112" s="28" t="s">
        <v>3965</v>
      </c>
      <c r="C112" s="28" t="s">
        <v>2748</v>
      </c>
      <c r="D112" s="28" t="s">
        <v>19</v>
      </c>
      <c r="E112" s="28" t="s">
        <v>2749</v>
      </c>
      <c r="F112" s="28">
        <v>631.0</v>
      </c>
      <c r="G112" s="28" t="s">
        <v>21</v>
      </c>
      <c r="H112" s="28" t="s">
        <v>22</v>
      </c>
      <c r="I112" s="33" t="s">
        <v>4128</v>
      </c>
      <c r="J112" s="28" t="s">
        <v>23</v>
      </c>
      <c r="K112" s="30"/>
      <c r="L112" s="31">
        <v>0.4166666666666667</v>
      </c>
      <c r="M112" s="31">
        <v>1.0</v>
      </c>
      <c r="N112" s="32" t="s">
        <v>3966</v>
      </c>
      <c r="O112" s="33" t="s">
        <v>3967</v>
      </c>
      <c r="P112" s="34" t="s">
        <v>3968</v>
      </c>
      <c r="Q112" s="33"/>
    </row>
    <row r="113">
      <c r="A113" s="82">
        <f t="shared" si="1"/>
        <v>112</v>
      </c>
      <c r="B113" s="28" t="s">
        <v>711</v>
      </c>
      <c r="C113" s="28" t="s">
        <v>712</v>
      </c>
      <c r="D113" s="28" t="s">
        <v>19</v>
      </c>
      <c r="E113" s="28" t="s">
        <v>713</v>
      </c>
      <c r="F113" s="28">
        <v>620.0</v>
      </c>
      <c r="G113" s="28" t="s">
        <v>21</v>
      </c>
      <c r="H113" s="28" t="s">
        <v>22</v>
      </c>
      <c r="I113" s="33" t="s">
        <v>4047</v>
      </c>
      <c r="J113" s="28" t="s">
        <v>23</v>
      </c>
      <c r="K113" s="30"/>
      <c r="L113" s="31">
        <v>0.2916666666666667</v>
      </c>
      <c r="M113" s="31">
        <v>0.9166666666666666</v>
      </c>
      <c r="N113" s="32" t="s">
        <v>714</v>
      </c>
      <c r="O113" s="33" t="s">
        <v>715</v>
      </c>
      <c r="P113" s="34" t="s">
        <v>716</v>
      </c>
      <c r="Q113" s="33"/>
    </row>
    <row r="114">
      <c r="A114" s="82">
        <f t="shared" si="1"/>
        <v>113</v>
      </c>
      <c r="B114" s="28" t="s">
        <v>2729</v>
      </c>
      <c r="C114" s="28" t="s">
        <v>2730</v>
      </c>
      <c r="D114" s="28" t="s">
        <v>19</v>
      </c>
      <c r="E114" s="28" t="s">
        <v>2731</v>
      </c>
      <c r="F114" s="28">
        <v>388.0</v>
      </c>
      <c r="G114" s="28" t="s">
        <v>21</v>
      </c>
      <c r="H114" s="28" t="s">
        <v>22</v>
      </c>
      <c r="I114" s="33" t="s">
        <v>4128</v>
      </c>
      <c r="J114" s="28" t="s">
        <v>23</v>
      </c>
      <c r="K114" s="30"/>
      <c r="L114" s="31">
        <v>0.2916666666666667</v>
      </c>
      <c r="M114" s="31">
        <v>0.9583333333333334</v>
      </c>
      <c r="N114" s="32" t="s">
        <v>4461</v>
      </c>
      <c r="O114" s="33" t="s">
        <v>4462</v>
      </c>
      <c r="P114" s="34" t="s">
        <v>4463</v>
      </c>
      <c r="Q114" s="33"/>
    </row>
    <row r="115">
      <c r="A115" s="82">
        <f t="shared" si="1"/>
        <v>114</v>
      </c>
      <c r="B115" s="28" t="s">
        <v>1053</v>
      </c>
      <c r="C115" s="28" t="s">
        <v>1054</v>
      </c>
      <c r="D115" s="28" t="s">
        <v>19</v>
      </c>
      <c r="E115" s="28" t="s">
        <v>1055</v>
      </c>
      <c r="F115" s="28">
        <v>663.0</v>
      </c>
      <c r="G115" s="28" t="s">
        <v>21</v>
      </c>
      <c r="H115" s="28" t="s">
        <v>22</v>
      </c>
      <c r="I115" s="33" t="s">
        <v>4047</v>
      </c>
      <c r="J115" s="28" t="s">
        <v>23</v>
      </c>
      <c r="K115" s="30"/>
      <c r="L115" s="31">
        <v>0.625</v>
      </c>
      <c r="M115" s="31">
        <v>0.9583333333333334</v>
      </c>
      <c r="N115" s="32" t="s">
        <v>1056</v>
      </c>
      <c r="O115" s="33" t="s">
        <v>1057</v>
      </c>
      <c r="P115" s="34" t="s">
        <v>1058</v>
      </c>
      <c r="Q115" s="33"/>
    </row>
    <row r="116">
      <c r="A116" s="82">
        <f t="shared" si="1"/>
        <v>115</v>
      </c>
      <c r="B116" s="45" t="s">
        <v>1329</v>
      </c>
      <c r="C116" s="45" t="s">
        <v>1330</v>
      </c>
      <c r="D116" s="45" t="s">
        <v>46</v>
      </c>
      <c r="E116" s="45" t="s">
        <v>4464</v>
      </c>
      <c r="F116" s="28">
        <v>1006.0</v>
      </c>
      <c r="G116" s="45" t="s">
        <v>21</v>
      </c>
      <c r="H116" s="45">
        <v>0.0</v>
      </c>
      <c r="I116" s="33" t="s">
        <v>4047</v>
      </c>
      <c r="J116" s="45" t="s">
        <v>23</v>
      </c>
      <c r="K116" s="46"/>
      <c r="L116" s="47">
        <v>0.3333333333333333</v>
      </c>
      <c r="M116" s="47">
        <v>0.7083333333333334</v>
      </c>
      <c r="N116" s="48" t="s">
        <v>1332</v>
      </c>
      <c r="O116" s="33" t="s">
        <v>1333</v>
      </c>
      <c r="P116" s="34" t="s">
        <v>1334</v>
      </c>
      <c r="Q116" s="33"/>
      <c r="R116" s="66"/>
      <c r="S116" s="66"/>
      <c r="T116" s="66"/>
      <c r="U116" s="66"/>
      <c r="V116" s="66"/>
      <c r="W116" s="66"/>
      <c r="X116" s="66"/>
      <c r="Y116" s="66"/>
      <c r="Z116" s="66"/>
      <c r="AA116" s="66"/>
      <c r="AB116" s="66"/>
      <c r="AC116" s="66"/>
      <c r="AD116" s="66"/>
      <c r="AE116" s="66"/>
    </row>
    <row r="117">
      <c r="A117" s="82">
        <f t="shared" si="1"/>
        <v>116</v>
      </c>
      <c r="B117" s="45" t="s">
        <v>2337</v>
      </c>
      <c r="C117" s="45" t="s">
        <v>4465</v>
      </c>
      <c r="D117" s="45" t="s">
        <v>46</v>
      </c>
      <c r="E117" s="45" t="s">
        <v>4466</v>
      </c>
      <c r="F117" s="28">
        <v>166.0</v>
      </c>
      <c r="G117" s="45" t="s">
        <v>21</v>
      </c>
      <c r="H117" s="45">
        <v>0.0</v>
      </c>
      <c r="I117" s="33" t="s">
        <v>4035</v>
      </c>
      <c r="J117" s="45" t="s">
        <v>23</v>
      </c>
      <c r="K117" s="46"/>
      <c r="L117" s="47">
        <v>0.0</v>
      </c>
      <c r="M117" s="47">
        <v>0.9993055555555556</v>
      </c>
      <c r="N117" s="48" t="s">
        <v>2340</v>
      </c>
      <c r="O117" s="33" t="s">
        <v>2341</v>
      </c>
      <c r="P117" s="34" t="s">
        <v>2342</v>
      </c>
      <c r="Q117" s="33"/>
      <c r="R117" s="66"/>
      <c r="S117" s="66"/>
      <c r="T117" s="66"/>
      <c r="U117" s="66"/>
      <c r="V117" s="66"/>
      <c r="W117" s="66"/>
      <c r="X117" s="66"/>
      <c r="Y117" s="66"/>
      <c r="Z117" s="66"/>
      <c r="AA117" s="66"/>
      <c r="AB117" s="66"/>
      <c r="AC117" s="66"/>
      <c r="AD117" s="66"/>
      <c r="AE117" s="66"/>
    </row>
    <row r="118">
      <c r="A118" s="82">
        <f t="shared" si="1"/>
        <v>117</v>
      </c>
      <c r="B118" s="45" t="s">
        <v>2905</v>
      </c>
      <c r="C118" s="45" t="s">
        <v>2906</v>
      </c>
      <c r="D118" s="45" t="s">
        <v>46</v>
      </c>
      <c r="E118" s="45" t="s">
        <v>2907</v>
      </c>
      <c r="F118" s="28">
        <v>1108.0</v>
      </c>
      <c r="G118" s="45" t="s">
        <v>21</v>
      </c>
      <c r="H118" s="45">
        <v>0.0</v>
      </c>
      <c r="I118" s="33" t="s">
        <v>4047</v>
      </c>
      <c r="J118" s="45" t="s">
        <v>23</v>
      </c>
      <c r="K118" s="46"/>
      <c r="L118" s="47">
        <v>0.0</v>
      </c>
      <c r="M118" s="47">
        <v>0.9993055555555556</v>
      </c>
      <c r="N118" s="48" t="s">
        <v>3507</v>
      </c>
      <c r="O118" s="33" t="s">
        <v>3508</v>
      </c>
      <c r="P118" s="34" t="s">
        <v>3509</v>
      </c>
      <c r="Q118" s="33"/>
      <c r="R118" s="66"/>
      <c r="S118" s="66"/>
      <c r="T118" s="66"/>
      <c r="U118" s="66"/>
      <c r="V118" s="66"/>
      <c r="W118" s="66"/>
      <c r="X118" s="66"/>
      <c r="Y118" s="66"/>
      <c r="Z118" s="66"/>
      <c r="AA118" s="66"/>
      <c r="AB118" s="66"/>
      <c r="AC118" s="66"/>
      <c r="AD118" s="66"/>
      <c r="AE118" s="66"/>
    </row>
    <row r="119">
      <c r="A119" s="82">
        <f t="shared" si="1"/>
        <v>118</v>
      </c>
      <c r="B119" s="45" t="s">
        <v>1195</v>
      </c>
      <c r="C119" s="45" t="s">
        <v>1196</v>
      </c>
      <c r="D119" s="45" t="s">
        <v>46</v>
      </c>
      <c r="E119" s="45" t="s">
        <v>1197</v>
      </c>
      <c r="F119" s="28">
        <v>3417.0</v>
      </c>
      <c r="G119" s="45" t="s">
        <v>21</v>
      </c>
      <c r="H119" s="45">
        <v>0.0</v>
      </c>
      <c r="I119" s="33" t="s">
        <v>4047</v>
      </c>
      <c r="J119" s="45" t="s">
        <v>23</v>
      </c>
      <c r="K119" s="46"/>
      <c r="L119" s="47">
        <v>0.0</v>
      </c>
      <c r="M119" s="47">
        <v>0.9993055555555556</v>
      </c>
      <c r="N119" s="48" t="s">
        <v>1198</v>
      </c>
      <c r="O119" s="33" t="s">
        <v>1199</v>
      </c>
      <c r="P119" s="34" t="s">
        <v>1200</v>
      </c>
      <c r="Q119" s="33"/>
      <c r="R119" s="66"/>
      <c r="S119" s="66"/>
      <c r="T119" s="66"/>
      <c r="U119" s="66"/>
      <c r="V119" s="66"/>
      <c r="W119" s="66"/>
      <c r="X119" s="66"/>
      <c r="Y119" s="66"/>
      <c r="Z119" s="66"/>
      <c r="AA119" s="66"/>
      <c r="AB119" s="66"/>
      <c r="AC119" s="66"/>
      <c r="AD119" s="66"/>
      <c r="AE119" s="66"/>
    </row>
    <row r="120">
      <c r="A120" s="82">
        <f t="shared" si="1"/>
        <v>119</v>
      </c>
      <c r="B120" s="45" t="s">
        <v>3483</v>
      </c>
      <c r="C120" s="45" t="s">
        <v>3484</v>
      </c>
      <c r="D120" s="45" t="s">
        <v>46</v>
      </c>
      <c r="E120" s="45" t="s">
        <v>3485</v>
      </c>
      <c r="F120" s="28">
        <v>705.0</v>
      </c>
      <c r="G120" s="45" t="s">
        <v>21</v>
      </c>
      <c r="H120" s="45" t="s">
        <v>4467</v>
      </c>
      <c r="I120" s="33" t="s">
        <v>4128</v>
      </c>
      <c r="J120" s="45" t="s">
        <v>3486</v>
      </c>
      <c r="K120" s="46"/>
      <c r="L120" s="47">
        <v>0.5</v>
      </c>
      <c r="M120" s="47">
        <v>0.7916666666666666</v>
      </c>
      <c r="N120" s="48" t="s">
        <v>4468</v>
      </c>
      <c r="O120" s="33" t="s">
        <v>4469</v>
      </c>
      <c r="P120" s="34" t="s">
        <v>4470</v>
      </c>
      <c r="Q120" s="33"/>
      <c r="R120" s="66"/>
      <c r="S120" s="66"/>
      <c r="T120" s="66"/>
      <c r="U120" s="66"/>
      <c r="V120" s="66"/>
      <c r="W120" s="66"/>
      <c r="X120" s="66"/>
      <c r="Y120" s="66"/>
      <c r="Z120" s="66"/>
      <c r="AA120" s="66"/>
      <c r="AB120" s="66"/>
      <c r="AC120" s="66"/>
      <c r="AD120" s="66"/>
      <c r="AE120" s="66"/>
    </row>
    <row r="121">
      <c r="A121" s="82">
        <f t="shared" si="1"/>
        <v>120</v>
      </c>
      <c r="B121" s="45" t="s">
        <v>2448</v>
      </c>
      <c r="C121" s="45" t="s">
        <v>4471</v>
      </c>
      <c r="D121" s="45" t="s">
        <v>46</v>
      </c>
      <c r="E121" s="45" t="s">
        <v>4472</v>
      </c>
      <c r="F121" s="28">
        <v>704.0</v>
      </c>
      <c r="G121" s="45" t="s">
        <v>21</v>
      </c>
      <c r="H121" s="45">
        <v>0.0</v>
      </c>
      <c r="I121" s="33" t="s">
        <v>4047</v>
      </c>
      <c r="J121" s="45" t="s">
        <v>388</v>
      </c>
      <c r="K121" s="46"/>
      <c r="L121" s="47">
        <v>0.375</v>
      </c>
      <c r="M121" s="47">
        <v>0.6666666666666666</v>
      </c>
      <c r="N121" s="48" t="s">
        <v>2451</v>
      </c>
      <c r="O121" s="33" t="s">
        <v>2452</v>
      </c>
      <c r="P121" s="34" t="s">
        <v>2453</v>
      </c>
      <c r="Q121" s="33"/>
      <c r="R121" s="66"/>
      <c r="S121" s="66"/>
      <c r="T121" s="66"/>
      <c r="U121" s="66"/>
      <c r="V121" s="66"/>
      <c r="W121" s="66"/>
      <c r="X121" s="66"/>
      <c r="Y121" s="66"/>
      <c r="Z121" s="66"/>
      <c r="AA121" s="66"/>
      <c r="AB121" s="66"/>
      <c r="AC121" s="66"/>
      <c r="AD121" s="66"/>
      <c r="AE121" s="66"/>
    </row>
    <row r="122">
      <c r="A122" s="82">
        <f t="shared" si="1"/>
        <v>121</v>
      </c>
      <c r="B122" s="45" t="s">
        <v>3946</v>
      </c>
      <c r="C122" s="45" t="s">
        <v>3947</v>
      </c>
      <c r="D122" s="45" t="s">
        <v>46</v>
      </c>
      <c r="E122" s="45" t="s">
        <v>3948</v>
      </c>
      <c r="F122" s="28">
        <v>182.0</v>
      </c>
      <c r="G122" s="45" t="s">
        <v>21</v>
      </c>
      <c r="H122" s="45">
        <v>5000.0</v>
      </c>
      <c r="I122" s="33" t="s">
        <v>4128</v>
      </c>
      <c r="J122" s="45" t="s">
        <v>388</v>
      </c>
      <c r="K122" s="46"/>
      <c r="L122" s="47">
        <v>0.3333333333333333</v>
      </c>
      <c r="M122" s="47">
        <v>0.625</v>
      </c>
      <c r="N122" s="48" t="s">
        <v>3949</v>
      </c>
      <c r="O122" s="33" t="s">
        <v>3950</v>
      </c>
      <c r="P122" s="34" t="s">
        <v>3951</v>
      </c>
      <c r="Q122" s="33"/>
      <c r="R122" s="66"/>
      <c r="S122" s="66"/>
      <c r="T122" s="66"/>
      <c r="U122" s="66"/>
      <c r="V122" s="66"/>
      <c r="W122" s="66"/>
      <c r="X122" s="66"/>
      <c r="Y122" s="66"/>
      <c r="Z122" s="66"/>
      <c r="AA122" s="66"/>
      <c r="AB122" s="66"/>
      <c r="AC122" s="66"/>
      <c r="AD122" s="66"/>
      <c r="AE122" s="66"/>
    </row>
    <row r="123">
      <c r="A123" s="82">
        <f t="shared" si="1"/>
        <v>122</v>
      </c>
      <c r="B123" s="45" t="s">
        <v>3958</v>
      </c>
      <c r="C123" s="45" t="s">
        <v>3959</v>
      </c>
      <c r="D123" s="45" t="s">
        <v>46</v>
      </c>
      <c r="E123" s="45" t="s">
        <v>3960</v>
      </c>
      <c r="F123" s="28">
        <v>137.0</v>
      </c>
      <c r="G123" s="45" t="s">
        <v>21</v>
      </c>
      <c r="H123" s="45">
        <v>0.0</v>
      </c>
      <c r="I123" s="33" t="s">
        <v>4047</v>
      </c>
      <c r="J123" s="45" t="s">
        <v>287</v>
      </c>
      <c r="K123" s="46"/>
      <c r="L123" s="47">
        <v>0.4166666666666667</v>
      </c>
      <c r="M123" s="47">
        <v>0.6666666666666666</v>
      </c>
      <c r="N123" s="48" t="s">
        <v>3961</v>
      </c>
      <c r="O123" s="33" t="s">
        <v>3962</v>
      </c>
      <c r="P123" s="34" t="s">
        <v>3963</v>
      </c>
      <c r="Q123" s="33"/>
      <c r="R123" s="66"/>
      <c r="S123" s="66"/>
      <c r="T123" s="66"/>
      <c r="U123" s="66"/>
      <c r="V123" s="66"/>
      <c r="W123" s="66"/>
      <c r="X123" s="66"/>
      <c r="Y123" s="66"/>
      <c r="Z123" s="66"/>
      <c r="AA123" s="66"/>
      <c r="AB123" s="66"/>
      <c r="AC123" s="66"/>
      <c r="AD123" s="66"/>
      <c r="AE123" s="66"/>
    </row>
    <row r="124">
      <c r="A124" s="82">
        <f t="shared" si="1"/>
        <v>123</v>
      </c>
      <c r="B124" s="45" t="s">
        <v>3272</v>
      </c>
      <c r="C124" s="45" t="s">
        <v>3273</v>
      </c>
      <c r="D124" s="45" t="s">
        <v>46</v>
      </c>
      <c r="E124" s="45" t="s">
        <v>3274</v>
      </c>
      <c r="F124" s="28">
        <v>54.0</v>
      </c>
      <c r="G124" s="45" t="s">
        <v>21</v>
      </c>
      <c r="H124" s="45">
        <v>0.0</v>
      </c>
      <c r="I124" s="33" t="s">
        <v>4166</v>
      </c>
      <c r="J124" s="45" t="s">
        <v>287</v>
      </c>
      <c r="K124" s="46"/>
      <c r="L124" s="47">
        <v>0.375</v>
      </c>
      <c r="M124" s="47">
        <v>0.6666666666666666</v>
      </c>
      <c r="N124" s="48" t="s">
        <v>3276</v>
      </c>
      <c r="O124" s="33" t="s">
        <v>3277</v>
      </c>
      <c r="P124" s="34" t="s">
        <v>3278</v>
      </c>
      <c r="Q124" s="33"/>
      <c r="R124" s="66"/>
      <c r="S124" s="66"/>
      <c r="T124" s="66"/>
      <c r="U124" s="66"/>
      <c r="V124" s="66"/>
      <c r="W124" s="66"/>
      <c r="X124" s="66"/>
      <c r="Y124" s="66"/>
      <c r="Z124" s="66"/>
      <c r="AA124" s="66"/>
      <c r="AB124" s="66"/>
      <c r="AC124" s="66"/>
      <c r="AD124" s="66"/>
      <c r="AE124" s="66"/>
    </row>
    <row r="125">
      <c r="A125" s="82">
        <f t="shared" si="1"/>
        <v>124</v>
      </c>
      <c r="B125" s="45" t="s">
        <v>2123</v>
      </c>
      <c r="C125" s="45" t="s">
        <v>4473</v>
      </c>
      <c r="D125" s="45" t="s">
        <v>46</v>
      </c>
      <c r="E125" s="45" t="s">
        <v>4474</v>
      </c>
      <c r="F125" s="28">
        <v>781.0</v>
      </c>
      <c r="G125" s="45" t="s">
        <v>21</v>
      </c>
      <c r="H125" s="45">
        <v>0.0</v>
      </c>
      <c r="I125" s="33" t="s">
        <v>4028</v>
      </c>
      <c r="J125" s="45" t="s">
        <v>23</v>
      </c>
      <c r="K125" s="46"/>
      <c r="L125" s="47">
        <v>0.25</v>
      </c>
      <c r="M125" s="47">
        <v>0.875</v>
      </c>
      <c r="N125" s="48" t="s">
        <v>2126</v>
      </c>
      <c r="O125" s="33" t="s">
        <v>2127</v>
      </c>
      <c r="P125" s="34" t="s">
        <v>2128</v>
      </c>
      <c r="Q125" s="33"/>
      <c r="R125" s="66"/>
      <c r="S125" s="66"/>
      <c r="T125" s="66"/>
      <c r="U125" s="66"/>
      <c r="V125" s="66"/>
      <c r="W125" s="66"/>
      <c r="X125" s="66"/>
      <c r="Y125" s="66"/>
      <c r="Z125" s="66"/>
      <c r="AA125" s="66"/>
      <c r="AB125" s="66"/>
      <c r="AC125" s="66"/>
      <c r="AD125" s="66"/>
      <c r="AE125" s="66"/>
    </row>
    <row r="126">
      <c r="A126" s="82">
        <f t="shared" si="1"/>
        <v>125</v>
      </c>
      <c r="B126" s="45" t="s">
        <v>3415</v>
      </c>
      <c r="C126" s="45" t="s">
        <v>3416</v>
      </c>
      <c r="D126" s="45" t="s">
        <v>46</v>
      </c>
      <c r="E126" s="45" t="s">
        <v>3417</v>
      </c>
      <c r="F126" s="28">
        <v>367.0</v>
      </c>
      <c r="G126" s="45" t="s">
        <v>21</v>
      </c>
      <c r="H126" s="45">
        <v>0.0</v>
      </c>
      <c r="I126" s="33" t="s">
        <v>4128</v>
      </c>
      <c r="J126" s="45" t="s">
        <v>23</v>
      </c>
      <c r="K126" s="46"/>
      <c r="L126" s="47">
        <v>0.25</v>
      </c>
      <c r="M126" s="47">
        <v>0.875</v>
      </c>
      <c r="N126" s="48" t="s">
        <v>3418</v>
      </c>
      <c r="O126" s="33" t="s">
        <v>3419</v>
      </c>
      <c r="P126" s="34" t="s">
        <v>3420</v>
      </c>
      <c r="Q126" s="33"/>
      <c r="R126" s="66"/>
      <c r="S126" s="66"/>
      <c r="T126" s="66"/>
      <c r="U126" s="66"/>
      <c r="V126" s="66"/>
      <c r="W126" s="66"/>
      <c r="X126" s="66"/>
      <c r="Y126" s="66"/>
      <c r="Z126" s="66"/>
      <c r="AA126" s="66"/>
      <c r="AB126" s="66"/>
      <c r="AC126" s="66"/>
      <c r="AD126" s="66"/>
      <c r="AE126" s="66"/>
    </row>
    <row r="127">
      <c r="A127" s="82">
        <f t="shared" si="1"/>
        <v>126</v>
      </c>
      <c r="B127" s="45" t="s">
        <v>2293</v>
      </c>
      <c r="C127" s="45" t="s">
        <v>4475</v>
      </c>
      <c r="D127" s="45" t="s">
        <v>19</v>
      </c>
      <c r="E127" s="45" t="s">
        <v>4476</v>
      </c>
      <c r="F127" s="28">
        <v>1173.0</v>
      </c>
      <c r="G127" s="45" t="s">
        <v>21</v>
      </c>
      <c r="H127" s="45">
        <v>45000.0</v>
      </c>
      <c r="I127" s="33" t="s">
        <v>4128</v>
      </c>
      <c r="J127" s="45" t="s">
        <v>23</v>
      </c>
      <c r="K127" s="46"/>
      <c r="L127" s="47">
        <v>0.2916666666666667</v>
      </c>
      <c r="M127" s="47">
        <v>0.9166666666666666</v>
      </c>
      <c r="N127" s="48" t="s">
        <v>2296</v>
      </c>
      <c r="O127" s="33" t="s">
        <v>2297</v>
      </c>
      <c r="P127" s="34" t="s">
        <v>2298</v>
      </c>
      <c r="Q127" s="33"/>
      <c r="R127" s="66"/>
      <c r="S127" s="66"/>
      <c r="T127" s="66"/>
      <c r="U127" s="66"/>
      <c r="V127" s="66"/>
      <c r="W127" s="66"/>
      <c r="X127" s="66"/>
      <c r="Y127" s="66"/>
      <c r="Z127" s="66"/>
      <c r="AA127" s="66"/>
      <c r="AB127" s="66"/>
      <c r="AC127" s="66"/>
      <c r="AD127" s="66"/>
      <c r="AE127" s="66"/>
    </row>
    <row r="128">
      <c r="A128" s="82">
        <f t="shared" si="1"/>
        <v>127</v>
      </c>
      <c r="B128" s="45" t="s">
        <v>1004</v>
      </c>
      <c r="C128" s="45" t="s">
        <v>1005</v>
      </c>
      <c r="D128" s="45" t="s">
        <v>19</v>
      </c>
      <c r="E128" s="45" t="s">
        <v>1006</v>
      </c>
      <c r="F128" s="28">
        <v>2849.0</v>
      </c>
      <c r="G128" s="45" t="s">
        <v>21</v>
      </c>
      <c r="H128" s="45">
        <v>50000.0</v>
      </c>
      <c r="I128" s="33" t="s">
        <v>4047</v>
      </c>
      <c r="J128" s="45" t="s">
        <v>65</v>
      </c>
      <c r="K128" s="46"/>
      <c r="L128" s="47">
        <v>0.375</v>
      </c>
      <c r="M128" s="47">
        <v>0.9166666666666666</v>
      </c>
      <c r="N128" s="48" t="s">
        <v>1007</v>
      </c>
      <c r="O128" s="33" t="s">
        <v>1008</v>
      </c>
      <c r="P128" s="34" t="s">
        <v>1009</v>
      </c>
      <c r="Q128" s="33"/>
      <c r="R128" s="66"/>
      <c r="S128" s="66"/>
      <c r="T128" s="66"/>
      <c r="U128" s="66"/>
      <c r="V128" s="66"/>
      <c r="W128" s="66"/>
      <c r="X128" s="66"/>
      <c r="Y128" s="66"/>
      <c r="Z128" s="66"/>
      <c r="AA128" s="66"/>
      <c r="AB128" s="66"/>
      <c r="AC128" s="66"/>
      <c r="AD128" s="66"/>
      <c r="AE128" s="66"/>
    </row>
    <row r="129">
      <c r="A129" s="82">
        <f t="shared" si="1"/>
        <v>128</v>
      </c>
      <c r="B129" s="45" t="s">
        <v>2404</v>
      </c>
      <c r="C129" s="45" t="s">
        <v>4477</v>
      </c>
      <c r="D129" s="45" t="s">
        <v>19</v>
      </c>
      <c r="E129" s="45" t="s">
        <v>4478</v>
      </c>
      <c r="F129" s="28">
        <v>1656.0</v>
      </c>
      <c r="G129" s="45" t="s">
        <v>21</v>
      </c>
      <c r="H129" s="45">
        <v>80000.0</v>
      </c>
      <c r="I129" s="33" t="s">
        <v>4128</v>
      </c>
      <c r="J129" s="45" t="s">
        <v>23</v>
      </c>
      <c r="K129" s="46"/>
      <c r="L129" s="47">
        <v>0.0</v>
      </c>
      <c r="M129" s="47">
        <v>0.9993055555555556</v>
      </c>
      <c r="N129" s="48" t="s">
        <v>2407</v>
      </c>
      <c r="O129" s="33" t="s">
        <v>2408</v>
      </c>
      <c r="P129" s="34" t="s">
        <v>2409</v>
      </c>
      <c r="Q129" s="33"/>
      <c r="R129" s="66"/>
      <c r="S129" s="66"/>
      <c r="T129" s="66"/>
      <c r="U129" s="66"/>
      <c r="V129" s="66"/>
      <c r="W129" s="66"/>
      <c r="X129" s="66"/>
      <c r="Y129" s="66"/>
      <c r="Z129" s="66"/>
      <c r="AA129" s="66"/>
      <c r="AB129" s="66"/>
      <c r="AC129" s="66"/>
      <c r="AD129" s="66"/>
      <c r="AE129" s="66"/>
    </row>
    <row r="130">
      <c r="A130" s="82">
        <f t="shared" si="1"/>
        <v>129</v>
      </c>
      <c r="B130" s="45" t="s">
        <v>4479</v>
      </c>
      <c r="C130" s="45" t="s">
        <v>4480</v>
      </c>
      <c r="D130" s="45" t="s">
        <v>19</v>
      </c>
      <c r="E130" s="45" t="s">
        <v>4481</v>
      </c>
      <c r="F130" s="28">
        <v>1417.0</v>
      </c>
      <c r="G130" s="45" t="s">
        <v>21</v>
      </c>
      <c r="H130" s="45">
        <v>40000.0</v>
      </c>
      <c r="I130" s="33" t="s">
        <v>4132</v>
      </c>
      <c r="J130" s="45" t="s">
        <v>2518</v>
      </c>
      <c r="K130" s="46"/>
      <c r="L130" s="47">
        <v>0.625</v>
      </c>
      <c r="M130" s="47">
        <v>0.0</v>
      </c>
      <c r="N130" s="48" t="s">
        <v>2519</v>
      </c>
      <c r="O130" s="33" t="s">
        <v>2520</v>
      </c>
      <c r="P130" s="34" t="s">
        <v>2521</v>
      </c>
      <c r="Q130" s="33"/>
      <c r="R130" s="108"/>
      <c r="S130" s="108"/>
      <c r="T130" s="108"/>
      <c r="U130" s="108"/>
      <c r="V130" s="108"/>
      <c r="W130" s="108"/>
      <c r="X130" s="108"/>
      <c r="Y130" s="108"/>
      <c r="Z130" s="108"/>
      <c r="AA130" s="108"/>
      <c r="AB130" s="108"/>
      <c r="AC130" s="108"/>
      <c r="AD130" s="108"/>
      <c r="AE130" s="108"/>
    </row>
    <row r="131">
      <c r="A131" s="82">
        <f t="shared" si="1"/>
        <v>130</v>
      </c>
      <c r="B131" s="45" t="s">
        <v>580</v>
      </c>
      <c r="C131" s="45" t="s">
        <v>581</v>
      </c>
      <c r="D131" s="45" t="s">
        <v>19</v>
      </c>
      <c r="E131" s="45" t="s">
        <v>582</v>
      </c>
      <c r="F131" s="28">
        <v>2280.0</v>
      </c>
      <c r="G131" s="45" t="s">
        <v>21</v>
      </c>
      <c r="H131" s="45">
        <v>50000.0</v>
      </c>
      <c r="I131" s="33" t="s">
        <v>4047</v>
      </c>
      <c r="J131" s="45" t="s">
        <v>23</v>
      </c>
      <c r="K131" s="46"/>
      <c r="L131" s="47">
        <v>0.375</v>
      </c>
      <c r="M131" s="47">
        <v>0.875</v>
      </c>
      <c r="N131" s="48" t="s">
        <v>583</v>
      </c>
      <c r="O131" s="33" t="s">
        <v>584</v>
      </c>
      <c r="P131" s="34" t="s">
        <v>585</v>
      </c>
      <c r="Q131" s="33"/>
      <c r="R131" s="108"/>
      <c r="S131" s="108"/>
      <c r="T131" s="108"/>
      <c r="U131" s="108"/>
      <c r="V131" s="108"/>
      <c r="W131" s="108"/>
      <c r="X131" s="108"/>
      <c r="Y131" s="108"/>
      <c r="Z131" s="108"/>
      <c r="AA131" s="108"/>
      <c r="AB131" s="108"/>
      <c r="AC131" s="108"/>
      <c r="AD131" s="108"/>
      <c r="AE131" s="108"/>
    </row>
    <row r="132">
      <c r="A132" s="82">
        <f t="shared" si="1"/>
        <v>131</v>
      </c>
      <c r="B132" s="45" t="s">
        <v>1453</v>
      </c>
      <c r="C132" s="45" t="s">
        <v>4482</v>
      </c>
      <c r="D132" s="45" t="s">
        <v>19</v>
      </c>
      <c r="E132" s="45" t="s">
        <v>4483</v>
      </c>
      <c r="F132" s="28">
        <v>899.0</v>
      </c>
      <c r="G132" s="45" t="s">
        <v>21</v>
      </c>
      <c r="H132" s="45">
        <v>50000.0</v>
      </c>
      <c r="I132" s="33" t="s">
        <v>4166</v>
      </c>
      <c r="J132" s="45" t="s">
        <v>23</v>
      </c>
      <c r="K132" s="46"/>
      <c r="L132" s="47">
        <v>0.3333333333333333</v>
      </c>
      <c r="M132" s="47">
        <v>0.9166666666666666</v>
      </c>
      <c r="N132" s="48" t="s">
        <v>1456</v>
      </c>
      <c r="O132" s="33" t="s">
        <v>1457</v>
      </c>
      <c r="P132" s="34" t="s">
        <v>1458</v>
      </c>
      <c r="Q132" s="33"/>
      <c r="R132" s="108"/>
      <c r="S132" s="108"/>
      <c r="T132" s="108"/>
      <c r="U132" s="108"/>
      <c r="V132" s="108"/>
      <c r="W132" s="108"/>
      <c r="X132" s="108"/>
      <c r="Y132" s="108"/>
      <c r="Z132" s="108"/>
      <c r="AA132" s="108"/>
      <c r="AB132" s="108"/>
      <c r="AC132" s="108"/>
      <c r="AD132" s="108"/>
      <c r="AE132" s="108"/>
    </row>
    <row r="133">
      <c r="A133" s="82">
        <f t="shared" si="1"/>
        <v>132</v>
      </c>
      <c r="B133" s="45" t="s">
        <v>1286</v>
      </c>
      <c r="C133" s="45" t="s">
        <v>1287</v>
      </c>
      <c r="D133" s="45" t="s">
        <v>19</v>
      </c>
      <c r="E133" s="45" t="s">
        <v>4484</v>
      </c>
      <c r="F133" s="28">
        <v>3500.0</v>
      </c>
      <c r="G133" s="45" t="s">
        <v>21</v>
      </c>
      <c r="H133" s="45">
        <v>60000.0</v>
      </c>
      <c r="I133" s="33" t="s">
        <v>4047</v>
      </c>
      <c r="J133" s="45" t="s">
        <v>23</v>
      </c>
      <c r="K133" s="46"/>
      <c r="L133" s="47">
        <v>0.25</v>
      </c>
      <c r="M133" s="47">
        <v>0.9166666666666666</v>
      </c>
      <c r="N133" s="48" t="s">
        <v>1289</v>
      </c>
      <c r="O133" s="33" t="s">
        <v>1290</v>
      </c>
      <c r="P133" s="34" t="s">
        <v>1291</v>
      </c>
      <c r="Q133" s="33"/>
      <c r="R133" s="108"/>
      <c r="S133" s="108"/>
      <c r="T133" s="108"/>
      <c r="U133" s="108"/>
      <c r="V133" s="108"/>
      <c r="W133" s="108"/>
      <c r="X133" s="108"/>
      <c r="Y133" s="108"/>
      <c r="Z133" s="108"/>
      <c r="AA133" s="108"/>
      <c r="AB133" s="108"/>
      <c r="AC133" s="108"/>
      <c r="AD133" s="108"/>
      <c r="AE133" s="108"/>
    </row>
    <row r="134">
      <c r="A134" s="82">
        <f t="shared" si="1"/>
        <v>133</v>
      </c>
      <c r="B134" s="45" t="s">
        <v>959</v>
      </c>
      <c r="C134" s="45" t="s">
        <v>960</v>
      </c>
      <c r="D134" s="45" t="s">
        <v>19</v>
      </c>
      <c r="E134" s="45" t="s">
        <v>961</v>
      </c>
      <c r="F134" s="28">
        <v>440.0</v>
      </c>
      <c r="G134" s="45" t="s">
        <v>21</v>
      </c>
      <c r="H134" s="45">
        <v>40000.0</v>
      </c>
      <c r="I134" s="33" t="s">
        <v>4166</v>
      </c>
      <c r="J134" s="45" t="s">
        <v>23</v>
      </c>
      <c r="K134" s="46"/>
      <c r="L134" s="47">
        <v>0.3125</v>
      </c>
      <c r="M134" s="47">
        <v>0.9166666666666666</v>
      </c>
      <c r="N134" s="48" t="s">
        <v>962</v>
      </c>
      <c r="O134" s="33" t="s">
        <v>963</v>
      </c>
      <c r="P134" s="34" t="s">
        <v>964</v>
      </c>
      <c r="Q134" s="33"/>
      <c r="R134" s="108"/>
      <c r="S134" s="108"/>
      <c r="T134" s="108"/>
      <c r="U134" s="108"/>
      <c r="V134" s="108"/>
      <c r="W134" s="108"/>
      <c r="X134" s="108"/>
      <c r="Y134" s="108"/>
      <c r="Z134" s="108"/>
      <c r="AA134" s="108"/>
      <c r="AB134" s="108"/>
      <c r="AC134" s="108"/>
      <c r="AD134" s="108"/>
      <c r="AE134" s="108"/>
    </row>
    <row r="135">
      <c r="A135" s="82">
        <f t="shared" si="1"/>
        <v>134</v>
      </c>
      <c r="B135" s="45" t="s">
        <v>3153</v>
      </c>
      <c r="C135" s="45" t="s">
        <v>3154</v>
      </c>
      <c r="D135" s="45" t="s">
        <v>19</v>
      </c>
      <c r="E135" s="45" t="s">
        <v>3155</v>
      </c>
      <c r="F135" s="28">
        <v>1000.0</v>
      </c>
      <c r="G135" s="45" t="s">
        <v>21</v>
      </c>
      <c r="H135" s="45">
        <v>25000.0</v>
      </c>
      <c r="I135" s="33" t="s">
        <v>4128</v>
      </c>
      <c r="J135" s="45" t="s">
        <v>23</v>
      </c>
      <c r="K135" s="46"/>
      <c r="L135" s="47">
        <v>0.3333333333333333</v>
      </c>
      <c r="M135" s="47">
        <v>0.9166666666666666</v>
      </c>
      <c r="N135" s="48" t="s">
        <v>3156</v>
      </c>
      <c r="O135" s="33" t="s">
        <v>3157</v>
      </c>
      <c r="P135" s="34" t="s">
        <v>3158</v>
      </c>
      <c r="Q135" s="33"/>
      <c r="R135" s="108"/>
      <c r="S135" s="108"/>
      <c r="T135" s="108"/>
      <c r="U135" s="108"/>
      <c r="V135" s="108"/>
      <c r="W135" s="108"/>
      <c r="X135" s="108"/>
      <c r="Y135" s="108"/>
      <c r="Z135" s="108"/>
      <c r="AA135" s="108"/>
      <c r="AB135" s="108"/>
      <c r="AC135" s="108"/>
      <c r="AD135" s="108"/>
      <c r="AE135" s="108"/>
    </row>
    <row r="136">
      <c r="A136" s="82">
        <f t="shared" si="1"/>
        <v>135</v>
      </c>
      <c r="B136" s="45" t="s">
        <v>2896</v>
      </c>
      <c r="C136" s="45" t="s">
        <v>2897</v>
      </c>
      <c r="D136" s="45" t="s">
        <v>19</v>
      </c>
      <c r="E136" s="45" t="s">
        <v>2898</v>
      </c>
      <c r="F136" s="28">
        <v>726.0</v>
      </c>
      <c r="G136" s="45" t="s">
        <v>21</v>
      </c>
      <c r="H136" s="45">
        <v>30000.0</v>
      </c>
      <c r="I136" s="33" t="s">
        <v>4128</v>
      </c>
      <c r="J136" s="45" t="s">
        <v>287</v>
      </c>
      <c r="K136" s="46"/>
      <c r="L136" s="47">
        <v>0.3333333333333333</v>
      </c>
      <c r="M136" s="47">
        <v>0.875</v>
      </c>
      <c r="N136" s="48" t="s">
        <v>4485</v>
      </c>
      <c r="O136" s="33" t="s">
        <v>4486</v>
      </c>
      <c r="P136" s="34" t="s">
        <v>4487</v>
      </c>
      <c r="Q136" s="33"/>
      <c r="R136" s="108"/>
      <c r="S136" s="108"/>
      <c r="T136" s="108"/>
      <c r="U136" s="108"/>
      <c r="V136" s="108"/>
      <c r="W136" s="108"/>
      <c r="X136" s="108"/>
      <c r="Y136" s="108"/>
      <c r="Z136" s="108"/>
      <c r="AA136" s="108"/>
      <c r="AB136" s="108"/>
      <c r="AC136" s="108"/>
      <c r="AD136" s="108"/>
      <c r="AE136" s="108"/>
    </row>
    <row r="137">
      <c r="A137" s="82">
        <f t="shared" si="1"/>
        <v>136</v>
      </c>
      <c r="B137" s="45" t="s">
        <v>4004</v>
      </c>
      <c r="C137" s="45" t="s">
        <v>4005</v>
      </c>
      <c r="D137" s="45" t="s">
        <v>19</v>
      </c>
      <c r="E137" s="45" t="s">
        <v>4006</v>
      </c>
      <c r="F137" s="28">
        <v>2383.0</v>
      </c>
      <c r="G137" s="45" t="s">
        <v>21</v>
      </c>
      <c r="H137" s="45">
        <v>35000.0</v>
      </c>
      <c r="I137" s="33" t="s">
        <v>4128</v>
      </c>
      <c r="J137" s="45" t="s">
        <v>23</v>
      </c>
      <c r="K137" s="46"/>
      <c r="L137" s="47">
        <v>0.375</v>
      </c>
      <c r="M137" s="47">
        <v>0.9583333333333334</v>
      </c>
      <c r="N137" s="48" t="s">
        <v>4007</v>
      </c>
      <c r="O137" s="33" t="s">
        <v>4008</v>
      </c>
      <c r="P137" s="34" t="s">
        <v>4009</v>
      </c>
      <c r="Q137" s="33"/>
      <c r="R137" s="108"/>
      <c r="S137" s="108"/>
      <c r="T137" s="108"/>
      <c r="U137" s="108"/>
      <c r="V137" s="108"/>
      <c r="W137" s="108"/>
      <c r="X137" s="108"/>
      <c r="Y137" s="108"/>
      <c r="Z137" s="108"/>
      <c r="AA137" s="108"/>
      <c r="AB137" s="108"/>
      <c r="AC137" s="108"/>
      <c r="AD137" s="108"/>
      <c r="AE137" s="108"/>
    </row>
    <row r="138">
      <c r="A138" s="82">
        <f t="shared" si="1"/>
        <v>137</v>
      </c>
      <c r="B138" s="45" t="s">
        <v>2682</v>
      </c>
      <c r="C138" s="45" t="s">
        <v>2683</v>
      </c>
      <c r="D138" s="45" t="s">
        <v>19</v>
      </c>
      <c r="E138" s="45" t="s">
        <v>2684</v>
      </c>
      <c r="F138" s="28">
        <v>138.0</v>
      </c>
      <c r="G138" s="45" t="s">
        <v>21</v>
      </c>
      <c r="H138" s="45">
        <v>40000.0</v>
      </c>
      <c r="I138" s="33" t="s">
        <v>4132</v>
      </c>
      <c r="J138" s="45" t="s">
        <v>3486</v>
      </c>
      <c r="K138" s="46"/>
      <c r="L138" s="47">
        <v>0.3333333333333333</v>
      </c>
      <c r="M138" s="47">
        <v>0.9166666666666666</v>
      </c>
      <c r="N138" s="48" t="s">
        <v>4488</v>
      </c>
      <c r="O138" s="33" t="s">
        <v>4489</v>
      </c>
      <c r="P138" s="34" t="s">
        <v>4490</v>
      </c>
      <c r="Q138" s="33"/>
      <c r="R138" s="108"/>
      <c r="S138" s="108"/>
      <c r="T138" s="108"/>
      <c r="U138" s="108"/>
      <c r="V138" s="108"/>
      <c r="W138" s="108"/>
      <c r="X138" s="108"/>
      <c r="Y138" s="108"/>
      <c r="Z138" s="108"/>
      <c r="AA138" s="108"/>
      <c r="AB138" s="108"/>
      <c r="AC138" s="108"/>
      <c r="AD138" s="108"/>
      <c r="AE138" s="108"/>
    </row>
    <row r="139">
      <c r="A139" s="82">
        <f t="shared" si="1"/>
        <v>138</v>
      </c>
      <c r="B139" s="45" t="s">
        <v>538</v>
      </c>
      <c r="C139" s="45" t="s">
        <v>539</v>
      </c>
      <c r="D139" s="45" t="s">
        <v>19</v>
      </c>
      <c r="E139" s="45" t="s">
        <v>540</v>
      </c>
      <c r="F139" s="28">
        <v>677.0</v>
      </c>
      <c r="G139" s="45" t="s">
        <v>21</v>
      </c>
      <c r="H139" s="45">
        <v>45000.0</v>
      </c>
      <c r="I139" s="33" t="s">
        <v>4128</v>
      </c>
      <c r="J139" s="45" t="s">
        <v>23</v>
      </c>
      <c r="K139" s="46"/>
      <c r="L139" s="47">
        <v>0.2916666666666667</v>
      </c>
      <c r="M139" s="47">
        <v>0.9166666666666666</v>
      </c>
      <c r="N139" s="48" t="s">
        <v>541</v>
      </c>
      <c r="O139" s="33" t="s">
        <v>542</v>
      </c>
      <c r="P139" s="34" t="s">
        <v>543</v>
      </c>
      <c r="Q139" s="33"/>
      <c r="R139" s="108"/>
      <c r="S139" s="108"/>
      <c r="T139" s="108"/>
      <c r="U139" s="108"/>
      <c r="V139" s="108"/>
      <c r="W139" s="108"/>
      <c r="X139" s="108"/>
      <c r="Y139" s="108"/>
      <c r="Z139" s="108"/>
      <c r="AA139" s="108"/>
      <c r="AB139" s="108"/>
      <c r="AC139" s="108"/>
      <c r="AD139" s="108"/>
      <c r="AE139" s="108"/>
    </row>
    <row r="140">
      <c r="A140" s="82">
        <f t="shared" si="1"/>
        <v>139</v>
      </c>
      <c r="B140" s="45" t="s">
        <v>1967</v>
      </c>
      <c r="C140" s="45" t="s">
        <v>4491</v>
      </c>
      <c r="D140" s="45" t="s">
        <v>19</v>
      </c>
      <c r="E140" s="45" t="s">
        <v>4492</v>
      </c>
      <c r="F140" s="28">
        <v>967.0</v>
      </c>
      <c r="G140" s="45" t="s">
        <v>21</v>
      </c>
      <c r="H140" s="45">
        <v>60000.0</v>
      </c>
      <c r="I140" s="33" t="s">
        <v>4047</v>
      </c>
      <c r="J140" s="45" t="s">
        <v>4493</v>
      </c>
      <c r="K140" s="46"/>
      <c r="L140" s="47">
        <v>0.2916666666666667</v>
      </c>
      <c r="M140" s="47">
        <v>0.7083333333333334</v>
      </c>
      <c r="N140" s="48" t="s">
        <v>1972</v>
      </c>
      <c r="O140" s="33" t="s">
        <v>1973</v>
      </c>
      <c r="P140" s="34" t="s">
        <v>1974</v>
      </c>
      <c r="Q140" s="33"/>
      <c r="R140" s="108"/>
      <c r="S140" s="108"/>
      <c r="T140" s="108"/>
      <c r="U140" s="108"/>
      <c r="V140" s="108"/>
      <c r="W140" s="108"/>
      <c r="X140" s="108"/>
      <c r="Y140" s="108"/>
      <c r="Z140" s="108"/>
      <c r="AA140" s="108"/>
      <c r="AB140" s="108"/>
      <c r="AC140" s="108"/>
      <c r="AD140" s="108"/>
      <c r="AE140" s="108"/>
    </row>
    <row r="141">
      <c r="A141" s="82">
        <f t="shared" si="1"/>
        <v>140</v>
      </c>
      <c r="B141" s="45" t="s">
        <v>3028</v>
      </c>
      <c r="C141" s="45" t="s">
        <v>3029</v>
      </c>
      <c r="D141" s="45" t="s">
        <v>34</v>
      </c>
      <c r="E141" s="45" t="s">
        <v>3030</v>
      </c>
      <c r="F141" s="28">
        <v>16672.0</v>
      </c>
      <c r="G141" s="45" t="s">
        <v>21</v>
      </c>
      <c r="H141" s="45">
        <v>30000.0</v>
      </c>
      <c r="I141" s="33" t="s">
        <v>4035</v>
      </c>
      <c r="J141" s="45" t="s">
        <v>23</v>
      </c>
      <c r="K141" s="46"/>
      <c r="L141" s="47">
        <v>0.3125</v>
      </c>
      <c r="M141" s="47">
        <v>0.7083333333333334</v>
      </c>
      <c r="N141" s="48" t="s">
        <v>3031</v>
      </c>
      <c r="O141" s="33" t="s">
        <v>3032</v>
      </c>
      <c r="P141" s="34" t="s">
        <v>3033</v>
      </c>
      <c r="Q141" s="33"/>
      <c r="R141" s="108"/>
      <c r="S141" s="108"/>
      <c r="T141" s="108"/>
      <c r="U141" s="108"/>
      <c r="V141" s="108"/>
      <c r="W141" s="108"/>
      <c r="X141" s="108"/>
      <c r="Y141" s="108"/>
      <c r="Z141" s="108"/>
      <c r="AA141" s="108"/>
      <c r="AB141" s="108"/>
      <c r="AC141" s="108"/>
      <c r="AD141" s="108"/>
      <c r="AE141" s="108"/>
    </row>
    <row r="142">
      <c r="A142" s="82">
        <f t="shared" si="1"/>
        <v>141</v>
      </c>
      <c r="B142" s="45" t="s">
        <v>3082</v>
      </c>
      <c r="C142" s="45" t="s">
        <v>3083</v>
      </c>
      <c r="D142" s="45" t="s">
        <v>34</v>
      </c>
      <c r="E142" s="45" t="s">
        <v>3084</v>
      </c>
      <c r="F142" s="28">
        <v>2403.0</v>
      </c>
      <c r="G142" s="45" t="s">
        <v>21</v>
      </c>
      <c r="H142" s="45">
        <v>181000.0</v>
      </c>
      <c r="I142" s="33" t="s">
        <v>4128</v>
      </c>
      <c r="J142" s="45" t="s">
        <v>23</v>
      </c>
      <c r="K142" s="46"/>
      <c r="L142" s="47">
        <v>0.4583333333333333</v>
      </c>
      <c r="M142" s="47">
        <v>0.9583333333333334</v>
      </c>
      <c r="N142" s="48" t="s">
        <v>3085</v>
      </c>
      <c r="O142" s="33" t="s">
        <v>3086</v>
      </c>
      <c r="P142" s="34" t="s">
        <v>3087</v>
      </c>
      <c r="Q142" s="33"/>
      <c r="R142" s="108"/>
      <c r="S142" s="108"/>
      <c r="T142" s="108"/>
      <c r="U142" s="108"/>
      <c r="V142" s="108"/>
      <c r="W142" s="108"/>
      <c r="X142" s="108"/>
      <c r="Y142" s="108"/>
      <c r="Z142" s="108"/>
      <c r="AA142" s="108"/>
      <c r="AB142" s="108"/>
      <c r="AC142" s="108"/>
      <c r="AD142" s="108"/>
      <c r="AE142" s="108"/>
    </row>
    <row r="143">
      <c r="A143" s="82">
        <f t="shared" si="1"/>
        <v>142</v>
      </c>
      <c r="B143" s="45" t="s">
        <v>1242</v>
      </c>
      <c r="C143" s="45" t="s">
        <v>1243</v>
      </c>
      <c r="D143" s="45" t="s">
        <v>34</v>
      </c>
      <c r="E143" s="45" t="s">
        <v>1244</v>
      </c>
      <c r="F143" s="28">
        <v>3613.0</v>
      </c>
      <c r="G143" s="45" t="s">
        <v>21</v>
      </c>
      <c r="H143" s="45">
        <v>50000.0</v>
      </c>
      <c r="I143" s="33" t="s">
        <v>4128</v>
      </c>
      <c r="J143" s="45" t="s">
        <v>23</v>
      </c>
      <c r="K143" s="46"/>
      <c r="L143" s="47">
        <v>0.4583333333333333</v>
      </c>
      <c r="M143" s="47">
        <v>0.875</v>
      </c>
      <c r="N143" s="48" t="s">
        <v>1245</v>
      </c>
      <c r="O143" s="33" t="s">
        <v>1246</v>
      </c>
      <c r="P143" s="34" t="s">
        <v>1247</v>
      </c>
      <c r="Q143" s="33"/>
      <c r="R143" s="108"/>
      <c r="S143" s="108"/>
      <c r="T143" s="108"/>
      <c r="U143" s="108"/>
      <c r="V143" s="108"/>
      <c r="W143" s="108"/>
      <c r="X143" s="108"/>
      <c r="Y143" s="108"/>
      <c r="Z143" s="108"/>
      <c r="AA143" s="108"/>
      <c r="AB143" s="108"/>
      <c r="AC143" s="108"/>
      <c r="AD143" s="108"/>
      <c r="AE143" s="108"/>
    </row>
    <row r="144">
      <c r="A144" s="82">
        <f t="shared" si="1"/>
        <v>143</v>
      </c>
      <c r="B144" s="45" t="s">
        <v>3992</v>
      </c>
      <c r="C144" s="45" t="s">
        <v>3993</v>
      </c>
      <c r="D144" s="45" t="s">
        <v>34</v>
      </c>
      <c r="E144" s="45" t="s">
        <v>3994</v>
      </c>
      <c r="F144" s="28">
        <v>1768.0</v>
      </c>
      <c r="G144" s="45" t="s">
        <v>21</v>
      </c>
      <c r="H144" s="45">
        <v>20000.0</v>
      </c>
      <c r="I144" s="33" t="s">
        <v>4047</v>
      </c>
      <c r="J144" s="45" t="s">
        <v>23</v>
      </c>
      <c r="K144" s="46"/>
      <c r="L144" s="47">
        <v>0.2916666666666667</v>
      </c>
      <c r="M144" s="47">
        <v>0.875</v>
      </c>
      <c r="N144" s="48" t="s">
        <v>3995</v>
      </c>
      <c r="O144" s="33" t="s">
        <v>3996</v>
      </c>
      <c r="P144" s="34" t="s">
        <v>3997</v>
      </c>
      <c r="Q144" s="33"/>
      <c r="R144" s="108"/>
      <c r="S144" s="108"/>
      <c r="T144" s="108"/>
      <c r="U144" s="108"/>
      <c r="V144" s="108"/>
      <c r="W144" s="108"/>
      <c r="X144" s="108"/>
      <c r="Y144" s="108"/>
      <c r="Z144" s="108"/>
      <c r="AA144" s="108"/>
      <c r="AB144" s="108"/>
      <c r="AC144" s="108"/>
      <c r="AD144" s="108"/>
      <c r="AE144" s="108"/>
    </row>
    <row r="145">
      <c r="A145" s="82">
        <f t="shared" si="1"/>
        <v>144</v>
      </c>
      <c r="B145" s="45" t="s">
        <v>1041</v>
      </c>
      <c r="C145" s="45" t="s">
        <v>1042</v>
      </c>
      <c r="D145" s="45" t="s">
        <v>34</v>
      </c>
      <c r="E145" s="45" t="s">
        <v>1043</v>
      </c>
      <c r="F145" s="28">
        <v>948.0</v>
      </c>
      <c r="G145" s="45" t="s">
        <v>21</v>
      </c>
      <c r="H145" s="45" t="s">
        <v>36</v>
      </c>
      <c r="I145" s="33" t="s">
        <v>4035</v>
      </c>
      <c r="J145" s="45" t="s">
        <v>23</v>
      </c>
      <c r="K145" s="46"/>
      <c r="L145" s="47">
        <v>0.2916666666666667</v>
      </c>
      <c r="M145" s="47">
        <v>0.5833333333333334</v>
      </c>
      <c r="N145" s="48" t="s">
        <v>1044</v>
      </c>
      <c r="O145" s="33" t="s">
        <v>1045</v>
      </c>
      <c r="P145" s="34" t="s">
        <v>1046</v>
      </c>
      <c r="Q145" s="33"/>
      <c r="R145" s="108"/>
      <c r="S145" s="108"/>
      <c r="T145" s="108"/>
      <c r="U145" s="108"/>
      <c r="V145" s="108"/>
      <c r="W145" s="108"/>
      <c r="X145" s="108"/>
      <c r="Y145" s="108"/>
      <c r="Z145" s="108"/>
      <c r="AA145" s="108"/>
      <c r="AB145" s="108"/>
      <c r="AC145" s="108"/>
      <c r="AD145" s="108"/>
      <c r="AE145" s="108"/>
    </row>
    <row r="146">
      <c r="A146" s="82">
        <f t="shared" si="1"/>
        <v>145</v>
      </c>
      <c r="B146" s="45" t="s">
        <v>3719</v>
      </c>
      <c r="C146" s="45" t="s">
        <v>3720</v>
      </c>
      <c r="D146" s="45" t="s">
        <v>34</v>
      </c>
      <c r="E146" s="45" t="s">
        <v>3721</v>
      </c>
      <c r="F146" s="28">
        <v>8462.0</v>
      </c>
      <c r="G146" s="45" t="s">
        <v>21</v>
      </c>
      <c r="H146" s="45">
        <v>19000.0</v>
      </c>
      <c r="I146" s="33" t="s">
        <v>4035</v>
      </c>
      <c r="J146" s="45" t="s">
        <v>23</v>
      </c>
      <c r="K146" s="46"/>
      <c r="L146" s="47">
        <v>0.375</v>
      </c>
      <c r="M146" s="47">
        <v>0.90625</v>
      </c>
      <c r="N146" s="48" t="s">
        <v>3722</v>
      </c>
      <c r="O146" s="33" t="s">
        <v>3723</v>
      </c>
      <c r="P146" s="34" t="s">
        <v>3724</v>
      </c>
      <c r="Q146" s="33"/>
      <c r="R146" s="108"/>
      <c r="S146" s="108"/>
      <c r="T146" s="108"/>
      <c r="U146" s="108"/>
      <c r="V146" s="108"/>
      <c r="W146" s="108"/>
      <c r="X146" s="108"/>
      <c r="Y146" s="108"/>
      <c r="Z146" s="108"/>
      <c r="AA146" s="108"/>
      <c r="AB146" s="108"/>
      <c r="AC146" s="108"/>
      <c r="AD146" s="108"/>
      <c r="AE146" s="108"/>
    </row>
    <row r="147">
      <c r="A147" s="30">
        <f>data200!A146+1</f>
        <v>146</v>
      </c>
      <c r="B147" s="28" t="s">
        <v>3987</v>
      </c>
      <c r="C147" s="28" t="s">
        <v>3988</v>
      </c>
      <c r="D147" s="45" t="s">
        <v>34</v>
      </c>
      <c r="E147" s="28" t="s">
        <v>3989</v>
      </c>
      <c r="F147" s="28">
        <v>244.0</v>
      </c>
      <c r="G147" s="28" t="s">
        <v>21</v>
      </c>
      <c r="H147" s="28" t="s">
        <v>36</v>
      </c>
      <c r="I147" s="29">
        <v>46177.0</v>
      </c>
      <c r="J147" s="28" t="s">
        <v>65</v>
      </c>
      <c r="K147" s="28" t="s">
        <v>66</v>
      </c>
      <c r="L147" s="31">
        <v>0.75</v>
      </c>
      <c r="M147" s="31">
        <v>0.9583333333333334</v>
      </c>
      <c r="N147" s="32" t="s">
        <v>3990</v>
      </c>
      <c r="O147" s="30" t="str">
        <f>IFERROR(__xludf.DUMMYFUNCTION("REGEXEXTRACT(N147,""^-?[0-9.]+"")"),"-7.260422745320723")</f>
        <v>-7.260422745320723</v>
      </c>
      <c r="P147" s="85" t="str">
        <f>IFERROR(__xludf.DUMMYFUNCTION("REGEXEXTRACT(N147,"",\s*(-?[0-9.]+)"")"),"112.77712220071004")</f>
        <v>112.77712220071004</v>
      </c>
      <c r="Q147" s="109"/>
      <c r="R147" s="108"/>
      <c r="S147" s="108"/>
      <c r="T147" s="108"/>
      <c r="U147" s="108"/>
      <c r="V147" s="108"/>
      <c r="W147" s="108"/>
      <c r="X147" s="108"/>
      <c r="Y147" s="108"/>
      <c r="Z147" s="108"/>
      <c r="AA147" s="108"/>
      <c r="AB147" s="108"/>
      <c r="AC147" s="108"/>
      <c r="AD147" s="108"/>
      <c r="AE147" s="108"/>
    </row>
    <row r="148">
      <c r="A148" s="30">
        <f t="shared" ref="A148:A201" si="2">A147+1</f>
        <v>147</v>
      </c>
      <c r="B148" s="28" t="s">
        <v>3976</v>
      </c>
      <c r="C148" s="28" t="s">
        <v>3977</v>
      </c>
      <c r="D148" s="45" t="s">
        <v>34</v>
      </c>
      <c r="E148" s="28" t="s">
        <v>3978</v>
      </c>
      <c r="F148" s="28">
        <v>708.0</v>
      </c>
      <c r="G148" s="28" t="s">
        <v>21</v>
      </c>
      <c r="H148" s="28" t="s">
        <v>22</v>
      </c>
      <c r="I148" s="29">
        <v>46238.0</v>
      </c>
      <c r="J148" s="28" t="s">
        <v>23</v>
      </c>
      <c r="K148" s="30"/>
      <c r="L148" s="31">
        <v>0.4583333333333333</v>
      </c>
      <c r="M148" s="31">
        <v>0.875</v>
      </c>
      <c r="N148" s="32" t="s">
        <v>3979</v>
      </c>
      <c r="O148" s="30" t="str">
        <f>IFERROR(__xludf.DUMMYFUNCTION("REGEXEXTRACT(N148,""^-?[0-9.]+"")"),"-7.257394117697718")</f>
        <v>-7.257394117697718</v>
      </c>
      <c r="P148" s="85" t="str">
        <f>IFERROR(__xludf.DUMMYFUNCTION("REGEXEXTRACT(N148,"",\s*(-?[0-9.]+)"")"),"112.77848782250655")</f>
        <v>112.77848782250655</v>
      </c>
      <c r="Q148" s="109"/>
      <c r="R148" s="108"/>
      <c r="S148" s="108"/>
      <c r="T148" s="108"/>
      <c r="U148" s="108"/>
      <c r="V148" s="108"/>
      <c r="W148" s="108"/>
      <c r="X148" s="108"/>
      <c r="Y148" s="108"/>
      <c r="Z148" s="108"/>
      <c r="AA148" s="108"/>
      <c r="AB148" s="108"/>
      <c r="AC148" s="108"/>
      <c r="AD148" s="108"/>
      <c r="AE148" s="108"/>
    </row>
    <row r="149">
      <c r="A149" s="30">
        <f t="shared" si="2"/>
        <v>148</v>
      </c>
      <c r="B149" s="28" t="s">
        <v>3970</v>
      </c>
      <c r="C149" s="28" t="s">
        <v>3971</v>
      </c>
      <c r="D149" s="45" t="s">
        <v>34</v>
      </c>
      <c r="E149" s="28" t="s">
        <v>3972</v>
      </c>
      <c r="F149" s="28">
        <v>153.0</v>
      </c>
      <c r="G149" s="28" t="s">
        <v>21</v>
      </c>
      <c r="H149" s="28" t="s">
        <v>22</v>
      </c>
      <c r="I149" s="29">
        <v>46177.0</v>
      </c>
      <c r="J149" s="28" t="s">
        <v>23</v>
      </c>
      <c r="K149" s="30"/>
      <c r="L149" s="31">
        <v>0.4166666666666667</v>
      </c>
      <c r="M149" s="28" t="s">
        <v>3973</v>
      </c>
      <c r="N149" s="32" t="s">
        <v>3974</v>
      </c>
      <c r="O149" s="30" t="str">
        <f>IFERROR(__xludf.DUMMYFUNCTION("REGEXEXTRACT(N149,""^-?[0-9.]+"")"),"-7.254072100775317")</f>
        <v>-7.254072100775317</v>
      </c>
      <c r="P149" s="85" t="str">
        <f>IFERROR(__xludf.DUMMYFUNCTION("REGEXEXTRACT(N149,"",\s*(-?[0-9.]+)"")"),"112.77818410703489")</f>
        <v>112.77818410703489</v>
      </c>
      <c r="Q149" s="109"/>
      <c r="R149" s="108"/>
      <c r="S149" s="108"/>
      <c r="T149" s="108"/>
      <c r="U149" s="108"/>
      <c r="V149" s="108"/>
      <c r="W149" s="108"/>
      <c r="X149" s="108"/>
      <c r="Y149" s="108"/>
      <c r="Z149" s="108"/>
      <c r="AA149" s="108"/>
      <c r="AB149" s="108"/>
      <c r="AC149" s="108"/>
      <c r="AD149" s="108"/>
      <c r="AE149" s="108"/>
    </row>
    <row r="150">
      <c r="A150" s="30">
        <f t="shared" si="2"/>
        <v>149</v>
      </c>
      <c r="B150" s="28" t="s">
        <v>4494</v>
      </c>
      <c r="C150" s="28" t="s">
        <v>4495</v>
      </c>
      <c r="D150" s="28" t="s">
        <v>19</v>
      </c>
      <c r="E150" s="28" t="s">
        <v>4496</v>
      </c>
      <c r="F150" s="28">
        <v>160.0</v>
      </c>
      <c r="G150" s="28" t="s">
        <v>21</v>
      </c>
      <c r="H150" s="28" t="s">
        <v>22</v>
      </c>
      <c r="I150" s="29">
        <v>46238.0</v>
      </c>
      <c r="J150" s="28" t="s">
        <v>23</v>
      </c>
      <c r="K150" s="30"/>
      <c r="L150" s="31">
        <v>0.4166666666666667</v>
      </c>
      <c r="M150" s="31">
        <v>0.9993055555555556</v>
      </c>
      <c r="N150" s="32" t="s">
        <v>4497</v>
      </c>
      <c r="O150" s="30" t="str">
        <f>IFERROR(__xludf.DUMMYFUNCTION("REGEXEXTRACT(N150,""^-?[0-9.]+"")"),"-7.291104344259352")</f>
        <v>-7.291104344259352</v>
      </c>
      <c r="P150" s="85" t="str">
        <f>IFERROR(__xludf.DUMMYFUNCTION("REGEXEXTRACT(N150,"",\s*(-?[0-9.]+)"")"),"112.65416120550873")</f>
        <v>112.65416120550873</v>
      </c>
      <c r="Q150" s="109"/>
      <c r="R150" s="108"/>
      <c r="S150" s="108"/>
      <c r="T150" s="108"/>
      <c r="U150" s="108"/>
      <c r="V150" s="108"/>
      <c r="W150" s="108"/>
      <c r="X150" s="108"/>
      <c r="Y150" s="108"/>
      <c r="Z150" s="108"/>
      <c r="AA150" s="108"/>
      <c r="AB150" s="108"/>
      <c r="AC150" s="108"/>
      <c r="AD150" s="108"/>
      <c r="AE150" s="108"/>
    </row>
    <row r="151">
      <c r="A151" s="30">
        <f t="shared" si="2"/>
        <v>150</v>
      </c>
      <c r="B151" s="28" t="s">
        <v>3953</v>
      </c>
      <c r="C151" s="28" t="s">
        <v>3954</v>
      </c>
      <c r="D151" s="28" t="s">
        <v>19</v>
      </c>
      <c r="E151" s="28" t="s">
        <v>3955</v>
      </c>
      <c r="F151" s="28">
        <v>1519.0</v>
      </c>
      <c r="G151" s="28" t="s">
        <v>21</v>
      </c>
      <c r="H151" s="28" t="s">
        <v>22</v>
      </c>
      <c r="I151" s="29">
        <v>46146.0</v>
      </c>
      <c r="J151" s="28" t="s">
        <v>23</v>
      </c>
      <c r="K151" s="30"/>
      <c r="L151" s="31">
        <v>0.3333333333333333</v>
      </c>
      <c r="M151" s="31">
        <v>0.9166666666666666</v>
      </c>
      <c r="N151" s="32" t="s">
        <v>3956</v>
      </c>
      <c r="O151" s="30" t="str">
        <f>IFERROR(__xludf.DUMMYFUNCTION("REGEXEXTRACT(N151,""^-?[0-9.]+"")"),"-7.267056327296016")</f>
        <v>-7.267056327296016</v>
      </c>
      <c r="P151" s="85" t="str">
        <f>IFERROR(__xludf.DUMMYFUNCTION("REGEXEXTRACT(N151,"",\s*(-?[0-9.]+)"")"),"112.74583518505737")</f>
        <v>112.74583518505737</v>
      </c>
      <c r="Q151" s="109"/>
      <c r="R151" s="108"/>
      <c r="S151" s="108"/>
      <c r="T151" s="108"/>
      <c r="U151" s="108"/>
      <c r="V151" s="108"/>
      <c r="W151" s="108"/>
      <c r="X151" s="108"/>
      <c r="Y151" s="108"/>
      <c r="Z151" s="108"/>
      <c r="AA151" s="108"/>
      <c r="AB151" s="108"/>
      <c r="AC151" s="108"/>
      <c r="AD151" s="108"/>
      <c r="AE151" s="108"/>
    </row>
    <row r="152">
      <c r="A152" s="30">
        <f t="shared" si="2"/>
        <v>151</v>
      </c>
      <c r="B152" s="28" t="s">
        <v>3941</v>
      </c>
      <c r="C152" s="28" t="s">
        <v>3942</v>
      </c>
      <c r="D152" s="28" t="s">
        <v>19</v>
      </c>
      <c r="E152" s="28" t="s">
        <v>3943</v>
      </c>
      <c r="F152" s="28">
        <v>1007.0</v>
      </c>
      <c r="G152" s="28" t="s">
        <v>21</v>
      </c>
      <c r="H152" s="28" t="s">
        <v>649</v>
      </c>
      <c r="I152" s="29">
        <v>46238.0</v>
      </c>
      <c r="J152" s="28" t="s">
        <v>23</v>
      </c>
      <c r="K152" s="30"/>
      <c r="L152" s="31">
        <v>0.4166666666666667</v>
      </c>
      <c r="M152" s="31">
        <v>0.90625</v>
      </c>
      <c r="N152" s="32" t="s">
        <v>3944</v>
      </c>
      <c r="O152" s="30" t="str">
        <f>IFERROR(__xludf.DUMMYFUNCTION("REGEXEXTRACT(N152,""^-?[0-9.]+"")"),"-7.290186718405247")</f>
        <v>-7.290186718405247</v>
      </c>
      <c r="P152" s="85" t="str">
        <f>IFERROR(__xludf.DUMMYFUNCTION("REGEXEXTRACT(N152,"",\s*(-?[0-9.]+)"")"),"112.65515400132062")</f>
        <v>112.65515400132062</v>
      </c>
      <c r="Q152" s="109"/>
      <c r="R152" s="108"/>
      <c r="S152" s="108"/>
      <c r="T152" s="108"/>
      <c r="U152" s="108"/>
      <c r="V152" s="108"/>
      <c r="W152" s="108"/>
      <c r="X152" s="108"/>
      <c r="Y152" s="108"/>
      <c r="Z152" s="108"/>
      <c r="AA152" s="108"/>
      <c r="AB152" s="108"/>
      <c r="AC152" s="108"/>
      <c r="AD152" s="108"/>
      <c r="AE152" s="108"/>
    </row>
    <row r="153">
      <c r="A153" s="30">
        <f t="shared" si="2"/>
        <v>152</v>
      </c>
      <c r="B153" s="28" t="s">
        <v>3936</v>
      </c>
      <c r="C153" s="28" t="s">
        <v>3937</v>
      </c>
      <c r="D153" s="28" t="s">
        <v>34</v>
      </c>
      <c r="E153" s="28" t="s">
        <v>3938</v>
      </c>
      <c r="F153" s="28">
        <v>951.0</v>
      </c>
      <c r="G153" s="28" t="s">
        <v>21</v>
      </c>
      <c r="H153" s="28" t="s">
        <v>36</v>
      </c>
      <c r="I153" s="29">
        <v>46116.0</v>
      </c>
      <c r="J153" s="28" t="s">
        <v>23</v>
      </c>
      <c r="K153" s="30"/>
      <c r="L153" s="31">
        <v>0.4583333333333333</v>
      </c>
      <c r="M153" s="31">
        <v>0.9993055555555556</v>
      </c>
      <c r="N153" s="32" t="s">
        <v>3939</v>
      </c>
      <c r="O153" s="30" t="str">
        <f>IFERROR(__xludf.DUMMYFUNCTION("REGEXEXTRACT(N153,""^-?[0-9.]+"")"),"-7.268543303279916")</f>
        <v>-7.268543303279916</v>
      </c>
      <c r="P153" s="85" t="str">
        <f>IFERROR(__xludf.DUMMYFUNCTION("REGEXEXTRACT(N153,"",\s*(-?[0-9.]+)"")"),"112.73822676391039")</f>
        <v>112.73822676391039</v>
      </c>
      <c r="Q153" s="109"/>
      <c r="R153" s="108"/>
      <c r="S153" s="108"/>
      <c r="T153" s="108"/>
      <c r="U153" s="108"/>
      <c r="V153" s="108"/>
      <c r="W153" s="108"/>
      <c r="X153" s="108"/>
      <c r="Y153" s="108"/>
      <c r="Z153" s="108"/>
      <c r="AA153" s="108"/>
      <c r="AB153" s="108"/>
      <c r="AC153" s="108"/>
      <c r="AD153" s="108"/>
      <c r="AE153" s="108"/>
    </row>
    <row r="154">
      <c r="A154" s="30">
        <f t="shared" si="2"/>
        <v>153</v>
      </c>
      <c r="B154" s="28" t="s">
        <v>3931</v>
      </c>
      <c r="C154" s="28" t="s">
        <v>3932</v>
      </c>
      <c r="D154" s="28" t="s">
        <v>34</v>
      </c>
      <c r="E154" s="28" t="s">
        <v>3933</v>
      </c>
      <c r="F154" s="28">
        <v>1081.0</v>
      </c>
      <c r="G154" s="28" t="s">
        <v>21</v>
      </c>
      <c r="H154" s="28" t="s">
        <v>36</v>
      </c>
      <c r="I154" s="29">
        <v>46146.0</v>
      </c>
      <c r="J154" s="28" t="s">
        <v>23</v>
      </c>
      <c r="K154" s="30"/>
      <c r="L154" s="31">
        <v>0.0</v>
      </c>
      <c r="M154" s="31">
        <v>0.9993055555555556</v>
      </c>
      <c r="N154" s="32" t="s">
        <v>3934</v>
      </c>
      <c r="O154" s="30" t="str">
        <f>IFERROR(__xludf.DUMMYFUNCTION("REGEXEXTRACT(N154,""^-?[0-9.]+"")"),"-7.267646994257676")</f>
        <v>-7.267646994257676</v>
      </c>
      <c r="P154" s="85" t="str">
        <f>IFERROR(__xludf.DUMMYFUNCTION("REGEXEXTRACT(N154,"",\s*(-?[0-9.]+)"")"),"112.734277546412")</f>
        <v>112.734277546412</v>
      </c>
      <c r="Q154" s="109"/>
      <c r="R154" s="108"/>
      <c r="S154" s="108"/>
      <c r="T154" s="108"/>
      <c r="U154" s="108"/>
      <c r="V154" s="108"/>
      <c r="W154" s="108"/>
      <c r="X154" s="108"/>
      <c r="Y154" s="108"/>
      <c r="Z154" s="108"/>
      <c r="AA154" s="108"/>
      <c r="AB154" s="108"/>
      <c r="AC154" s="108"/>
      <c r="AD154" s="108"/>
      <c r="AE154" s="108"/>
    </row>
    <row r="155">
      <c r="A155" s="30">
        <f t="shared" si="2"/>
        <v>154</v>
      </c>
      <c r="B155" s="28" t="s">
        <v>2135</v>
      </c>
      <c r="C155" s="28" t="s">
        <v>4498</v>
      </c>
      <c r="D155" s="28" t="s">
        <v>34</v>
      </c>
      <c r="E155" s="28" t="s">
        <v>4499</v>
      </c>
      <c r="F155" s="28">
        <v>7784.0</v>
      </c>
      <c r="G155" s="28" t="s">
        <v>21</v>
      </c>
      <c r="H155" s="28" t="s">
        <v>221</v>
      </c>
      <c r="I155" s="29">
        <v>46177.0</v>
      </c>
      <c r="J155" s="28" t="s">
        <v>23</v>
      </c>
      <c r="K155" s="30"/>
      <c r="L155" s="31">
        <v>0.3541666666666667</v>
      </c>
      <c r="M155" s="31">
        <v>0.9479166666666666</v>
      </c>
      <c r="N155" s="32" t="s">
        <v>2138</v>
      </c>
      <c r="O155" s="30" t="str">
        <f>IFERROR(__xludf.DUMMYFUNCTION("REGEXEXTRACT(N155,""^-?[0-9.]+"")"),"-7.268218038096425")</f>
        <v>-7.268218038096425</v>
      </c>
      <c r="P155" s="85" t="str">
        <f>IFERROR(__xludf.DUMMYFUNCTION("REGEXEXTRACT(N155,"",\s*(-?[0-9.]+)"")"),"112.72940833122168")</f>
        <v>112.72940833122168</v>
      </c>
      <c r="Q155" s="109"/>
      <c r="R155" s="108"/>
      <c r="S155" s="108"/>
      <c r="T155" s="108"/>
      <c r="U155" s="108"/>
      <c r="V155" s="108"/>
      <c r="W155" s="108"/>
      <c r="X155" s="108"/>
      <c r="Y155" s="108"/>
      <c r="Z155" s="108"/>
      <c r="AA155" s="108"/>
      <c r="AB155" s="108"/>
      <c r="AC155" s="108"/>
      <c r="AD155" s="108"/>
      <c r="AE155" s="108"/>
    </row>
    <row r="156">
      <c r="A156" s="80">
        <f t="shared" si="2"/>
        <v>155</v>
      </c>
      <c r="B156" s="110" t="s">
        <v>3926</v>
      </c>
      <c r="C156" s="28" t="s">
        <v>3927</v>
      </c>
      <c r="D156" s="110" t="s">
        <v>34</v>
      </c>
      <c r="E156" s="28" t="s">
        <v>3928</v>
      </c>
      <c r="F156" s="110">
        <v>1286.0</v>
      </c>
      <c r="G156" s="110" t="s">
        <v>21</v>
      </c>
      <c r="H156" s="110" t="s">
        <v>22</v>
      </c>
      <c r="I156" s="111">
        <v>46116.0</v>
      </c>
      <c r="J156" s="110" t="s">
        <v>23</v>
      </c>
      <c r="K156" s="80"/>
      <c r="L156" s="112">
        <v>0.375</v>
      </c>
      <c r="M156" s="112">
        <v>0.875</v>
      </c>
      <c r="N156" s="113" t="s">
        <v>3929</v>
      </c>
      <c r="O156" s="80" t="str">
        <f>IFERROR(__xludf.DUMMYFUNCTION("REGEXEXTRACT(N156,""^-?[0-9.]+"")"),"-7.266265111722068")</f>
        <v>-7.266265111722068</v>
      </c>
      <c r="P156" s="81" t="str">
        <f>IFERROR(__xludf.DUMMYFUNCTION("REGEXEXTRACT(N156,"",\s*(-?[0-9.]+)"")"),"112.7672489360039")</f>
        <v>112.7672489360039</v>
      </c>
      <c r="Q156" s="114"/>
      <c r="R156" s="115"/>
      <c r="S156" s="115"/>
      <c r="T156" s="115"/>
      <c r="U156" s="115"/>
      <c r="V156" s="115"/>
      <c r="W156" s="115"/>
      <c r="X156" s="115"/>
      <c r="Y156" s="115"/>
      <c r="Z156" s="115"/>
      <c r="AA156" s="115"/>
      <c r="AB156" s="115"/>
      <c r="AC156" s="115"/>
      <c r="AD156" s="115"/>
      <c r="AE156" s="115"/>
    </row>
    <row r="157">
      <c r="A157" s="80">
        <f t="shared" si="2"/>
        <v>156</v>
      </c>
      <c r="B157" s="110" t="s">
        <v>838</v>
      </c>
      <c r="C157" s="28" t="s">
        <v>839</v>
      </c>
      <c r="D157" s="110" t="s">
        <v>19</v>
      </c>
      <c r="E157" s="28" t="s">
        <v>840</v>
      </c>
      <c r="F157" s="110">
        <v>736.0</v>
      </c>
      <c r="G157" s="110" t="s">
        <v>21</v>
      </c>
      <c r="H157" s="110" t="s">
        <v>649</v>
      </c>
      <c r="I157" s="111">
        <v>46207.0</v>
      </c>
      <c r="J157" s="110" t="s">
        <v>23</v>
      </c>
      <c r="K157" s="80"/>
      <c r="L157" s="112">
        <v>0.2916666666666667</v>
      </c>
      <c r="M157" s="112">
        <v>0.9166666666666666</v>
      </c>
      <c r="N157" s="113" t="s">
        <v>841</v>
      </c>
      <c r="O157" s="80" t="str">
        <f>IFERROR(__xludf.DUMMYFUNCTION("REGEXEXTRACT(N157,""^-?[0-9.]+"")"),"-7.285781355560393")</f>
        <v>-7.285781355560393</v>
      </c>
      <c r="P157" s="81" t="str">
        <f>IFERROR(__xludf.DUMMYFUNCTION("REGEXEXTRACT(N157,"",\s*(-?[0-9.]+)"")"),"112.73309167475753")</f>
        <v>112.73309167475753</v>
      </c>
      <c r="Q157" s="114"/>
      <c r="R157" s="115"/>
      <c r="S157" s="115"/>
      <c r="T157" s="115"/>
      <c r="U157" s="115"/>
      <c r="V157" s="115"/>
      <c r="W157" s="115"/>
      <c r="X157" s="115"/>
      <c r="Y157" s="115"/>
      <c r="Z157" s="115"/>
      <c r="AA157" s="115"/>
      <c r="AB157" s="115"/>
      <c r="AC157" s="115"/>
      <c r="AD157" s="115"/>
      <c r="AE157" s="115"/>
    </row>
    <row r="158">
      <c r="A158" s="80">
        <f t="shared" si="2"/>
        <v>157</v>
      </c>
      <c r="B158" s="110" t="s">
        <v>3920</v>
      </c>
      <c r="C158" s="28" t="s">
        <v>3921</v>
      </c>
      <c r="D158" s="110" t="s">
        <v>34</v>
      </c>
      <c r="E158" s="28" t="s">
        <v>3922</v>
      </c>
      <c r="F158" s="110">
        <v>9522.0</v>
      </c>
      <c r="G158" s="110" t="s">
        <v>21</v>
      </c>
      <c r="H158" s="110" t="s">
        <v>3923</v>
      </c>
      <c r="I158" s="111">
        <v>46207.0</v>
      </c>
      <c r="J158" s="110" t="s">
        <v>23</v>
      </c>
      <c r="K158" s="80"/>
      <c r="L158" s="112">
        <v>0.4583333333333333</v>
      </c>
      <c r="M158" s="112">
        <v>0.8958333333333334</v>
      </c>
      <c r="N158" s="113" t="s">
        <v>3924</v>
      </c>
      <c r="O158" s="80" t="str">
        <f>IFERROR(__xludf.DUMMYFUNCTION("REGEXEXTRACT(N158,""^-?[0-9.]+"")"),"-7.289271987052663")</f>
        <v>-7.289271987052663</v>
      </c>
      <c r="P158" s="81" t="str">
        <f>IFERROR(__xludf.DUMMYFUNCTION("REGEXEXTRACT(N158,"",\s*(-?[0-9.]+)"")"),"112.73133214563875")</f>
        <v>112.73133214563875</v>
      </c>
      <c r="Q158" s="114"/>
      <c r="R158" s="115"/>
      <c r="S158" s="115"/>
      <c r="T158" s="115"/>
      <c r="U158" s="115"/>
      <c r="V158" s="115"/>
      <c r="W158" s="115"/>
      <c r="X158" s="115"/>
      <c r="Y158" s="115"/>
      <c r="Z158" s="115"/>
      <c r="AA158" s="115"/>
      <c r="AB158" s="115"/>
      <c r="AC158" s="115"/>
      <c r="AD158" s="115"/>
      <c r="AE158" s="115"/>
    </row>
    <row r="159">
      <c r="A159" s="80">
        <f t="shared" si="2"/>
        <v>158</v>
      </c>
      <c r="B159" s="110" t="s">
        <v>879</v>
      </c>
      <c r="C159" s="28" t="s">
        <v>880</v>
      </c>
      <c r="D159" s="110" t="s">
        <v>34</v>
      </c>
      <c r="E159" s="28" t="s">
        <v>881</v>
      </c>
      <c r="F159" s="110">
        <v>6546.0</v>
      </c>
      <c r="G159" s="110" t="s">
        <v>21</v>
      </c>
      <c r="H159" s="110" t="s">
        <v>882</v>
      </c>
      <c r="I159" s="111">
        <v>46177.0</v>
      </c>
      <c r="J159" s="110" t="s">
        <v>23</v>
      </c>
      <c r="K159" s="80"/>
      <c r="L159" s="112">
        <v>0.2916666666666667</v>
      </c>
      <c r="M159" s="112">
        <v>0.9166666666666666</v>
      </c>
      <c r="N159" s="113" t="s">
        <v>883</v>
      </c>
      <c r="O159" s="80" t="str">
        <f>IFERROR(__xludf.DUMMYFUNCTION("REGEXEXTRACT(N159,""^-?[0-9.]+"")"),"-7.282971803146515")</f>
        <v>-7.282971803146515</v>
      </c>
      <c r="P159" s="81" t="str">
        <f>IFERROR(__xludf.DUMMYFUNCTION("REGEXEXTRACT(N159,"",\s*(-?[0-9.]+)"")"),"112.73519452663122")</f>
        <v>112.73519452663122</v>
      </c>
      <c r="Q159" s="114"/>
      <c r="R159" s="115"/>
      <c r="S159" s="115"/>
      <c r="T159" s="115"/>
      <c r="U159" s="115"/>
      <c r="V159" s="115"/>
      <c r="W159" s="115"/>
      <c r="X159" s="115"/>
      <c r="Y159" s="115"/>
      <c r="Z159" s="115"/>
      <c r="AA159" s="115"/>
      <c r="AB159" s="115"/>
      <c r="AC159" s="115"/>
      <c r="AD159" s="115"/>
      <c r="AE159" s="115"/>
    </row>
    <row r="160">
      <c r="A160" s="80">
        <f t="shared" si="2"/>
        <v>159</v>
      </c>
      <c r="B160" s="52" t="s">
        <v>3908</v>
      </c>
      <c r="C160" s="28" t="s">
        <v>3909</v>
      </c>
      <c r="D160" s="110" t="s">
        <v>34</v>
      </c>
      <c r="E160" s="28" t="s">
        <v>3910</v>
      </c>
      <c r="F160" s="28">
        <v>1358.0</v>
      </c>
      <c r="G160" s="110" t="s">
        <v>21</v>
      </c>
      <c r="H160" s="28" t="s">
        <v>2024</v>
      </c>
      <c r="I160" s="29">
        <v>46269.0</v>
      </c>
      <c r="J160" s="110" t="s">
        <v>23</v>
      </c>
      <c r="K160" s="30"/>
      <c r="L160" s="31">
        <v>0.375</v>
      </c>
      <c r="M160" s="31">
        <v>0.9166666666666666</v>
      </c>
      <c r="N160" s="32" t="s">
        <v>3911</v>
      </c>
      <c r="O160" s="80" t="str">
        <f>IFERROR(__xludf.DUMMYFUNCTION("REGEXEXTRACT(N160,""^-?[0-9.]+"")"),"-7.230908428517518")</f>
        <v>-7.230908428517518</v>
      </c>
      <c r="P160" s="81" t="str">
        <f>IFERROR(__xludf.DUMMYFUNCTION("REGEXEXTRACT(N160,"",\s*(-?[0-9.]+)"")"),"112.74097234011323")</f>
        <v>112.74097234011323</v>
      </c>
      <c r="Q160" s="109"/>
      <c r="R160" s="108"/>
      <c r="S160" s="108"/>
      <c r="T160" s="108"/>
      <c r="U160" s="108"/>
      <c r="V160" s="108"/>
      <c r="W160" s="108"/>
      <c r="X160" s="108"/>
      <c r="Y160" s="108"/>
      <c r="Z160" s="108"/>
      <c r="AA160" s="108"/>
      <c r="AB160" s="108"/>
      <c r="AC160" s="108"/>
      <c r="AD160" s="108"/>
      <c r="AE160" s="108"/>
    </row>
    <row r="161">
      <c r="A161" s="80">
        <f t="shared" si="2"/>
        <v>160</v>
      </c>
      <c r="B161" s="52" t="s">
        <v>1781</v>
      </c>
      <c r="C161" s="28" t="s">
        <v>4500</v>
      </c>
      <c r="D161" s="110" t="s">
        <v>34</v>
      </c>
      <c r="E161" s="28" t="s">
        <v>4501</v>
      </c>
      <c r="F161" s="28">
        <v>3093.0</v>
      </c>
      <c r="G161" s="110" t="s">
        <v>21</v>
      </c>
      <c r="H161" s="28" t="s">
        <v>22</v>
      </c>
      <c r="I161" s="29">
        <v>46026.0</v>
      </c>
      <c r="J161" s="110" t="s">
        <v>23</v>
      </c>
      <c r="K161" s="30"/>
      <c r="L161" s="31">
        <v>0.3333333333333333</v>
      </c>
      <c r="M161" s="31">
        <v>0.9993055555555556</v>
      </c>
      <c r="N161" s="32" t="s">
        <v>1784</v>
      </c>
      <c r="O161" s="80" t="str">
        <f>IFERROR(__xludf.DUMMYFUNCTION("REGEXEXTRACT(N161,""^-?[0-9.]+"")"),"-7.240394534348085")</f>
        <v>-7.240394534348085</v>
      </c>
      <c r="P161" s="81" t="str">
        <f>IFERROR(__xludf.DUMMYFUNCTION("REGEXEXTRACT(N161,"",\s*(-?[0-9.]+)"")"),"112.74364299325413")</f>
        <v>112.74364299325413</v>
      </c>
      <c r="Q161" s="109"/>
      <c r="R161" s="108"/>
      <c r="S161" s="108"/>
      <c r="T161" s="108"/>
      <c r="U161" s="108"/>
      <c r="V161" s="108"/>
      <c r="W161" s="108"/>
      <c r="X161" s="108"/>
      <c r="Y161" s="108"/>
      <c r="Z161" s="108"/>
      <c r="AA161" s="108"/>
      <c r="AB161" s="108"/>
      <c r="AC161" s="108"/>
      <c r="AD161" s="108"/>
      <c r="AE161" s="108"/>
    </row>
    <row r="162">
      <c r="A162" s="80">
        <f t="shared" si="2"/>
        <v>161</v>
      </c>
      <c r="B162" s="52" t="s">
        <v>3293</v>
      </c>
      <c r="C162" s="28" t="s">
        <v>3294</v>
      </c>
      <c r="D162" s="110" t="s">
        <v>34</v>
      </c>
      <c r="E162" s="28" t="s">
        <v>3295</v>
      </c>
      <c r="F162" s="28">
        <v>8330.0</v>
      </c>
      <c r="G162" s="110" t="s">
        <v>21</v>
      </c>
      <c r="H162" s="28" t="s">
        <v>4502</v>
      </c>
      <c r="I162" s="29">
        <v>46116.0</v>
      </c>
      <c r="J162" s="110" t="s">
        <v>23</v>
      </c>
      <c r="K162" s="30"/>
      <c r="L162" s="31">
        <v>0.375</v>
      </c>
      <c r="M162" s="31">
        <v>0.8333333333333334</v>
      </c>
      <c r="N162" s="32" t="s">
        <v>3296</v>
      </c>
      <c r="O162" s="80" t="str">
        <f>IFERROR(__xludf.DUMMYFUNCTION("REGEXEXTRACT(N162,""^-?[0-9.]+"")"),"-7.327857680352759")</f>
        <v>-7.327857680352759</v>
      </c>
      <c r="P162" s="81" t="str">
        <f>IFERROR(__xludf.DUMMYFUNCTION("REGEXEXTRACT(N162,"",\s*(-?[0-9.]+)"")"),"112.73202985525755")</f>
        <v>112.73202985525755</v>
      </c>
      <c r="Q162" s="109"/>
      <c r="R162" s="108"/>
      <c r="S162" s="108"/>
      <c r="T162" s="108"/>
      <c r="U162" s="108"/>
      <c r="V162" s="108"/>
      <c r="W162" s="108"/>
      <c r="X162" s="108"/>
      <c r="Y162" s="108"/>
      <c r="Z162" s="108"/>
      <c r="AA162" s="108"/>
      <c r="AB162" s="108"/>
      <c r="AC162" s="108"/>
      <c r="AD162" s="108"/>
      <c r="AE162" s="108"/>
    </row>
    <row r="163">
      <c r="A163" s="80">
        <f t="shared" si="2"/>
        <v>162</v>
      </c>
      <c r="B163" s="52" t="s">
        <v>2842</v>
      </c>
      <c r="C163" s="28" t="s">
        <v>2843</v>
      </c>
      <c r="D163" s="110" t="s">
        <v>34</v>
      </c>
      <c r="E163" s="28" t="s">
        <v>2844</v>
      </c>
      <c r="F163" s="28">
        <v>4442.0</v>
      </c>
      <c r="G163" s="110" t="s">
        <v>21</v>
      </c>
      <c r="H163" s="28" t="s">
        <v>2845</v>
      </c>
      <c r="I163" s="29">
        <v>46177.0</v>
      </c>
      <c r="J163" s="110" t="s">
        <v>23</v>
      </c>
      <c r="K163" s="30"/>
      <c r="L163" s="31">
        <v>0.2916666666666667</v>
      </c>
      <c r="M163" s="31">
        <v>0.9166666666666666</v>
      </c>
      <c r="N163" s="32" t="s">
        <v>4503</v>
      </c>
      <c r="O163" s="80" t="str">
        <f>IFERROR(__xludf.DUMMYFUNCTION("REGEXEXTRACT(N163,""^-?[0-9.]+"")"),"-7.280345253256878")</f>
        <v>-7.280345253256878</v>
      </c>
      <c r="P163" s="81" t="str">
        <f>IFERROR(__xludf.DUMMYFUNCTION("REGEXEXTRACT(N163,"",\s*(-?[0-9.]+)"")"),"112.76890649325412")</f>
        <v>112.76890649325412</v>
      </c>
      <c r="Q163" s="109"/>
      <c r="R163" s="108"/>
      <c r="S163" s="108"/>
      <c r="T163" s="108"/>
      <c r="U163" s="108"/>
      <c r="V163" s="108"/>
      <c r="W163" s="108"/>
      <c r="X163" s="108"/>
      <c r="Y163" s="108"/>
      <c r="Z163" s="108"/>
      <c r="AA163" s="108"/>
      <c r="AB163" s="108"/>
      <c r="AC163" s="108"/>
      <c r="AD163" s="108"/>
      <c r="AE163" s="108"/>
    </row>
    <row r="164">
      <c r="A164" s="80">
        <f t="shared" si="2"/>
        <v>163</v>
      </c>
      <c r="B164" s="52" t="s">
        <v>2194</v>
      </c>
      <c r="C164" s="28" t="s">
        <v>4504</v>
      </c>
      <c r="D164" s="110" t="s">
        <v>34</v>
      </c>
      <c r="E164" s="28" t="s">
        <v>4505</v>
      </c>
      <c r="F164" s="28">
        <v>1808.0</v>
      </c>
      <c r="G164" s="110" t="s">
        <v>21</v>
      </c>
      <c r="H164" s="28" t="s">
        <v>649</v>
      </c>
      <c r="I164" s="29">
        <v>46085.0</v>
      </c>
      <c r="J164" s="110" t="s">
        <v>23</v>
      </c>
      <c r="K164" s="30"/>
      <c r="L164" s="31">
        <v>0.375</v>
      </c>
      <c r="M164" s="31">
        <v>0.9166666666666666</v>
      </c>
      <c r="N164" s="32" t="s">
        <v>4506</v>
      </c>
      <c r="O164" s="80" t="str">
        <f>IFERROR(__xludf.DUMMYFUNCTION("REGEXEXTRACT(N164,""^-?[0-9.]+"")"),"-7.2724640937879705")</f>
        <v>-7.2724640937879705</v>
      </c>
      <c r="P164" s="81" t="str">
        <f>IFERROR(__xludf.DUMMYFUNCTION("REGEXEXTRACT(N164,"",\s*(-?[0-9.]+)"")"),"112.74804264307652")</f>
        <v>112.74804264307652</v>
      </c>
      <c r="Q164" s="109"/>
      <c r="R164" s="108"/>
      <c r="S164" s="108"/>
      <c r="T164" s="108"/>
      <c r="U164" s="108"/>
      <c r="V164" s="108"/>
      <c r="W164" s="108"/>
      <c r="X164" s="108"/>
      <c r="Y164" s="108"/>
      <c r="Z164" s="108"/>
      <c r="AA164" s="108"/>
      <c r="AB164" s="108"/>
      <c r="AC164" s="108"/>
      <c r="AD164" s="108"/>
      <c r="AE164" s="108"/>
    </row>
    <row r="165">
      <c r="A165" s="80">
        <f t="shared" si="2"/>
        <v>164</v>
      </c>
      <c r="B165" s="52" t="s">
        <v>2715</v>
      </c>
      <c r="C165" s="28" t="s">
        <v>2716</v>
      </c>
      <c r="D165" s="110" t="s">
        <v>34</v>
      </c>
      <c r="E165" s="28" t="s">
        <v>2717</v>
      </c>
      <c r="F165" s="28">
        <v>295.0</v>
      </c>
      <c r="G165" s="110" t="s">
        <v>21</v>
      </c>
      <c r="H165" s="28" t="s">
        <v>29</v>
      </c>
      <c r="I165" s="29">
        <v>46146.0</v>
      </c>
      <c r="J165" s="110" t="s">
        <v>23</v>
      </c>
      <c r="K165" s="30"/>
      <c r="L165" s="31">
        <v>0.25</v>
      </c>
      <c r="M165" s="31">
        <v>0.9166666666666666</v>
      </c>
      <c r="N165" s="32" t="s">
        <v>4507</v>
      </c>
      <c r="O165" s="80" t="str">
        <f>IFERROR(__xludf.DUMMYFUNCTION("REGEXEXTRACT(N165,""^-?[0-9.]+"")"),"-7.284704513095381")</f>
        <v>-7.284704513095381</v>
      </c>
      <c r="P165" s="81" t="str">
        <f>IFERROR(__xludf.DUMMYFUNCTION("REGEXEXTRACT(N165,"",\s*(-?[0-9.]+)"")"),"112.73939817790979")</f>
        <v>112.73939817790979</v>
      </c>
      <c r="Q165" s="109"/>
      <c r="R165" s="108"/>
      <c r="S165" s="108"/>
      <c r="T165" s="108"/>
      <c r="U165" s="108"/>
      <c r="V165" s="108"/>
      <c r="W165" s="108"/>
      <c r="X165" s="108"/>
      <c r="Y165" s="108"/>
      <c r="Z165" s="108"/>
      <c r="AA165" s="108"/>
      <c r="AB165" s="108"/>
      <c r="AC165" s="108"/>
      <c r="AD165" s="108"/>
      <c r="AE165" s="108"/>
    </row>
    <row r="166">
      <c r="A166" s="80">
        <f t="shared" si="2"/>
        <v>165</v>
      </c>
      <c r="B166" s="52" t="s">
        <v>3882</v>
      </c>
      <c r="C166" s="28" t="s">
        <v>3883</v>
      </c>
      <c r="D166" s="110" t="s">
        <v>34</v>
      </c>
      <c r="E166" s="28" t="s">
        <v>3884</v>
      </c>
      <c r="F166" s="28">
        <v>1480.0</v>
      </c>
      <c r="G166" s="110" t="s">
        <v>21</v>
      </c>
      <c r="H166" s="28">
        <v>250000.0</v>
      </c>
      <c r="I166" s="29">
        <v>46207.0</v>
      </c>
      <c r="J166" s="110" t="s">
        <v>23</v>
      </c>
      <c r="K166" s="30"/>
      <c r="L166" s="31">
        <v>0.25</v>
      </c>
      <c r="M166" s="31">
        <v>0.9166666666666666</v>
      </c>
      <c r="N166" s="32" t="s">
        <v>3885</v>
      </c>
      <c r="O166" s="80" t="str">
        <f>IFERROR(__xludf.DUMMYFUNCTION("REGEXEXTRACT(N166,""^-?[0-9.]+"")"),"-7.259352309426676")</f>
        <v>-7.259352309426676</v>
      </c>
      <c r="P166" s="81" t="str">
        <f>IFERROR(__xludf.DUMMYFUNCTION("REGEXEXTRACT(N166,"",\s*(-?[0-9.]+)"")"),"112.73508220911657")</f>
        <v>112.73508220911657</v>
      </c>
      <c r="Q166" s="109"/>
      <c r="R166" s="108"/>
      <c r="S166" s="108"/>
      <c r="T166" s="108"/>
      <c r="U166" s="108"/>
      <c r="V166" s="108"/>
      <c r="W166" s="108"/>
      <c r="X166" s="108"/>
      <c r="Y166" s="108"/>
      <c r="Z166" s="108"/>
      <c r="AA166" s="108"/>
      <c r="AB166" s="108"/>
      <c r="AC166" s="108"/>
      <c r="AD166" s="108"/>
      <c r="AE166" s="108"/>
    </row>
    <row r="167">
      <c r="A167" s="80">
        <f t="shared" si="2"/>
        <v>166</v>
      </c>
      <c r="B167" s="52" t="s">
        <v>1232</v>
      </c>
      <c r="C167" s="28" t="s">
        <v>1233</v>
      </c>
      <c r="D167" s="110" t="s">
        <v>34</v>
      </c>
      <c r="E167" s="28" t="s">
        <v>1234</v>
      </c>
      <c r="F167" s="28">
        <v>9108.0</v>
      </c>
      <c r="G167" s="110" t="s">
        <v>21</v>
      </c>
      <c r="H167" s="28" t="s">
        <v>22</v>
      </c>
      <c r="I167" s="29">
        <v>46207.0</v>
      </c>
      <c r="J167" s="110" t="s">
        <v>23</v>
      </c>
      <c r="K167" s="30"/>
      <c r="L167" s="31">
        <v>0.3333333333333333</v>
      </c>
      <c r="M167" s="31">
        <v>0.16666666666666666</v>
      </c>
      <c r="N167" s="32" t="s">
        <v>1235</v>
      </c>
      <c r="O167" s="80" t="str">
        <f>IFERROR(__xludf.DUMMYFUNCTION("REGEXEXTRACT(N167,""^-?[0-9.]+"")"),"-7.294735688780375")</f>
        <v>-7.294735688780375</v>
      </c>
      <c r="P167" s="81" t="str">
        <f>IFERROR(__xludf.DUMMYFUNCTION("REGEXEXTRACT(N167,"",\s*(-?[0-9.]+)"")"),"112.76254534722")</f>
        <v>112.76254534722</v>
      </c>
      <c r="Q167" s="109"/>
      <c r="R167" s="108"/>
      <c r="S167" s="108"/>
      <c r="T167" s="108"/>
      <c r="U167" s="108"/>
      <c r="V167" s="108"/>
      <c r="W167" s="108"/>
      <c r="X167" s="108"/>
      <c r="Y167" s="108"/>
      <c r="Z167" s="108"/>
      <c r="AA167" s="108"/>
      <c r="AB167" s="108"/>
      <c r="AC167" s="108"/>
      <c r="AD167" s="108"/>
      <c r="AE167" s="108"/>
    </row>
    <row r="168">
      <c r="A168" s="80">
        <f t="shared" si="2"/>
        <v>167</v>
      </c>
      <c r="B168" s="52" t="s">
        <v>4508</v>
      </c>
      <c r="C168" s="28" t="s">
        <v>4509</v>
      </c>
      <c r="D168" s="110" t="s">
        <v>34</v>
      </c>
      <c r="E168" s="28" t="s">
        <v>4510</v>
      </c>
      <c r="F168" s="28">
        <v>2246.0</v>
      </c>
      <c r="G168" s="110" t="s">
        <v>21</v>
      </c>
      <c r="H168" s="28" t="s">
        <v>36</v>
      </c>
      <c r="I168" s="29">
        <v>46207.0</v>
      </c>
      <c r="J168" s="110" t="s">
        <v>23</v>
      </c>
      <c r="K168" s="30"/>
      <c r="L168" s="31">
        <v>0.25</v>
      </c>
      <c r="M168" s="31">
        <v>0.875</v>
      </c>
      <c r="N168" s="32" t="s">
        <v>4511</v>
      </c>
      <c r="O168" s="80" t="str">
        <f>IFERROR(__xludf.DUMMYFUNCTION("REGEXEXTRACT(N168,""^-?[0-9.]+"")"),"-7.259216613230063")</f>
        <v>-7.259216613230063</v>
      </c>
      <c r="P168" s="81" t="str">
        <f>IFERROR(__xludf.DUMMYFUNCTION("REGEXEXTRACT(N168,"",\s*(-?[0-9.]+)"")"),"112.74975121021893")</f>
        <v>112.74975121021893</v>
      </c>
      <c r="Q168" s="109"/>
      <c r="R168" s="108"/>
      <c r="S168" s="108"/>
      <c r="T168" s="108"/>
      <c r="U168" s="108"/>
      <c r="V168" s="108"/>
      <c r="W168" s="108"/>
      <c r="X168" s="108"/>
      <c r="Y168" s="108"/>
      <c r="Z168" s="108"/>
      <c r="AA168" s="108"/>
      <c r="AB168" s="108"/>
      <c r="AC168" s="108"/>
      <c r="AD168" s="108"/>
      <c r="AE168" s="108"/>
    </row>
    <row r="169">
      <c r="A169" s="80">
        <f t="shared" si="2"/>
        <v>168</v>
      </c>
      <c r="B169" s="52" t="s">
        <v>971</v>
      </c>
      <c r="C169" s="28" t="s">
        <v>4512</v>
      </c>
      <c r="D169" s="110" t="s">
        <v>34</v>
      </c>
      <c r="E169" s="28" t="s">
        <v>4513</v>
      </c>
      <c r="F169" s="28">
        <v>763.0</v>
      </c>
      <c r="G169" s="110" t="s">
        <v>21</v>
      </c>
      <c r="H169" s="28" t="s">
        <v>649</v>
      </c>
      <c r="I169" s="29">
        <v>46116.0</v>
      </c>
      <c r="J169" s="110" t="s">
        <v>23</v>
      </c>
      <c r="K169" s="30"/>
      <c r="L169" s="31">
        <v>0.4166666666666667</v>
      </c>
      <c r="M169" s="31">
        <v>0.8958333333333334</v>
      </c>
      <c r="N169" s="32" t="s">
        <v>4514</v>
      </c>
      <c r="O169" s="80" t="str">
        <f>IFERROR(__xludf.DUMMYFUNCTION("REGEXEXTRACT(N169,""^-?[0-9.]+"")"),"-7.266926189546964")</f>
        <v>-7.266926189546964</v>
      </c>
      <c r="P169" s="81" t="str">
        <f>IFERROR(__xludf.DUMMYFUNCTION("REGEXEXTRACT(N169,"",\s*(-?[0-9.]+)"")"),"112.75259224907369")</f>
        <v>112.75259224907369</v>
      </c>
      <c r="Q169" s="109"/>
      <c r="R169" s="108"/>
      <c r="S169" s="108"/>
      <c r="T169" s="108"/>
      <c r="U169" s="108"/>
      <c r="V169" s="108"/>
      <c r="W169" s="108"/>
      <c r="X169" s="108"/>
      <c r="Y169" s="108"/>
      <c r="Z169" s="108"/>
      <c r="AA169" s="108"/>
      <c r="AB169" s="108"/>
      <c r="AC169" s="108"/>
      <c r="AD169" s="108"/>
      <c r="AE169" s="108"/>
    </row>
    <row r="170">
      <c r="A170" s="116">
        <f t="shared" si="2"/>
        <v>169</v>
      </c>
      <c r="B170" s="117" t="s">
        <v>2696</v>
      </c>
      <c r="C170" s="118" t="s">
        <v>2697</v>
      </c>
      <c r="D170" s="117" t="s">
        <v>46</v>
      </c>
      <c r="E170" s="119" t="s">
        <v>2698</v>
      </c>
      <c r="F170" s="117">
        <v>212.0</v>
      </c>
      <c r="G170" s="120" t="s">
        <v>21</v>
      </c>
      <c r="H170" s="117">
        <v>0.0</v>
      </c>
      <c r="I170" s="121">
        <v>46146.0</v>
      </c>
      <c r="J170" s="120" t="s">
        <v>23</v>
      </c>
      <c r="K170" s="122"/>
      <c r="L170" s="123">
        <v>0.0</v>
      </c>
      <c r="M170" s="123">
        <v>0.9993055555555556</v>
      </c>
      <c r="N170" s="117" t="s">
        <v>4515</v>
      </c>
      <c r="O170" s="116" t="str">
        <f>IFERROR(__xludf.DUMMYFUNCTION("REGEXEXTRACT(N170,""^-?[0-9.]+"")"),"-7.263481759794532")</f>
        <v>-7.263481759794532</v>
      </c>
      <c r="P170" s="124" t="str">
        <f>IFERROR(__xludf.DUMMYFUNCTION("REGEXEXTRACT(N170,"",\s*(-?[0-9.]+)"")"),"112.74283849325414")</f>
        <v>112.74283849325414</v>
      </c>
      <c r="Q170" s="122"/>
      <c r="R170" s="122"/>
      <c r="S170" s="122"/>
      <c r="T170" s="122"/>
      <c r="U170" s="122"/>
      <c r="V170" s="122"/>
      <c r="W170" s="122"/>
      <c r="X170" s="122"/>
      <c r="Y170" s="122"/>
      <c r="Z170" s="122"/>
      <c r="AA170" s="122"/>
      <c r="AB170" s="122"/>
      <c r="AC170" s="122"/>
      <c r="AD170" s="122"/>
      <c r="AE170" s="122"/>
    </row>
    <row r="171">
      <c r="A171" s="116">
        <f t="shared" si="2"/>
        <v>170</v>
      </c>
      <c r="B171" s="117" t="s">
        <v>44</v>
      </c>
      <c r="C171" s="119" t="s">
        <v>45</v>
      </c>
      <c r="D171" s="117" t="s">
        <v>46</v>
      </c>
      <c r="E171" s="119" t="s">
        <v>47</v>
      </c>
      <c r="F171" s="117">
        <v>217.0</v>
      </c>
      <c r="G171" s="117" t="s">
        <v>21</v>
      </c>
      <c r="H171" s="117">
        <v>0.0</v>
      </c>
      <c r="I171" s="121">
        <v>46238.0</v>
      </c>
      <c r="J171" s="120" t="s">
        <v>23</v>
      </c>
      <c r="K171" s="122"/>
      <c r="L171" s="123">
        <v>0.0</v>
      </c>
      <c r="M171" s="123">
        <v>0.9993055555555556</v>
      </c>
      <c r="N171" s="125" t="s">
        <v>48</v>
      </c>
      <c r="O171" s="116" t="str">
        <f>IFERROR(__xludf.DUMMYFUNCTION("REGEXEXTRACT(N171,""^-?[0-9.]+"")"),"-7.260153182222541")</f>
        <v>-7.260153182222541</v>
      </c>
      <c r="P171" s="124" t="str">
        <f>IFERROR(__xludf.DUMMYFUNCTION("REGEXEXTRACT(N171,"",\s*(-?[0-9.]+)"")"),"112.73950248957301")</f>
        <v>112.73950248957301</v>
      </c>
      <c r="Q171" s="126"/>
      <c r="R171" s="122"/>
      <c r="S171" s="122"/>
      <c r="T171" s="122"/>
      <c r="U171" s="122"/>
      <c r="V171" s="122"/>
      <c r="W171" s="122"/>
      <c r="X171" s="122"/>
      <c r="Y171" s="122"/>
      <c r="Z171" s="122"/>
      <c r="AA171" s="122"/>
      <c r="AB171" s="122"/>
      <c r="AC171" s="122"/>
      <c r="AD171" s="122"/>
      <c r="AE171" s="122"/>
    </row>
    <row r="172">
      <c r="A172" s="116">
        <f t="shared" si="2"/>
        <v>171</v>
      </c>
      <c r="B172" s="117" t="s">
        <v>4516</v>
      </c>
      <c r="C172" s="119" t="s">
        <v>4517</v>
      </c>
      <c r="D172" s="117" t="s">
        <v>46</v>
      </c>
      <c r="E172" s="119" t="s">
        <v>4518</v>
      </c>
      <c r="F172" s="117">
        <v>13781.0</v>
      </c>
      <c r="G172" s="117" t="s">
        <v>21</v>
      </c>
      <c r="H172" s="117">
        <v>0.0</v>
      </c>
      <c r="I172" s="121">
        <v>46177.0</v>
      </c>
      <c r="J172" s="120" t="s">
        <v>23</v>
      </c>
      <c r="K172" s="122"/>
      <c r="L172" s="123">
        <v>0.0</v>
      </c>
      <c r="M172" s="123">
        <v>0.9993055555555556</v>
      </c>
      <c r="N172" s="125" t="s">
        <v>4519</v>
      </c>
      <c r="O172" s="116" t="str">
        <f>IFERROR(__xludf.DUMMYFUNCTION("REGEXEXTRACT(N172,""^-?[0-9.]+"")"),"-7.223417996962583")</f>
        <v>-7.223417996962583</v>
      </c>
      <c r="P172" s="124" t="str">
        <f>IFERROR(__xludf.DUMMYFUNCTION("REGEXEXTRACT(N172,"",\s*(-?[0-9.]+)"")"),"112.78839820164026")</f>
        <v>112.78839820164026</v>
      </c>
      <c r="Q172" s="126"/>
      <c r="R172" s="122"/>
      <c r="S172" s="122"/>
      <c r="T172" s="122"/>
      <c r="U172" s="122"/>
      <c r="V172" s="122"/>
      <c r="W172" s="122"/>
      <c r="X172" s="122"/>
      <c r="Y172" s="122"/>
      <c r="Z172" s="122"/>
      <c r="AA172" s="122"/>
      <c r="AB172" s="122"/>
      <c r="AC172" s="122"/>
      <c r="AD172" s="122"/>
      <c r="AE172" s="122"/>
    </row>
    <row r="173">
      <c r="A173" s="116">
        <f t="shared" si="2"/>
        <v>172</v>
      </c>
      <c r="B173" s="117" t="s">
        <v>2604</v>
      </c>
      <c r="C173" s="119" t="s">
        <v>2605</v>
      </c>
      <c r="D173" s="117" t="s">
        <v>46</v>
      </c>
      <c r="E173" s="119" t="s">
        <v>2606</v>
      </c>
      <c r="F173" s="117">
        <v>187.0</v>
      </c>
      <c r="G173" s="117" t="s">
        <v>21</v>
      </c>
      <c r="H173" s="117">
        <v>0.0</v>
      </c>
      <c r="I173" s="121">
        <v>46207.0</v>
      </c>
      <c r="J173" s="120" t="s">
        <v>23</v>
      </c>
      <c r="K173" s="122"/>
      <c r="L173" s="123">
        <v>0.25</v>
      </c>
      <c r="M173" s="123">
        <v>0.8756944444444444</v>
      </c>
      <c r="N173" s="125" t="s">
        <v>4520</v>
      </c>
      <c r="O173" s="116" t="str">
        <f>IFERROR(__xludf.DUMMYFUNCTION("REGEXEXTRACT(N173,""^-?[0-9.]+"")"),"-7.252757380316701")</f>
        <v>-7.252757380316701</v>
      </c>
      <c r="P173" s="124" t="str">
        <f>IFERROR(__xludf.DUMMYFUNCTION("REGEXEXTRACT(N173,"",\s*(-?[0-9.]+)"")"),"112.74754813587776")</f>
        <v>112.74754813587776</v>
      </c>
      <c r="Q173" s="126"/>
      <c r="R173" s="122"/>
      <c r="S173" s="122"/>
      <c r="T173" s="122"/>
      <c r="U173" s="122"/>
      <c r="V173" s="122"/>
      <c r="W173" s="122"/>
      <c r="X173" s="122"/>
      <c r="Y173" s="122"/>
      <c r="Z173" s="122"/>
      <c r="AA173" s="122"/>
      <c r="AB173" s="122"/>
      <c r="AC173" s="122"/>
      <c r="AD173" s="122"/>
      <c r="AE173" s="122"/>
    </row>
    <row r="174">
      <c r="A174" s="116">
        <f t="shared" si="2"/>
        <v>173</v>
      </c>
      <c r="B174" s="117" t="s">
        <v>1113</v>
      </c>
      <c r="C174" s="119" t="s">
        <v>1114</v>
      </c>
      <c r="D174" s="117" t="s">
        <v>46</v>
      </c>
      <c r="E174" s="119" t="s">
        <v>1115</v>
      </c>
      <c r="F174" s="117">
        <v>3553.0</v>
      </c>
      <c r="G174" s="117" t="s">
        <v>21</v>
      </c>
      <c r="H174" s="117">
        <v>0.0</v>
      </c>
      <c r="I174" s="121">
        <v>46146.0</v>
      </c>
      <c r="J174" s="120" t="s">
        <v>23</v>
      </c>
      <c r="K174" s="122"/>
      <c r="L174" s="123">
        <v>0.25</v>
      </c>
      <c r="M174" s="123">
        <v>0.875</v>
      </c>
      <c r="N174" s="125" t="s">
        <v>1116</v>
      </c>
      <c r="O174" s="116" t="str">
        <f>IFERROR(__xludf.DUMMYFUNCTION("REGEXEXTRACT(N174,""^-?[0-9.]+"")"),"-7.240776499435273")</f>
        <v>-7.240776499435273</v>
      </c>
      <c r="P174" s="124" t="str">
        <f>IFERROR(__xludf.DUMMYFUNCTION("REGEXEXTRACT(N174,"",\s*(-?[0-9.]+)"")"),"112.6250084")</f>
        <v>112.6250084</v>
      </c>
      <c r="Q174" s="126"/>
      <c r="R174" s="122"/>
      <c r="S174" s="122"/>
      <c r="T174" s="122"/>
      <c r="U174" s="122"/>
      <c r="V174" s="122"/>
      <c r="W174" s="122"/>
      <c r="X174" s="122"/>
      <c r="Y174" s="122"/>
      <c r="Z174" s="122"/>
      <c r="AA174" s="122"/>
      <c r="AB174" s="122"/>
      <c r="AC174" s="122"/>
      <c r="AD174" s="122"/>
      <c r="AE174" s="122"/>
    </row>
    <row r="175">
      <c r="A175" s="116">
        <f t="shared" si="2"/>
        <v>174</v>
      </c>
      <c r="B175" s="117" t="s">
        <v>2946</v>
      </c>
      <c r="C175" s="119" t="s">
        <v>2947</v>
      </c>
      <c r="D175" s="117" t="s">
        <v>46</v>
      </c>
      <c r="E175" s="119" t="s">
        <v>2948</v>
      </c>
      <c r="F175" s="117">
        <v>6903.0</v>
      </c>
      <c r="G175" s="117" t="s">
        <v>21</v>
      </c>
      <c r="H175" s="117">
        <v>0.0</v>
      </c>
      <c r="I175" s="121">
        <v>46238.0</v>
      </c>
      <c r="J175" s="120" t="s">
        <v>23</v>
      </c>
      <c r="K175" s="122"/>
      <c r="L175" s="123">
        <v>0.3333333333333333</v>
      </c>
      <c r="M175" s="123">
        <v>0.75</v>
      </c>
      <c r="N175" s="125" t="s">
        <v>4521</v>
      </c>
      <c r="O175" s="116" t="str">
        <f>IFERROR(__xludf.DUMMYFUNCTION("REGEXEXTRACT(N175,""^-?[0-9.]+"")"),"-7.24586352181419")</f>
        <v>-7.24586352181419</v>
      </c>
      <c r="P175" s="124" t="str">
        <f>IFERROR(__xludf.DUMMYFUNCTION("REGEXEXTRACT(N175,"",\s*(-?[0-9.]+)"")"),"112.73774103781203")</f>
        <v>112.73774103781203</v>
      </c>
      <c r="Q175" s="126"/>
      <c r="R175" s="122"/>
      <c r="S175" s="122"/>
      <c r="T175" s="122"/>
      <c r="U175" s="122"/>
      <c r="V175" s="122"/>
      <c r="W175" s="122"/>
      <c r="X175" s="122"/>
      <c r="Y175" s="122"/>
      <c r="Z175" s="122"/>
      <c r="AA175" s="122"/>
      <c r="AB175" s="122"/>
      <c r="AC175" s="122"/>
      <c r="AD175" s="122"/>
      <c r="AE175" s="122"/>
    </row>
    <row r="176">
      <c r="A176" s="116">
        <f t="shared" si="2"/>
        <v>175</v>
      </c>
      <c r="B176" s="117" t="s">
        <v>2757</v>
      </c>
      <c r="C176" s="119" t="s">
        <v>2758</v>
      </c>
      <c r="D176" s="117" t="s">
        <v>46</v>
      </c>
      <c r="E176" s="119" t="s">
        <v>2759</v>
      </c>
      <c r="F176" s="117">
        <v>479.0</v>
      </c>
      <c r="G176" s="117" t="s">
        <v>21</v>
      </c>
      <c r="H176" s="117">
        <v>0.0</v>
      </c>
      <c r="I176" s="121">
        <v>46207.0</v>
      </c>
      <c r="J176" s="120" t="s">
        <v>23</v>
      </c>
      <c r="K176" s="122"/>
      <c r="L176" s="123">
        <v>0.0</v>
      </c>
      <c r="M176" s="123">
        <v>0.9993055555555556</v>
      </c>
      <c r="N176" s="125" t="s">
        <v>4522</v>
      </c>
      <c r="O176" s="116" t="str">
        <f>IFERROR(__xludf.DUMMYFUNCTION("REGEXEXTRACT(N176,""^-?[0-9.]+"")"),"-7.25139531689958")</f>
        <v>-7.25139531689958</v>
      </c>
      <c r="P176" s="124" t="str">
        <f>IFERROR(__xludf.DUMMYFUNCTION("REGEXEXTRACT(N176,"",\s*(-?[0-9.]+)"")"),"112.75502035582326")</f>
        <v>112.75502035582326</v>
      </c>
      <c r="Q176" s="126"/>
      <c r="R176" s="122"/>
      <c r="S176" s="122"/>
      <c r="T176" s="122"/>
      <c r="U176" s="122"/>
      <c r="V176" s="122"/>
      <c r="W176" s="122"/>
      <c r="X176" s="122"/>
      <c r="Y176" s="122"/>
      <c r="Z176" s="122"/>
      <c r="AA176" s="122"/>
      <c r="AB176" s="122"/>
      <c r="AC176" s="122"/>
      <c r="AD176" s="122"/>
      <c r="AE176" s="122"/>
    </row>
    <row r="177">
      <c r="A177" s="116">
        <f t="shared" si="2"/>
        <v>176</v>
      </c>
      <c r="B177" s="117" t="s">
        <v>620</v>
      </c>
      <c r="C177" s="119" t="s">
        <v>621</v>
      </c>
      <c r="D177" s="117" t="s">
        <v>46</v>
      </c>
      <c r="E177" s="119" t="s">
        <v>622</v>
      </c>
      <c r="F177" s="117">
        <v>99.0</v>
      </c>
      <c r="G177" s="117" t="s">
        <v>21</v>
      </c>
      <c r="H177" s="117">
        <v>0.0</v>
      </c>
      <c r="I177" s="121">
        <v>46116.0</v>
      </c>
      <c r="J177" s="120" t="s">
        <v>23</v>
      </c>
      <c r="K177" s="122"/>
      <c r="L177" s="123">
        <v>0.0</v>
      </c>
      <c r="M177" s="123">
        <v>0.9993055555555556</v>
      </c>
      <c r="N177" s="125" t="s">
        <v>623</v>
      </c>
      <c r="O177" s="116" t="str">
        <f>IFERROR(__xludf.DUMMYFUNCTION("REGEXEXTRACT(N177,""^-?[0-9.]+"")"),"-7.256603120558656")</f>
        <v>-7.256603120558656</v>
      </c>
      <c r="P177" s="124" t="str">
        <f>IFERROR(__xludf.DUMMYFUNCTION("REGEXEXTRACT(N177,"",\s*(-?[0-9.]+)"")"),"112.73758167301209")</f>
        <v>112.73758167301209</v>
      </c>
      <c r="Q177" s="126"/>
      <c r="R177" s="122"/>
      <c r="S177" s="122"/>
      <c r="T177" s="122"/>
      <c r="U177" s="122"/>
      <c r="V177" s="122"/>
      <c r="W177" s="122"/>
      <c r="X177" s="122"/>
      <c r="Y177" s="122"/>
      <c r="Z177" s="122"/>
      <c r="AA177" s="122"/>
      <c r="AB177" s="122"/>
      <c r="AC177" s="122"/>
      <c r="AD177" s="122"/>
      <c r="AE177" s="122"/>
    </row>
    <row r="178">
      <c r="A178" s="116">
        <f t="shared" si="2"/>
        <v>177</v>
      </c>
      <c r="B178" s="117" t="s">
        <v>2528</v>
      </c>
      <c r="C178" s="119" t="s">
        <v>4523</v>
      </c>
      <c r="D178" s="117" t="s">
        <v>46</v>
      </c>
      <c r="E178" s="119" t="s">
        <v>4524</v>
      </c>
      <c r="F178" s="117">
        <v>222.0</v>
      </c>
      <c r="G178" s="117" t="s">
        <v>21</v>
      </c>
      <c r="H178" s="117">
        <v>0.0</v>
      </c>
      <c r="I178" s="121">
        <v>46116.0</v>
      </c>
      <c r="J178" s="120" t="s">
        <v>23</v>
      </c>
      <c r="K178" s="122"/>
      <c r="L178" s="123">
        <v>0.0</v>
      </c>
      <c r="M178" s="123">
        <v>0.9993055555555556</v>
      </c>
      <c r="N178" s="125" t="s">
        <v>2531</v>
      </c>
      <c r="O178" s="116" t="str">
        <f>IFERROR(__xludf.DUMMYFUNCTION("REGEXEXTRACT(N178,""^-?[0-9.]+"")"),"-7.303257601463253")</f>
        <v>-7.303257601463253</v>
      </c>
      <c r="P178" s="124" t="str">
        <f>IFERROR(__xludf.DUMMYFUNCTION("REGEXEXTRACT(N178,"",\s*(-?[0-9.]+)"")"),"112.68686682883533")</f>
        <v>112.68686682883533</v>
      </c>
      <c r="Q178" s="126"/>
      <c r="R178" s="122"/>
      <c r="S178" s="122"/>
      <c r="T178" s="122"/>
      <c r="U178" s="122"/>
      <c r="V178" s="122"/>
      <c r="W178" s="122"/>
      <c r="X178" s="122"/>
      <c r="Y178" s="122"/>
      <c r="Z178" s="122"/>
      <c r="AA178" s="122"/>
      <c r="AB178" s="122"/>
      <c r="AC178" s="122"/>
      <c r="AD178" s="122"/>
      <c r="AE178" s="122"/>
    </row>
    <row r="179">
      <c r="A179" s="116">
        <f t="shared" si="2"/>
        <v>178</v>
      </c>
      <c r="B179" s="117" t="s">
        <v>874</v>
      </c>
      <c r="C179" s="119" t="s">
        <v>875</v>
      </c>
      <c r="D179" s="117" t="s">
        <v>46</v>
      </c>
      <c r="E179" s="119" t="s">
        <v>876</v>
      </c>
      <c r="F179" s="117">
        <v>207.0</v>
      </c>
      <c r="G179" s="117" t="s">
        <v>21</v>
      </c>
      <c r="H179" s="117">
        <v>14000.0</v>
      </c>
      <c r="I179" s="121">
        <v>46238.0</v>
      </c>
      <c r="J179" s="120" t="s">
        <v>23</v>
      </c>
      <c r="K179" s="122"/>
      <c r="L179" s="123">
        <v>0.2916666666666667</v>
      </c>
      <c r="M179" s="123">
        <v>0.7083333333333334</v>
      </c>
      <c r="N179" s="125" t="s">
        <v>877</v>
      </c>
      <c r="O179" s="116" t="str">
        <f>IFERROR(__xludf.DUMMYFUNCTION("REGEXEXTRACT(N179,""^-?[0-9.]+"")"),"-7.227572745020992")</f>
        <v>-7.227572745020992</v>
      </c>
      <c r="P179" s="124" t="str">
        <f>IFERROR(__xludf.DUMMYFUNCTION("REGEXEXTRACT(N179,"",\s*(-?[0-9.]+)"")"),"112.68431555767067")</f>
        <v>112.68431555767067</v>
      </c>
      <c r="Q179" s="126"/>
      <c r="R179" s="122"/>
      <c r="S179" s="122"/>
      <c r="T179" s="122"/>
      <c r="U179" s="122"/>
      <c r="V179" s="122"/>
      <c r="W179" s="122"/>
      <c r="X179" s="122"/>
      <c r="Y179" s="122"/>
      <c r="Z179" s="122"/>
      <c r="AA179" s="122"/>
      <c r="AB179" s="122"/>
      <c r="AC179" s="122"/>
      <c r="AD179" s="122"/>
      <c r="AE179" s="122"/>
    </row>
    <row r="180">
      <c r="A180" s="116">
        <f t="shared" si="2"/>
        <v>179</v>
      </c>
      <c r="B180" s="117" t="s">
        <v>1394</v>
      </c>
      <c r="C180" s="119" t="s">
        <v>4525</v>
      </c>
      <c r="D180" s="117" t="s">
        <v>46</v>
      </c>
      <c r="E180" s="119" t="s">
        <v>4526</v>
      </c>
      <c r="F180" s="117">
        <v>361.0</v>
      </c>
      <c r="G180" s="117" t="s">
        <v>21</v>
      </c>
      <c r="H180" s="117">
        <v>10000.0</v>
      </c>
      <c r="I180" s="121">
        <v>46116.0</v>
      </c>
      <c r="J180" s="120" t="s">
        <v>23</v>
      </c>
      <c r="K180" s="122"/>
      <c r="L180" s="123">
        <v>0.375</v>
      </c>
      <c r="M180" s="123">
        <v>0.75</v>
      </c>
      <c r="N180" s="125" t="s">
        <v>1397</v>
      </c>
      <c r="O180" s="116" t="str">
        <f>IFERROR(__xludf.DUMMYFUNCTION("REGEXEXTRACT(N180,""^-?[0-9.]+"")"),"-7.330141874099146")</f>
        <v>-7.330141874099146</v>
      </c>
      <c r="P180" s="124" t="str">
        <f>IFERROR(__xludf.DUMMYFUNCTION("REGEXEXTRACT(N180,"",\s*(-?[0-9.]+)"")"),"112.67842119999999")</f>
        <v>112.67842119999999</v>
      </c>
      <c r="Q180" s="126"/>
      <c r="R180" s="122"/>
      <c r="S180" s="122"/>
      <c r="T180" s="122"/>
      <c r="U180" s="122"/>
      <c r="V180" s="122"/>
      <c r="W180" s="122"/>
      <c r="X180" s="122"/>
      <c r="Y180" s="122"/>
      <c r="Z180" s="122"/>
      <c r="AA180" s="122"/>
      <c r="AB180" s="122"/>
      <c r="AC180" s="122"/>
      <c r="AD180" s="122"/>
      <c r="AE180" s="122"/>
    </row>
    <row r="181">
      <c r="A181" s="116">
        <f t="shared" si="2"/>
        <v>180</v>
      </c>
      <c r="B181" s="117" t="s">
        <v>2762</v>
      </c>
      <c r="C181" s="119" t="s">
        <v>2763</v>
      </c>
      <c r="D181" s="117" t="s">
        <v>46</v>
      </c>
      <c r="E181" s="119" t="s">
        <v>2764</v>
      </c>
      <c r="F181" s="117">
        <v>2379.0</v>
      </c>
      <c r="G181" s="117" t="s">
        <v>21</v>
      </c>
      <c r="H181" s="117">
        <v>15000.0</v>
      </c>
      <c r="I181" s="121">
        <v>46057.0</v>
      </c>
      <c r="J181" s="120" t="s">
        <v>23</v>
      </c>
      <c r="K181" s="122"/>
      <c r="L181" s="123">
        <v>0.3333333333333333</v>
      </c>
      <c r="M181" s="123">
        <v>0.7083333333333334</v>
      </c>
      <c r="N181" s="125" t="s">
        <v>4527</v>
      </c>
      <c r="O181" s="116" t="str">
        <f>IFERROR(__xludf.DUMMYFUNCTION("REGEXEXTRACT(N181,""^-?[0-9.]+"")"),"-7.247069386572969")</f>
        <v>-7.247069386572969</v>
      </c>
      <c r="P181" s="124" t="str">
        <f>IFERROR(__xludf.DUMMYFUNCTION("REGEXEXTRACT(N181,"",\s*(-?[0-9.]+)"")"),"112.80174892883532")</f>
        <v>112.80174892883532</v>
      </c>
      <c r="Q181" s="126"/>
      <c r="R181" s="122"/>
      <c r="S181" s="122"/>
      <c r="T181" s="122"/>
      <c r="U181" s="122"/>
      <c r="V181" s="122"/>
      <c r="W181" s="122"/>
      <c r="X181" s="122"/>
      <c r="Y181" s="122"/>
      <c r="Z181" s="122"/>
      <c r="AA181" s="122"/>
      <c r="AB181" s="122"/>
      <c r="AC181" s="122"/>
      <c r="AD181" s="122"/>
      <c r="AE181" s="122"/>
    </row>
    <row r="182">
      <c r="A182" s="116">
        <f t="shared" si="2"/>
        <v>181</v>
      </c>
      <c r="B182" s="117" t="s">
        <v>3806</v>
      </c>
      <c r="C182" s="119" t="s">
        <v>3807</v>
      </c>
      <c r="D182" s="117" t="s">
        <v>46</v>
      </c>
      <c r="E182" s="119" t="s">
        <v>3808</v>
      </c>
      <c r="F182" s="117">
        <v>560.0</v>
      </c>
      <c r="G182" s="117" t="s">
        <v>21</v>
      </c>
      <c r="H182" s="117">
        <v>15000.0</v>
      </c>
      <c r="I182" s="121">
        <v>46238.0</v>
      </c>
      <c r="J182" s="120" t="s">
        <v>23</v>
      </c>
      <c r="K182" s="122"/>
      <c r="L182" s="123">
        <v>0.3541666666666667</v>
      </c>
      <c r="M182" s="123">
        <v>0.6666666666666666</v>
      </c>
      <c r="N182" s="125" t="s">
        <v>3809</v>
      </c>
      <c r="O182" s="116" t="str">
        <f>IFERROR(__xludf.DUMMYFUNCTION("REGEXEXTRACT(N182,""^-?[0-9.]+"")"),"-7.221626234807643")</f>
        <v>-7.221626234807643</v>
      </c>
      <c r="P182" s="124" t="str">
        <f>IFERROR(__xludf.DUMMYFUNCTION("REGEXEXTRACT(N182,"",\s*(-?[0-9.]+)"")"),"112.74005177116464")</f>
        <v>112.74005177116464</v>
      </c>
      <c r="Q182" s="126"/>
      <c r="R182" s="122"/>
      <c r="S182" s="122"/>
      <c r="T182" s="122"/>
      <c r="U182" s="122"/>
      <c r="V182" s="122"/>
      <c r="W182" s="122"/>
      <c r="X182" s="122"/>
      <c r="Y182" s="122"/>
      <c r="Z182" s="122"/>
      <c r="AA182" s="122"/>
      <c r="AB182" s="122"/>
      <c r="AC182" s="122"/>
      <c r="AD182" s="122"/>
      <c r="AE182" s="122"/>
    </row>
    <row r="183">
      <c r="A183" s="116">
        <f t="shared" si="2"/>
        <v>182</v>
      </c>
      <c r="B183" s="127" t="s">
        <v>949</v>
      </c>
      <c r="C183" s="119" t="s">
        <v>950</v>
      </c>
      <c r="D183" s="117" t="s">
        <v>19</v>
      </c>
      <c r="E183" s="119" t="s">
        <v>951</v>
      </c>
      <c r="F183" s="117">
        <v>502.0</v>
      </c>
      <c r="G183" s="117" t="s">
        <v>21</v>
      </c>
      <c r="H183" s="117" t="s">
        <v>22</v>
      </c>
      <c r="I183" s="121">
        <v>46177.0</v>
      </c>
      <c r="J183" s="120" t="s">
        <v>23</v>
      </c>
      <c r="K183" s="122"/>
      <c r="L183" s="123">
        <v>0.4166666666666667</v>
      </c>
      <c r="M183" s="123">
        <v>0.9166666666666666</v>
      </c>
      <c r="N183" s="125" t="s">
        <v>952</v>
      </c>
      <c r="O183" s="116" t="str">
        <f>IFERROR(__xludf.DUMMYFUNCTION("REGEXEXTRACT(N183,""^-?[0-9.]+"")"),"-7.266366692054985")</f>
        <v>-7.266366692054985</v>
      </c>
      <c r="P183" s="124" t="str">
        <f>IFERROR(__xludf.DUMMYFUNCTION("REGEXEXTRACT(N183,"",\s*(-?[0-9.]+)"")"),"112.7510106266198")</f>
        <v>112.7510106266198</v>
      </c>
      <c r="Q183" s="126"/>
      <c r="R183" s="122"/>
      <c r="S183" s="122"/>
      <c r="T183" s="122"/>
      <c r="U183" s="122"/>
      <c r="V183" s="122"/>
      <c r="W183" s="122"/>
      <c r="X183" s="122"/>
      <c r="Y183" s="122"/>
      <c r="Z183" s="122"/>
      <c r="AA183" s="122"/>
      <c r="AB183" s="122"/>
      <c r="AC183" s="122"/>
      <c r="AD183" s="122"/>
      <c r="AE183" s="122"/>
    </row>
    <row r="184">
      <c r="A184" s="116">
        <f t="shared" si="2"/>
        <v>183</v>
      </c>
      <c r="B184" s="127" t="s">
        <v>50</v>
      </c>
      <c r="C184" s="119" t="s">
        <v>51</v>
      </c>
      <c r="D184" s="117" t="s">
        <v>19</v>
      </c>
      <c r="E184" s="119" t="s">
        <v>52</v>
      </c>
      <c r="F184" s="117">
        <v>2156.0</v>
      </c>
      <c r="G184" s="117" t="s">
        <v>21</v>
      </c>
      <c r="H184" s="117" t="s">
        <v>22</v>
      </c>
      <c r="I184" s="121">
        <v>46146.0</v>
      </c>
      <c r="J184" s="120" t="s">
        <v>23</v>
      </c>
      <c r="K184" s="122"/>
      <c r="L184" s="123">
        <v>0.4166666666666667</v>
      </c>
      <c r="M184" s="123">
        <v>0.9166666666666666</v>
      </c>
      <c r="N184" s="125" t="s">
        <v>53</v>
      </c>
      <c r="O184" s="116" t="str">
        <f>IFERROR(__xludf.DUMMYFUNCTION("REGEXEXTRACT(N184,""^-?[0-9.]+"")"),"-7.261025892481609")</f>
        <v>-7.261025892481609</v>
      </c>
      <c r="P184" s="124" t="str">
        <f>IFERROR(__xludf.DUMMYFUNCTION("REGEXEXTRACT(N184,"",\s*(-?[0-9.]+)"")"),"112.74880975485473")</f>
        <v>112.74880975485473</v>
      </c>
      <c r="Q184" s="126"/>
      <c r="R184" s="122"/>
      <c r="S184" s="122"/>
      <c r="T184" s="122"/>
      <c r="U184" s="122"/>
      <c r="V184" s="122"/>
      <c r="W184" s="122"/>
      <c r="X184" s="122"/>
      <c r="Y184" s="122"/>
      <c r="Z184" s="122"/>
      <c r="AA184" s="122"/>
      <c r="AB184" s="122"/>
      <c r="AC184" s="122"/>
      <c r="AD184" s="122"/>
      <c r="AE184" s="122"/>
    </row>
    <row r="185">
      <c r="A185" s="116">
        <f t="shared" si="2"/>
        <v>184</v>
      </c>
      <c r="B185" s="127" t="s">
        <v>2781</v>
      </c>
      <c r="C185" s="119" t="s">
        <v>2782</v>
      </c>
      <c r="D185" s="117" t="s">
        <v>19</v>
      </c>
      <c r="E185" s="119" t="s">
        <v>2783</v>
      </c>
      <c r="F185" s="117">
        <v>327.0</v>
      </c>
      <c r="G185" s="117" t="s">
        <v>21</v>
      </c>
      <c r="H185" s="117" t="s">
        <v>22</v>
      </c>
      <c r="I185" s="121">
        <v>46116.0</v>
      </c>
      <c r="J185" s="120" t="s">
        <v>23</v>
      </c>
      <c r="K185" s="122"/>
      <c r="L185" s="123">
        <v>0.0</v>
      </c>
      <c r="M185" s="123">
        <v>0.9993055555555556</v>
      </c>
      <c r="N185" s="125" t="s">
        <v>4528</v>
      </c>
      <c r="O185" s="116" t="str">
        <f>IFERROR(__xludf.DUMMYFUNCTION("REGEXEXTRACT(N185,""^-?[0-9.]+"")"),"-7.2685043806056")</f>
        <v>-7.2685043806056</v>
      </c>
      <c r="P185" s="124" t="str">
        <f>IFERROR(__xludf.DUMMYFUNCTION("REGEXEXTRACT(N185,"",\s*(-?[0-9.]+)"")"),"112.73857394418044")</f>
        <v>112.73857394418044</v>
      </c>
      <c r="Q185" s="126"/>
      <c r="R185" s="122"/>
      <c r="S185" s="122"/>
      <c r="T185" s="122"/>
      <c r="U185" s="122"/>
      <c r="V185" s="122"/>
      <c r="W185" s="122"/>
      <c r="X185" s="122"/>
      <c r="Y185" s="122"/>
      <c r="Z185" s="122"/>
      <c r="AA185" s="122"/>
      <c r="AB185" s="122"/>
      <c r="AC185" s="122"/>
      <c r="AD185" s="122"/>
      <c r="AE185" s="122"/>
    </row>
    <row r="186">
      <c r="A186" s="116">
        <f t="shared" si="2"/>
        <v>185</v>
      </c>
      <c r="B186" s="127" t="s">
        <v>4529</v>
      </c>
      <c r="C186" s="119" t="s">
        <v>4530</v>
      </c>
      <c r="D186" s="117" t="s">
        <v>19</v>
      </c>
      <c r="E186" s="119" t="s">
        <v>4531</v>
      </c>
      <c r="F186" s="117">
        <v>4357.0</v>
      </c>
      <c r="G186" s="117" t="s">
        <v>21</v>
      </c>
      <c r="H186" s="117" t="s">
        <v>221</v>
      </c>
      <c r="I186" s="121">
        <v>46146.0</v>
      </c>
      <c r="J186" s="120" t="s">
        <v>23</v>
      </c>
      <c r="K186" s="122"/>
      <c r="L186" s="123">
        <v>0.3333333333333333</v>
      </c>
      <c r="M186" s="123">
        <v>0.9166666666666666</v>
      </c>
      <c r="N186" s="125" t="s">
        <v>4532</v>
      </c>
      <c r="O186" s="116" t="str">
        <f>IFERROR(__xludf.DUMMYFUNCTION("REGEXEXTRACT(N186,""^-?[0-9.]+"")"),"-7.322351197256054")</f>
        <v>-7.322351197256054</v>
      </c>
      <c r="P186" s="124" t="str">
        <f>IFERROR(__xludf.DUMMYFUNCTION("REGEXEXTRACT(N186,"",\s*(-?[0-9.]+)"")"),"112.7423822085985")</f>
        <v>112.7423822085985</v>
      </c>
      <c r="Q186" s="126"/>
      <c r="R186" s="122"/>
      <c r="S186" s="122"/>
      <c r="T186" s="122"/>
      <c r="U186" s="122"/>
      <c r="V186" s="122"/>
      <c r="W186" s="122"/>
      <c r="X186" s="122"/>
      <c r="Y186" s="122"/>
      <c r="Z186" s="122"/>
      <c r="AA186" s="122"/>
      <c r="AB186" s="122"/>
      <c r="AC186" s="122"/>
      <c r="AD186" s="122"/>
      <c r="AE186" s="122"/>
    </row>
    <row r="187">
      <c r="A187" s="116">
        <f t="shared" si="2"/>
        <v>186</v>
      </c>
      <c r="B187" s="117" t="s">
        <v>2234</v>
      </c>
      <c r="C187" s="119" t="s">
        <v>4533</v>
      </c>
      <c r="D187" s="117" t="s">
        <v>19</v>
      </c>
      <c r="E187" s="119" t="s">
        <v>4534</v>
      </c>
      <c r="F187" s="117">
        <v>604.0</v>
      </c>
      <c r="G187" s="117" t="s">
        <v>21</v>
      </c>
      <c r="H187" s="117" t="s">
        <v>221</v>
      </c>
      <c r="I187" s="121">
        <v>46207.0</v>
      </c>
      <c r="J187" s="120" t="s">
        <v>23</v>
      </c>
      <c r="K187" s="122"/>
      <c r="L187" s="123">
        <v>0.2916666666666667</v>
      </c>
      <c r="M187" s="123">
        <v>0.9166666666666666</v>
      </c>
      <c r="N187" s="125" t="s">
        <v>2237</v>
      </c>
      <c r="O187" s="116" t="str">
        <f>IFERROR(__xludf.DUMMYFUNCTION("REGEXEXTRACT(N187,""^-?[0-9.]+"")"),"-7.291404800581804")</f>
        <v>-7.291404800581804</v>
      </c>
      <c r="P187" s="124" t="str">
        <f>IFERROR(__xludf.DUMMYFUNCTION("REGEXEXTRACT(N187,"",\s*(-?[0-9.]+)"")"),"112.72960753558195")</f>
        <v>112.72960753558195</v>
      </c>
      <c r="Q187" s="126"/>
      <c r="R187" s="122"/>
      <c r="S187" s="122"/>
      <c r="T187" s="122"/>
      <c r="U187" s="122"/>
      <c r="V187" s="122"/>
      <c r="W187" s="122"/>
      <c r="X187" s="122"/>
      <c r="Y187" s="122"/>
      <c r="Z187" s="122"/>
      <c r="AA187" s="122"/>
      <c r="AB187" s="122"/>
      <c r="AC187" s="122"/>
      <c r="AD187" s="122"/>
      <c r="AE187" s="122"/>
    </row>
    <row r="188">
      <c r="A188" s="116">
        <f t="shared" si="2"/>
        <v>187</v>
      </c>
      <c r="B188" s="117" t="s">
        <v>2672</v>
      </c>
      <c r="C188" s="119" t="s">
        <v>2673</v>
      </c>
      <c r="D188" s="117" t="s">
        <v>19</v>
      </c>
      <c r="E188" s="119" t="s">
        <v>2674</v>
      </c>
      <c r="F188" s="117">
        <v>1717.0</v>
      </c>
      <c r="G188" s="117" t="s">
        <v>21</v>
      </c>
      <c r="H188" s="117" t="s">
        <v>72</v>
      </c>
      <c r="I188" s="121">
        <v>46146.0</v>
      </c>
      <c r="J188" s="120" t="s">
        <v>23</v>
      </c>
      <c r="K188" s="122"/>
      <c r="L188" s="123">
        <v>0.3333333333333333</v>
      </c>
      <c r="M188" s="123">
        <v>0.875</v>
      </c>
      <c r="N188" s="125" t="s">
        <v>4535</v>
      </c>
      <c r="O188" s="116" t="str">
        <f>IFERROR(__xludf.DUMMYFUNCTION("REGEXEXTRACT(N188,""^-?[0-9.]+"")"),"-7.258036442685289")</f>
        <v>-7.258036442685289</v>
      </c>
      <c r="P188" s="124" t="str">
        <f>IFERROR(__xludf.DUMMYFUNCTION("REGEXEXTRACT(N188,"",\s*(-?[0-9.]+)"")"),"112.72951016441804")</f>
        <v>112.72951016441804</v>
      </c>
      <c r="Q188" s="126"/>
      <c r="R188" s="122"/>
      <c r="S188" s="122"/>
      <c r="T188" s="122"/>
      <c r="U188" s="122"/>
      <c r="V188" s="122"/>
      <c r="W188" s="122"/>
      <c r="X188" s="122"/>
      <c r="Y188" s="122"/>
      <c r="Z188" s="122"/>
      <c r="AA188" s="122"/>
      <c r="AB188" s="122"/>
      <c r="AC188" s="122"/>
      <c r="AD188" s="122"/>
      <c r="AE188" s="122"/>
    </row>
    <row r="189">
      <c r="A189" s="116">
        <f t="shared" si="2"/>
        <v>188</v>
      </c>
      <c r="B189" s="117" t="s">
        <v>915</v>
      </c>
      <c r="C189" s="119" t="s">
        <v>916</v>
      </c>
      <c r="D189" s="117" t="s">
        <v>19</v>
      </c>
      <c r="E189" s="118" t="s">
        <v>917</v>
      </c>
      <c r="F189" s="117">
        <v>2004.0</v>
      </c>
      <c r="G189" s="117" t="s">
        <v>21</v>
      </c>
      <c r="H189" s="117" t="s">
        <v>785</v>
      </c>
      <c r="I189" s="121">
        <v>46146.0</v>
      </c>
      <c r="J189" s="120" t="s">
        <v>23</v>
      </c>
      <c r="K189" s="122"/>
      <c r="L189" s="123">
        <v>0.3333333333333333</v>
      </c>
      <c r="M189" s="123">
        <v>0.9166666666666666</v>
      </c>
      <c r="N189" s="125" t="s">
        <v>918</v>
      </c>
      <c r="O189" s="116" t="str">
        <f>IFERROR(__xludf.DUMMYFUNCTION("REGEXEXTRACT(N189,""^-?[0-9.]+"")"),"-7.282566398648191")</f>
        <v>-7.282566398648191</v>
      </c>
      <c r="P189" s="124" t="str">
        <f>IFERROR(__xludf.DUMMYFUNCTION("REGEXEXTRACT(N189,"",\s*(-?[0-9.]+)"")"),"112.69493758679066")</f>
        <v>112.69493758679066</v>
      </c>
      <c r="Q189" s="126"/>
      <c r="R189" s="122"/>
      <c r="S189" s="122"/>
      <c r="T189" s="122"/>
      <c r="U189" s="122"/>
      <c r="V189" s="122"/>
      <c r="W189" s="122"/>
      <c r="X189" s="122"/>
      <c r="Y189" s="122"/>
      <c r="Z189" s="122"/>
      <c r="AA189" s="122"/>
      <c r="AB189" s="122"/>
      <c r="AC189" s="122"/>
      <c r="AD189" s="122"/>
      <c r="AE189" s="122"/>
    </row>
    <row r="190">
      <c r="A190" s="116">
        <f t="shared" si="2"/>
        <v>189</v>
      </c>
      <c r="B190" s="117" t="s">
        <v>3622</v>
      </c>
      <c r="C190" s="119" t="s">
        <v>3623</v>
      </c>
      <c r="D190" s="117" t="s">
        <v>19</v>
      </c>
      <c r="E190" s="119" t="s">
        <v>3624</v>
      </c>
      <c r="F190" s="117">
        <v>328.0</v>
      </c>
      <c r="G190" s="117" t="s">
        <v>21</v>
      </c>
      <c r="H190" s="117" t="s">
        <v>22</v>
      </c>
      <c r="I190" s="121">
        <v>46238.0</v>
      </c>
      <c r="J190" s="120" t="s">
        <v>23</v>
      </c>
      <c r="K190" s="122"/>
      <c r="L190" s="123">
        <v>0.2916666666666667</v>
      </c>
      <c r="M190" s="123">
        <v>0.9166666666666666</v>
      </c>
      <c r="N190" s="125" t="s">
        <v>3625</v>
      </c>
      <c r="O190" s="116" t="str">
        <f>IFERROR(__xludf.DUMMYFUNCTION("REGEXEXTRACT(N190,""^-?[0-9.]+"")"),"-7.288530167204297")</f>
        <v>-7.288530167204297</v>
      </c>
      <c r="P190" s="124" t="str">
        <f>IFERROR(__xludf.DUMMYFUNCTION("REGEXEXTRACT(N190,"",\s*(-?[0-9.]+)"")"),"112.73462718650826")</f>
        <v>112.73462718650826</v>
      </c>
      <c r="Q190" s="126"/>
      <c r="R190" s="122"/>
      <c r="S190" s="122"/>
      <c r="T190" s="122"/>
      <c r="U190" s="122"/>
      <c r="V190" s="122"/>
      <c r="W190" s="122"/>
      <c r="X190" s="122"/>
      <c r="Y190" s="122"/>
      <c r="Z190" s="122"/>
      <c r="AA190" s="122"/>
      <c r="AB190" s="122"/>
      <c r="AC190" s="122"/>
      <c r="AD190" s="122"/>
      <c r="AE190" s="122"/>
    </row>
    <row r="191">
      <c r="A191" s="116">
        <f t="shared" si="2"/>
        <v>190</v>
      </c>
      <c r="B191" s="117" t="s">
        <v>3769</v>
      </c>
      <c r="C191" s="119" t="s">
        <v>3770</v>
      </c>
      <c r="D191" s="117" t="s">
        <v>19</v>
      </c>
      <c r="E191" s="119" t="s">
        <v>3771</v>
      </c>
      <c r="F191" s="117">
        <v>822.0</v>
      </c>
      <c r="G191" s="117" t="s">
        <v>21</v>
      </c>
      <c r="H191" s="117" t="s">
        <v>22</v>
      </c>
      <c r="I191" s="121">
        <v>46207.0</v>
      </c>
      <c r="J191" s="120" t="s">
        <v>23</v>
      </c>
      <c r="K191" s="122"/>
      <c r="L191" s="123">
        <v>0.375</v>
      </c>
      <c r="M191" s="123">
        <v>0.9993055555555556</v>
      </c>
      <c r="N191" s="125" t="s">
        <v>3772</v>
      </c>
      <c r="O191" s="116" t="str">
        <f>IFERROR(__xludf.DUMMYFUNCTION("REGEXEXTRACT(N191,""^-?[0-9.]+"")"),"-7.289913347295393")</f>
        <v>-7.289913347295393</v>
      </c>
      <c r="P191" s="124" t="str">
        <f>IFERROR(__xludf.DUMMYFUNCTION("REGEXEXTRACT(N191,"",\s*(-?[0-9.]+)"")"),"112.74997901349171")</f>
        <v>112.74997901349171</v>
      </c>
      <c r="Q191" s="126"/>
      <c r="R191" s="122"/>
      <c r="S191" s="122"/>
      <c r="T191" s="122"/>
      <c r="U191" s="122"/>
      <c r="V191" s="122"/>
      <c r="W191" s="122"/>
      <c r="X191" s="122"/>
      <c r="Y191" s="122"/>
      <c r="Z191" s="122"/>
      <c r="AA191" s="122"/>
      <c r="AB191" s="122"/>
      <c r="AC191" s="122"/>
      <c r="AD191" s="122"/>
      <c r="AE191" s="122"/>
    </row>
    <row r="192">
      <c r="A192" s="116">
        <f t="shared" si="2"/>
        <v>191</v>
      </c>
      <c r="B192" s="127" t="s">
        <v>1505</v>
      </c>
      <c r="C192" s="119" t="s">
        <v>4536</v>
      </c>
      <c r="D192" s="117" t="s">
        <v>19</v>
      </c>
      <c r="E192" s="119" t="s">
        <v>4537</v>
      </c>
      <c r="F192" s="117">
        <v>1967.0</v>
      </c>
      <c r="G192" s="117" t="s">
        <v>21</v>
      </c>
      <c r="H192" s="117" t="s">
        <v>22</v>
      </c>
      <c r="I192" s="121">
        <v>46177.0</v>
      </c>
      <c r="J192" s="120" t="s">
        <v>23</v>
      </c>
      <c r="K192" s="122"/>
      <c r="L192" s="123">
        <v>0.2916666666666667</v>
      </c>
      <c r="M192" s="123">
        <v>0.9166666666666666</v>
      </c>
      <c r="N192" s="125" t="s">
        <v>1508</v>
      </c>
      <c r="O192" s="116" t="str">
        <f>IFERROR(__xludf.DUMMYFUNCTION("REGEXEXTRACT(N192,""^-?[0-9.]+"")"),"-7.302823534216228")</f>
        <v>-7.302823534216228</v>
      </c>
      <c r="P192" s="124" t="str">
        <f>IFERROR(__xludf.DUMMYFUNCTION("REGEXEXTRACT(N192,"",\s*(-?[0-9.]+)"")"),"112.73201107979453")</f>
        <v>112.73201107979453</v>
      </c>
      <c r="Q192" s="126"/>
      <c r="R192" s="122"/>
      <c r="S192" s="122"/>
      <c r="T192" s="122"/>
      <c r="U192" s="122"/>
      <c r="V192" s="122"/>
      <c r="W192" s="122"/>
      <c r="X192" s="122"/>
      <c r="Y192" s="122"/>
      <c r="Z192" s="122"/>
      <c r="AA192" s="122"/>
      <c r="AB192" s="122"/>
      <c r="AC192" s="122"/>
      <c r="AD192" s="122"/>
      <c r="AE192" s="122"/>
    </row>
    <row r="193">
      <c r="A193" s="116">
        <f t="shared" si="2"/>
        <v>192</v>
      </c>
      <c r="B193" s="117" t="s">
        <v>3759</v>
      </c>
      <c r="C193" s="119" t="s">
        <v>3760</v>
      </c>
      <c r="D193" s="117" t="s">
        <v>19</v>
      </c>
      <c r="E193" s="119" t="s">
        <v>3761</v>
      </c>
      <c r="F193" s="117">
        <v>640.0</v>
      </c>
      <c r="G193" s="117" t="s">
        <v>21</v>
      </c>
      <c r="H193" s="117" t="s">
        <v>22</v>
      </c>
      <c r="I193" s="121">
        <v>46177.0</v>
      </c>
      <c r="J193" s="120" t="s">
        <v>23</v>
      </c>
      <c r="K193" s="122"/>
      <c r="L193" s="123">
        <v>0.0</v>
      </c>
      <c r="M193" s="123">
        <v>0.9993055555555556</v>
      </c>
      <c r="N193" s="125" t="s">
        <v>3762</v>
      </c>
      <c r="O193" s="116" t="str">
        <f>IFERROR(__xludf.DUMMYFUNCTION("REGEXEXTRACT(N193,""^-?[0-9.]+"")"),"-7.277908273853585")</f>
        <v>-7.277908273853585</v>
      </c>
      <c r="P193" s="124" t="str">
        <f>IFERROR(__xludf.DUMMYFUNCTION("REGEXEXTRACT(N193,"",\s*(-?[0-9.]+)"")"),"112.7531993202376")</f>
        <v>112.7531993202376</v>
      </c>
      <c r="Q193" s="126"/>
      <c r="R193" s="122"/>
      <c r="S193" s="122"/>
      <c r="T193" s="122"/>
      <c r="U193" s="122"/>
      <c r="V193" s="122"/>
      <c r="W193" s="122"/>
      <c r="X193" s="122"/>
      <c r="Y193" s="122"/>
      <c r="Z193" s="122"/>
      <c r="AA193" s="122"/>
      <c r="AB193" s="122"/>
      <c r="AC193" s="122"/>
      <c r="AD193" s="122"/>
      <c r="AE193" s="122"/>
    </row>
    <row r="194">
      <c r="A194" s="116">
        <f t="shared" si="2"/>
        <v>193</v>
      </c>
      <c r="B194" s="117" t="s">
        <v>3617</v>
      </c>
      <c r="C194" s="119" t="s">
        <v>3618</v>
      </c>
      <c r="D194" s="117" t="s">
        <v>19</v>
      </c>
      <c r="E194" s="119" t="s">
        <v>3619</v>
      </c>
      <c r="F194" s="117">
        <v>1146.0</v>
      </c>
      <c r="G194" s="117" t="s">
        <v>21</v>
      </c>
      <c r="H194" s="117" t="s">
        <v>22</v>
      </c>
      <c r="I194" s="121">
        <v>46238.0</v>
      </c>
      <c r="J194" s="120" t="s">
        <v>23</v>
      </c>
      <c r="K194" s="122"/>
      <c r="L194" s="123">
        <v>0.3333333333333333</v>
      </c>
      <c r="M194" s="123">
        <v>0.9583333333333334</v>
      </c>
      <c r="N194" s="125" t="s">
        <v>3620</v>
      </c>
      <c r="O194" s="116" t="str">
        <f>IFERROR(__xludf.DUMMYFUNCTION("REGEXEXTRACT(N194,""^-?[0-9.]+"")"),"-7.265650203606776")</f>
        <v>-7.265650203606776</v>
      </c>
      <c r="P194" s="124" t="str">
        <f>IFERROR(__xludf.DUMMYFUNCTION("REGEXEXTRACT(N194,"",\s*(-?[0-9.]+)"")"),"112.73101092209022")</f>
        <v>112.73101092209022</v>
      </c>
      <c r="Q194" s="126"/>
      <c r="R194" s="122"/>
      <c r="S194" s="122"/>
      <c r="T194" s="122"/>
      <c r="U194" s="122"/>
      <c r="V194" s="122"/>
      <c r="W194" s="122"/>
      <c r="X194" s="122"/>
      <c r="Y194" s="122"/>
      <c r="Z194" s="122"/>
      <c r="AA194" s="122"/>
      <c r="AB194" s="122"/>
      <c r="AC194" s="122"/>
      <c r="AD194" s="122"/>
      <c r="AE194" s="122"/>
    </row>
    <row r="195">
      <c r="A195" s="116">
        <f t="shared" si="2"/>
        <v>194</v>
      </c>
      <c r="B195" s="117" t="s">
        <v>2786</v>
      </c>
      <c r="C195" s="119" t="s">
        <v>2787</v>
      </c>
      <c r="D195" s="117" t="s">
        <v>19</v>
      </c>
      <c r="E195" s="119" t="s">
        <v>2788</v>
      </c>
      <c r="F195" s="117">
        <v>718.0</v>
      </c>
      <c r="G195" s="117" t="s">
        <v>21</v>
      </c>
      <c r="H195" s="117" t="s">
        <v>22</v>
      </c>
      <c r="I195" s="121">
        <v>46238.0</v>
      </c>
      <c r="J195" s="120" t="s">
        <v>23</v>
      </c>
      <c r="K195" s="122"/>
      <c r="L195" s="123">
        <v>0.3333333333333333</v>
      </c>
      <c r="M195" s="123">
        <v>0.875</v>
      </c>
      <c r="N195" s="125" t="s">
        <v>4538</v>
      </c>
      <c r="O195" s="116" t="str">
        <f>IFERROR(__xludf.DUMMYFUNCTION("REGEXEXTRACT(N195,""^-?[0-9.]+"")"),"-7.283172970064652")</f>
        <v>-7.283172970064652</v>
      </c>
      <c r="P195" s="124" t="str">
        <f>IFERROR(__xludf.DUMMYFUNCTION("REGEXEXTRACT(N195,"",\s*(-?[0-9.]+)"")"),"112.74634160674586")</f>
        <v>112.74634160674586</v>
      </c>
      <c r="Q195" s="126"/>
      <c r="R195" s="122"/>
      <c r="S195" s="122"/>
      <c r="T195" s="122"/>
      <c r="U195" s="122"/>
      <c r="V195" s="122"/>
      <c r="W195" s="122"/>
      <c r="X195" s="122"/>
      <c r="Y195" s="122"/>
      <c r="Z195" s="122"/>
      <c r="AA195" s="122"/>
      <c r="AB195" s="122"/>
      <c r="AC195" s="122"/>
      <c r="AD195" s="122"/>
      <c r="AE195" s="122"/>
    </row>
    <row r="196">
      <c r="A196" s="116">
        <f t="shared" si="2"/>
        <v>195</v>
      </c>
      <c r="B196" s="117" t="s">
        <v>3018</v>
      </c>
      <c r="C196" s="119" t="s">
        <v>3019</v>
      </c>
      <c r="D196" s="117" t="s">
        <v>19</v>
      </c>
      <c r="E196" s="119" t="s">
        <v>3020</v>
      </c>
      <c r="F196" s="117">
        <v>85.0</v>
      </c>
      <c r="G196" s="117" t="s">
        <v>21</v>
      </c>
      <c r="H196" s="117" t="s">
        <v>72</v>
      </c>
      <c r="I196" s="121">
        <v>46177.0</v>
      </c>
      <c r="J196" s="120" t="s">
        <v>23</v>
      </c>
      <c r="K196" s="122"/>
      <c r="L196" s="123">
        <v>0.3333333333333333</v>
      </c>
      <c r="M196" s="123">
        <v>0.9166666666666666</v>
      </c>
      <c r="N196" s="125" t="s">
        <v>3021</v>
      </c>
      <c r="O196" s="116" t="str">
        <f>IFERROR(__xludf.DUMMYFUNCTION("REGEXEXTRACT(N196,""^-?[0-9.]+"")"),"-7.259980929522554")</f>
        <v>-7.259980929522554</v>
      </c>
      <c r="P196" s="124" t="str">
        <f>IFERROR(__xludf.DUMMYFUNCTION("REGEXEXTRACT(N196,"",\s*(-?[0-9.]+)"")"),"112.74463290674586")</f>
        <v>112.74463290674586</v>
      </c>
      <c r="Q196" s="126"/>
      <c r="R196" s="122"/>
      <c r="S196" s="122"/>
      <c r="T196" s="122"/>
      <c r="U196" s="122"/>
      <c r="V196" s="122"/>
      <c r="W196" s="122"/>
      <c r="X196" s="122"/>
      <c r="Y196" s="122"/>
      <c r="Z196" s="122"/>
      <c r="AA196" s="122"/>
      <c r="AB196" s="122"/>
      <c r="AC196" s="122"/>
      <c r="AD196" s="122"/>
      <c r="AE196" s="122"/>
    </row>
    <row r="197">
      <c r="A197" s="116">
        <f t="shared" si="2"/>
        <v>196</v>
      </c>
      <c r="B197" s="117" t="s">
        <v>3089</v>
      </c>
      <c r="C197" s="119" t="s">
        <v>3090</v>
      </c>
      <c r="D197" s="117" t="s">
        <v>19</v>
      </c>
      <c r="E197" s="119" t="s">
        <v>3091</v>
      </c>
      <c r="F197" s="117">
        <v>271.0</v>
      </c>
      <c r="G197" s="117" t="s">
        <v>21</v>
      </c>
      <c r="H197" s="117" t="s">
        <v>22</v>
      </c>
      <c r="I197" s="121">
        <v>46177.0</v>
      </c>
      <c r="J197" s="120" t="s">
        <v>23</v>
      </c>
      <c r="K197" s="122"/>
      <c r="L197" s="123">
        <v>0.375</v>
      </c>
      <c r="M197" s="123">
        <v>0.9166666666666666</v>
      </c>
      <c r="N197" s="125" t="s">
        <v>3092</v>
      </c>
      <c r="O197" s="116" t="str">
        <f>IFERROR(__xludf.DUMMYFUNCTION("REGEXEXTRACT(N197,""^-?[0-9.]+"")"),"-7.276577411552014")</f>
        <v>-7.276577411552014</v>
      </c>
      <c r="P197" s="124" t="str">
        <f>IFERROR(__xludf.DUMMYFUNCTION("REGEXEXTRACT(N197,"",\s*(-?[0-9.]+)"")"),"112.75816798210771")</f>
        <v>112.75816798210771</v>
      </c>
      <c r="Q197" s="126"/>
      <c r="R197" s="122"/>
      <c r="S197" s="122"/>
      <c r="T197" s="122"/>
      <c r="U197" s="122"/>
      <c r="V197" s="122"/>
      <c r="W197" s="122"/>
      <c r="X197" s="122"/>
      <c r="Y197" s="122"/>
      <c r="Z197" s="122"/>
      <c r="AA197" s="122"/>
      <c r="AB197" s="122"/>
      <c r="AC197" s="122"/>
      <c r="AD197" s="122"/>
      <c r="AE197" s="122"/>
    </row>
    <row r="198">
      <c r="A198" s="116">
        <f t="shared" si="2"/>
        <v>197</v>
      </c>
      <c r="B198" s="127" t="s">
        <v>2768</v>
      </c>
      <c r="C198" s="119" t="s">
        <v>2769</v>
      </c>
      <c r="D198" s="117" t="s">
        <v>19</v>
      </c>
      <c r="E198" s="119" t="s">
        <v>2770</v>
      </c>
      <c r="F198" s="117">
        <v>369.0</v>
      </c>
      <c r="G198" s="117" t="s">
        <v>21</v>
      </c>
      <c r="H198" s="117" t="s">
        <v>22</v>
      </c>
      <c r="I198" s="121">
        <v>46177.0</v>
      </c>
      <c r="J198" s="120" t="s">
        <v>23</v>
      </c>
      <c r="K198" s="122"/>
      <c r="L198" s="123">
        <v>0.3333333333333333</v>
      </c>
      <c r="M198" s="123">
        <v>0.9791666666666666</v>
      </c>
      <c r="N198" s="125" t="s">
        <v>4539</v>
      </c>
      <c r="O198" s="116" t="str">
        <f>IFERROR(__xludf.DUMMYFUNCTION("REGEXEXTRACT(N198,""^-?[0-9.]+"")"),"-7.28609962406274")</f>
        <v>-7.28609962406274</v>
      </c>
      <c r="P198" s="124" t="str">
        <f>IFERROR(__xludf.DUMMYFUNCTION("REGEXEXTRACT(N198,"",\s*(-?[0-9.]+)"")"),"112.75613486767436")</f>
        <v>112.75613486767436</v>
      </c>
      <c r="Q198" s="126"/>
      <c r="R198" s="122"/>
      <c r="S198" s="122"/>
      <c r="T198" s="122"/>
      <c r="U198" s="122"/>
      <c r="V198" s="122"/>
      <c r="W198" s="122"/>
      <c r="X198" s="122"/>
      <c r="Y198" s="122"/>
      <c r="Z198" s="122"/>
      <c r="AA198" s="122"/>
      <c r="AB198" s="122"/>
      <c r="AC198" s="122"/>
      <c r="AD198" s="122"/>
      <c r="AE198" s="122"/>
    </row>
    <row r="199">
      <c r="A199" s="116">
        <f t="shared" si="2"/>
        <v>198</v>
      </c>
      <c r="B199" s="117" t="s">
        <v>1118</v>
      </c>
      <c r="C199" s="119" t="s">
        <v>1119</v>
      </c>
      <c r="D199" s="117" t="s">
        <v>19</v>
      </c>
      <c r="E199" s="119" t="s">
        <v>1120</v>
      </c>
      <c r="F199" s="117">
        <v>379.0</v>
      </c>
      <c r="G199" s="117" t="s">
        <v>21</v>
      </c>
      <c r="H199" s="117" t="s">
        <v>643</v>
      </c>
      <c r="I199" s="121">
        <v>46177.0</v>
      </c>
      <c r="J199" s="120" t="s">
        <v>23</v>
      </c>
      <c r="K199" s="122"/>
      <c r="L199" s="123">
        <v>0.4166666666666667</v>
      </c>
      <c r="M199" s="123">
        <v>0.9166666666666666</v>
      </c>
      <c r="N199" s="125" t="s">
        <v>1121</v>
      </c>
      <c r="O199" s="116" t="str">
        <f>IFERROR(__xludf.DUMMYFUNCTION("REGEXEXTRACT(N199,""^-?[0-9.]+"")"),"-7.260689672741176")</f>
        <v>-7.260689672741176</v>
      </c>
      <c r="P199" s="124" t="str">
        <f>IFERROR(__xludf.DUMMYFUNCTION("REGEXEXTRACT(N199,"",\s*(-?[0-9.]+)"")"),"112.74083752209022")</f>
        <v>112.74083752209022</v>
      </c>
      <c r="Q199" s="126"/>
      <c r="R199" s="122"/>
      <c r="S199" s="122"/>
      <c r="T199" s="122"/>
      <c r="U199" s="122"/>
      <c r="V199" s="122"/>
      <c r="W199" s="122"/>
      <c r="X199" s="122"/>
      <c r="Y199" s="122"/>
      <c r="Z199" s="122"/>
      <c r="AA199" s="122"/>
      <c r="AB199" s="122"/>
      <c r="AC199" s="122"/>
      <c r="AD199" s="122"/>
      <c r="AE199" s="122"/>
    </row>
    <row r="200">
      <c r="A200" s="116">
        <f t="shared" si="2"/>
        <v>199</v>
      </c>
      <c r="B200" s="117" t="s">
        <v>3744</v>
      </c>
      <c r="C200" s="119" t="s">
        <v>3745</v>
      </c>
      <c r="D200" s="117" t="s">
        <v>19</v>
      </c>
      <c r="E200" s="119" t="s">
        <v>3746</v>
      </c>
      <c r="F200" s="117">
        <v>1021.0</v>
      </c>
      <c r="G200" s="117" t="s">
        <v>21</v>
      </c>
      <c r="H200" s="117" t="s">
        <v>450</v>
      </c>
      <c r="I200" s="121">
        <v>46146.0</v>
      </c>
      <c r="J200" s="120" t="s">
        <v>23</v>
      </c>
      <c r="K200" s="122"/>
      <c r="L200" s="123">
        <v>0.3541666666666667</v>
      </c>
      <c r="M200" s="123">
        <v>0.9166666666666666</v>
      </c>
      <c r="N200" s="125" t="s">
        <v>3747</v>
      </c>
      <c r="O200" s="116" t="str">
        <f>IFERROR(__xludf.DUMMYFUNCTION("REGEXEXTRACT(N200,""^-?[0-9.]+"")"),"-7.261307858662409")</f>
        <v>-7.261307858662409</v>
      </c>
      <c r="P200" s="124" t="str">
        <f>IFERROR(__xludf.DUMMYFUNCTION("REGEXEXTRACT(N200,"",\s*(-?[0-9.]+)"")"),"112.73964705092631")</f>
        <v>112.73964705092631</v>
      </c>
      <c r="Q200" s="126"/>
      <c r="R200" s="122"/>
      <c r="S200" s="122"/>
      <c r="T200" s="122"/>
      <c r="U200" s="122"/>
      <c r="V200" s="122"/>
      <c r="W200" s="122"/>
      <c r="X200" s="122"/>
      <c r="Y200" s="122"/>
      <c r="Z200" s="122"/>
      <c r="AA200" s="122"/>
      <c r="AB200" s="122"/>
      <c r="AC200" s="122"/>
      <c r="AD200" s="122"/>
      <c r="AE200" s="122"/>
    </row>
    <row r="201">
      <c r="A201" s="116">
        <f t="shared" si="2"/>
        <v>200</v>
      </c>
      <c r="B201" s="117" t="s">
        <v>3739</v>
      </c>
      <c r="C201" s="119" t="s">
        <v>3740</v>
      </c>
      <c r="D201" s="117" t="s">
        <v>19</v>
      </c>
      <c r="E201" s="119" t="s">
        <v>3741</v>
      </c>
      <c r="F201" s="117">
        <v>800.0</v>
      </c>
      <c r="G201" s="117" t="s">
        <v>21</v>
      </c>
      <c r="H201" s="117" t="s">
        <v>22</v>
      </c>
      <c r="I201" s="121">
        <v>46146.0</v>
      </c>
      <c r="J201" s="120" t="s">
        <v>23</v>
      </c>
      <c r="K201" s="122"/>
      <c r="L201" s="123">
        <v>0.0</v>
      </c>
      <c r="M201" s="123">
        <v>0.9993055555555556</v>
      </c>
      <c r="N201" s="125" t="s">
        <v>3742</v>
      </c>
      <c r="O201" s="116" t="str">
        <f>IFERROR(__xludf.DUMMYFUNCTION("REGEXEXTRACT(N201,""^-?[0-9.]+"")"),"-7.326208289939449")</f>
        <v>-7.326208289939449</v>
      </c>
      <c r="P201" s="124" t="str">
        <f>IFERROR(__xludf.DUMMYFUNCTION("REGEXEXTRACT(N201,"",\s*(-?[0-9.]+)"")"),"112.78087556362767")</f>
        <v>112.78087556362767</v>
      </c>
      <c r="Q201" s="126"/>
      <c r="R201" s="122"/>
      <c r="S201" s="122"/>
      <c r="T201" s="122"/>
      <c r="U201" s="122"/>
      <c r="V201" s="122"/>
      <c r="W201" s="122"/>
      <c r="X201" s="122"/>
      <c r="Y201" s="122"/>
      <c r="Z201" s="122"/>
      <c r="AA201" s="122"/>
      <c r="AB201" s="122"/>
      <c r="AC201" s="122"/>
      <c r="AD201" s="122"/>
      <c r="AE201" s="122"/>
    </row>
    <row r="202">
      <c r="D202" s="128"/>
      <c r="I202" s="129"/>
      <c r="J202" s="66"/>
      <c r="L202" s="66"/>
      <c r="M202" s="66"/>
      <c r="N202" s="130"/>
      <c r="O202" s="80"/>
      <c r="P202" s="130"/>
      <c r="Q202" s="129"/>
    </row>
    <row r="203">
      <c r="D203" s="128"/>
      <c r="I203" s="129"/>
      <c r="J203" s="66"/>
      <c r="L203" s="66"/>
      <c r="M203" s="66"/>
      <c r="N203" s="130"/>
      <c r="P203" s="130"/>
      <c r="Q203" s="129"/>
    </row>
    <row r="204">
      <c r="D204" s="128"/>
      <c r="I204" s="129"/>
      <c r="J204" s="66"/>
      <c r="L204" s="66"/>
      <c r="M204" s="66"/>
      <c r="N204" s="130"/>
      <c r="P204" s="130"/>
      <c r="Q204" s="129"/>
    </row>
    <row r="205">
      <c r="D205" s="128"/>
      <c r="I205" s="129"/>
      <c r="J205" s="66"/>
      <c r="L205" s="66"/>
      <c r="M205" s="66"/>
      <c r="N205" s="130"/>
      <c r="P205" s="130"/>
      <c r="Q205" s="129"/>
    </row>
    <row r="206">
      <c r="D206" s="128"/>
      <c r="I206" s="129"/>
      <c r="J206" s="66"/>
      <c r="L206" s="66"/>
      <c r="M206" s="66"/>
      <c r="N206" s="130"/>
      <c r="P206" s="130"/>
      <c r="Q206" s="129"/>
    </row>
    <row r="207">
      <c r="D207" s="128"/>
      <c r="I207" s="129"/>
      <c r="J207" s="66"/>
      <c r="L207" s="66"/>
      <c r="M207" s="66"/>
      <c r="N207" s="130"/>
      <c r="P207" s="130"/>
      <c r="Q207" s="129"/>
    </row>
    <row r="208">
      <c r="D208" s="128"/>
      <c r="I208" s="129"/>
      <c r="J208" s="66"/>
      <c r="L208" s="66"/>
      <c r="M208" s="66"/>
      <c r="N208" s="130"/>
      <c r="P208" s="130"/>
      <c r="Q208" s="129"/>
    </row>
    <row r="209">
      <c r="D209" s="128"/>
      <c r="I209" s="129"/>
      <c r="J209" s="66"/>
      <c r="L209" s="66"/>
      <c r="M209" s="66"/>
      <c r="N209" s="130"/>
      <c r="P209" s="130"/>
      <c r="Q209" s="129"/>
    </row>
    <row r="210">
      <c r="D210" s="128"/>
      <c r="I210" s="129"/>
      <c r="J210" s="66"/>
      <c r="L210" s="66"/>
      <c r="M210" s="66"/>
      <c r="N210" s="130"/>
      <c r="P210" s="130"/>
      <c r="Q210" s="129"/>
    </row>
    <row r="211">
      <c r="D211" s="128"/>
      <c r="I211" s="129"/>
      <c r="J211" s="66"/>
      <c r="L211" s="66"/>
      <c r="M211" s="66"/>
      <c r="N211" s="130"/>
      <c r="P211" s="130"/>
      <c r="Q211" s="129"/>
    </row>
    <row r="212">
      <c r="D212" s="128"/>
      <c r="I212" s="129"/>
      <c r="J212" s="66"/>
      <c r="L212" s="66"/>
      <c r="M212" s="66"/>
      <c r="N212" s="130"/>
      <c r="P212" s="130"/>
      <c r="Q212" s="129"/>
    </row>
    <row r="213">
      <c r="D213" s="128"/>
      <c r="I213" s="129"/>
      <c r="J213" s="66"/>
      <c r="L213" s="66"/>
      <c r="M213" s="66"/>
      <c r="N213" s="130"/>
      <c r="P213" s="130"/>
      <c r="Q213" s="129"/>
    </row>
    <row r="214">
      <c r="D214" s="128"/>
      <c r="I214" s="129"/>
      <c r="J214" s="66"/>
      <c r="L214" s="66"/>
      <c r="M214" s="66"/>
      <c r="N214" s="130"/>
      <c r="P214" s="130"/>
      <c r="Q214" s="129"/>
    </row>
    <row r="215">
      <c r="D215" s="128"/>
      <c r="I215" s="129"/>
      <c r="J215" s="66"/>
      <c r="L215" s="66"/>
      <c r="M215" s="66"/>
      <c r="N215" s="130"/>
      <c r="P215" s="130"/>
      <c r="Q215" s="129"/>
    </row>
    <row r="216">
      <c r="D216" s="128"/>
      <c r="I216" s="129"/>
      <c r="J216" s="66"/>
      <c r="L216" s="66"/>
      <c r="M216" s="66"/>
      <c r="N216" s="130"/>
      <c r="P216" s="130"/>
      <c r="Q216" s="129"/>
    </row>
    <row r="217">
      <c r="D217" s="128"/>
      <c r="I217" s="129"/>
      <c r="J217" s="66"/>
      <c r="L217" s="66"/>
      <c r="M217" s="66"/>
      <c r="N217" s="130"/>
      <c r="P217" s="130"/>
      <c r="Q217" s="129"/>
    </row>
    <row r="218">
      <c r="D218" s="128"/>
      <c r="I218" s="129"/>
      <c r="J218" s="66"/>
      <c r="L218" s="66"/>
      <c r="M218" s="66"/>
      <c r="N218" s="130"/>
      <c r="P218" s="130"/>
      <c r="Q218" s="129"/>
    </row>
    <row r="219">
      <c r="D219" s="128"/>
      <c r="I219" s="129"/>
      <c r="J219" s="66"/>
      <c r="L219" s="66"/>
      <c r="M219" s="66"/>
      <c r="N219" s="130"/>
      <c r="P219" s="130"/>
      <c r="Q219" s="129"/>
    </row>
    <row r="220">
      <c r="D220" s="128"/>
      <c r="I220" s="129"/>
      <c r="J220" s="66"/>
      <c r="L220" s="66"/>
      <c r="M220" s="66"/>
      <c r="N220" s="130"/>
      <c r="P220" s="130"/>
      <c r="Q220" s="129"/>
    </row>
    <row r="221">
      <c r="D221" s="128"/>
      <c r="I221" s="129"/>
      <c r="J221" s="66"/>
      <c r="L221" s="66"/>
      <c r="M221" s="66"/>
      <c r="N221" s="130"/>
      <c r="P221" s="130"/>
      <c r="Q221" s="129"/>
    </row>
    <row r="222">
      <c r="D222" s="128"/>
      <c r="I222" s="129"/>
      <c r="J222" s="66"/>
      <c r="L222" s="66"/>
      <c r="M222" s="66"/>
      <c r="N222" s="130"/>
      <c r="P222" s="130"/>
      <c r="Q222" s="129"/>
    </row>
    <row r="223">
      <c r="D223" s="128"/>
      <c r="I223" s="129"/>
      <c r="J223" s="66"/>
      <c r="L223" s="66"/>
      <c r="M223" s="66"/>
      <c r="N223" s="130"/>
      <c r="P223" s="130"/>
      <c r="Q223" s="129"/>
    </row>
    <row r="224">
      <c r="D224" s="128"/>
      <c r="I224" s="129"/>
      <c r="J224" s="66"/>
      <c r="L224" s="66"/>
      <c r="M224" s="66"/>
      <c r="N224" s="130"/>
      <c r="P224" s="130"/>
      <c r="Q224" s="129"/>
    </row>
    <row r="225">
      <c r="D225" s="128"/>
      <c r="I225" s="129"/>
      <c r="J225" s="66"/>
      <c r="L225" s="66"/>
      <c r="M225" s="66"/>
      <c r="N225" s="130"/>
      <c r="P225" s="130"/>
      <c r="Q225" s="129"/>
    </row>
    <row r="226">
      <c r="D226" s="128"/>
      <c r="I226" s="129"/>
      <c r="J226" s="66"/>
      <c r="L226" s="66"/>
      <c r="M226" s="66"/>
      <c r="N226" s="130"/>
      <c r="P226" s="130"/>
      <c r="Q226" s="129"/>
    </row>
    <row r="227">
      <c r="D227" s="128"/>
      <c r="I227" s="129"/>
      <c r="J227" s="66"/>
      <c r="L227" s="66"/>
      <c r="M227" s="66"/>
      <c r="N227" s="130"/>
      <c r="P227" s="130"/>
      <c r="Q227" s="129"/>
    </row>
    <row r="228">
      <c r="D228" s="128"/>
      <c r="I228" s="129"/>
      <c r="J228" s="66"/>
      <c r="L228" s="66"/>
      <c r="M228" s="66"/>
      <c r="N228" s="130"/>
      <c r="P228" s="130"/>
      <c r="Q228" s="129"/>
    </row>
    <row r="229">
      <c r="D229" s="128"/>
      <c r="I229" s="129"/>
      <c r="J229" s="66"/>
      <c r="L229" s="66"/>
      <c r="M229" s="66"/>
      <c r="N229" s="130"/>
      <c r="P229" s="130"/>
      <c r="Q229" s="129"/>
    </row>
    <row r="230">
      <c r="D230" s="128"/>
      <c r="I230" s="129"/>
      <c r="J230" s="66"/>
      <c r="L230" s="66"/>
      <c r="M230" s="66"/>
      <c r="N230" s="130"/>
      <c r="P230" s="130"/>
      <c r="Q230" s="129"/>
    </row>
    <row r="231">
      <c r="D231" s="128"/>
      <c r="I231" s="129"/>
      <c r="J231" s="66"/>
      <c r="L231" s="66"/>
      <c r="M231" s="66"/>
      <c r="N231" s="130"/>
      <c r="P231" s="130"/>
      <c r="Q231" s="129"/>
    </row>
    <row r="232">
      <c r="D232" s="128"/>
      <c r="I232" s="129"/>
      <c r="J232" s="66"/>
      <c r="L232" s="66"/>
      <c r="M232" s="66"/>
      <c r="N232" s="130"/>
      <c r="P232" s="130"/>
      <c r="Q232" s="129"/>
    </row>
    <row r="233">
      <c r="D233" s="128"/>
      <c r="I233" s="129"/>
      <c r="J233" s="66"/>
      <c r="L233" s="66"/>
      <c r="M233" s="66"/>
      <c r="N233" s="130"/>
      <c r="P233" s="130"/>
      <c r="Q233" s="129"/>
    </row>
    <row r="234">
      <c r="D234" s="128"/>
      <c r="I234" s="129"/>
      <c r="J234" s="66"/>
      <c r="L234" s="66"/>
      <c r="M234" s="66"/>
      <c r="N234" s="130"/>
      <c r="P234" s="130"/>
      <c r="Q234" s="129"/>
    </row>
    <row r="235">
      <c r="D235" s="128"/>
      <c r="I235" s="129"/>
      <c r="J235" s="66"/>
      <c r="L235" s="66"/>
      <c r="M235" s="66"/>
      <c r="N235" s="130"/>
      <c r="P235" s="130"/>
      <c r="Q235" s="129"/>
    </row>
    <row r="236">
      <c r="D236" s="128"/>
      <c r="I236" s="129"/>
      <c r="J236" s="66"/>
      <c r="L236" s="66"/>
      <c r="M236" s="66"/>
      <c r="N236" s="130"/>
      <c r="P236" s="130"/>
      <c r="Q236" s="129"/>
    </row>
    <row r="237">
      <c r="D237" s="128"/>
      <c r="I237" s="129"/>
      <c r="J237" s="66"/>
      <c r="L237" s="66"/>
      <c r="M237" s="66"/>
      <c r="N237" s="130"/>
      <c r="P237" s="130"/>
      <c r="Q237" s="129"/>
    </row>
    <row r="238">
      <c r="D238" s="128"/>
      <c r="I238" s="129"/>
      <c r="J238" s="66"/>
      <c r="L238" s="66"/>
      <c r="M238" s="66"/>
      <c r="N238" s="130"/>
      <c r="P238" s="130"/>
      <c r="Q238" s="129"/>
    </row>
    <row r="239">
      <c r="D239" s="128"/>
      <c r="I239" s="129"/>
      <c r="J239" s="66"/>
      <c r="L239" s="66"/>
      <c r="M239" s="66"/>
      <c r="N239" s="130"/>
      <c r="P239" s="130"/>
      <c r="Q239" s="129"/>
    </row>
    <row r="240">
      <c r="D240" s="128"/>
      <c r="I240" s="129"/>
      <c r="J240" s="66"/>
      <c r="L240" s="66"/>
      <c r="M240" s="66"/>
      <c r="N240" s="130"/>
      <c r="P240" s="130"/>
      <c r="Q240" s="129"/>
    </row>
    <row r="241">
      <c r="D241" s="128"/>
      <c r="I241" s="129"/>
      <c r="J241" s="66"/>
      <c r="L241" s="66"/>
      <c r="M241" s="66"/>
      <c r="N241" s="130"/>
      <c r="P241" s="130"/>
      <c r="Q241" s="129"/>
    </row>
    <row r="242">
      <c r="D242" s="128"/>
      <c r="I242" s="129"/>
      <c r="J242" s="66"/>
      <c r="L242" s="66"/>
      <c r="M242" s="66"/>
      <c r="N242" s="130"/>
      <c r="P242" s="130"/>
      <c r="Q242" s="129"/>
    </row>
    <row r="243">
      <c r="D243" s="128"/>
      <c r="I243" s="129"/>
      <c r="J243" s="66"/>
      <c r="L243" s="66"/>
      <c r="M243" s="66"/>
      <c r="N243" s="130"/>
      <c r="P243" s="130"/>
      <c r="Q243" s="129"/>
    </row>
    <row r="244">
      <c r="D244" s="128"/>
      <c r="I244" s="129"/>
      <c r="J244" s="66"/>
      <c r="L244" s="66"/>
      <c r="M244" s="66"/>
      <c r="N244" s="130"/>
      <c r="P244" s="130"/>
      <c r="Q244" s="129"/>
    </row>
    <row r="245">
      <c r="D245" s="128"/>
      <c r="I245" s="129"/>
      <c r="J245" s="66"/>
      <c r="L245" s="66"/>
      <c r="M245" s="66"/>
      <c r="N245" s="130"/>
      <c r="P245" s="130"/>
      <c r="Q245" s="129"/>
    </row>
    <row r="246">
      <c r="D246" s="128"/>
      <c r="I246" s="129"/>
      <c r="J246" s="66"/>
      <c r="L246" s="66"/>
      <c r="M246" s="66"/>
      <c r="N246" s="130"/>
      <c r="P246" s="130"/>
      <c r="Q246" s="129"/>
    </row>
    <row r="247">
      <c r="D247" s="128"/>
      <c r="I247" s="129"/>
      <c r="J247" s="66"/>
      <c r="L247" s="66"/>
      <c r="M247" s="66"/>
      <c r="N247" s="130"/>
      <c r="P247" s="130"/>
      <c r="Q247" s="129"/>
    </row>
    <row r="248">
      <c r="D248" s="128"/>
      <c r="I248" s="129"/>
      <c r="J248" s="66"/>
      <c r="L248" s="66"/>
      <c r="M248" s="66"/>
      <c r="N248" s="130"/>
      <c r="P248" s="130"/>
      <c r="Q248" s="129"/>
    </row>
    <row r="249">
      <c r="D249" s="128"/>
      <c r="I249" s="129"/>
      <c r="J249" s="66"/>
      <c r="L249" s="66"/>
      <c r="M249" s="66"/>
      <c r="N249" s="130"/>
      <c r="P249" s="130"/>
      <c r="Q249" s="129"/>
    </row>
    <row r="250">
      <c r="D250" s="128"/>
      <c r="I250" s="129"/>
      <c r="J250" s="66"/>
      <c r="L250" s="66"/>
      <c r="M250" s="66"/>
      <c r="N250" s="130"/>
      <c r="P250" s="130"/>
      <c r="Q250" s="129"/>
    </row>
    <row r="251">
      <c r="D251" s="128"/>
      <c r="I251" s="129"/>
      <c r="J251" s="66"/>
      <c r="L251" s="66"/>
      <c r="M251" s="66"/>
      <c r="N251" s="130"/>
      <c r="P251" s="130"/>
      <c r="Q251" s="129"/>
    </row>
    <row r="252">
      <c r="D252" s="128"/>
      <c r="I252" s="129"/>
      <c r="J252" s="66"/>
      <c r="L252" s="66"/>
      <c r="M252" s="66"/>
      <c r="N252" s="130"/>
      <c r="P252" s="130"/>
      <c r="Q252" s="129"/>
    </row>
    <row r="253">
      <c r="D253" s="128"/>
      <c r="I253" s="129"/>
      <c r="J253" s="66"/>
      <c r="L253" s="66"/>
      <c r="M253" s="66"/>
      <c r="N253" s="130"/>
      <c r="P253" s="130"/>
      <c r="Q253" s="129"/>
    </row>
    <row r="254">
      <c r="D254" s="128"/>
      <c r="I254" s="129"/>
      <c r="J254" s="66"/>
      <c r="L254" s="66"/>
      <c r="M254" s="66"/>
      <c r="N254" s="130"/>
      <c r="P254" s="130"/>
      <c r="Q254" s="129"/>
    </row>
    <row r="255">
      <c r="D255" s="128"/>
      <c r="I255" s="129"/>
      <c r="J255" s="66"/>
      <c r="L255" s="66"/>
      <c r="M255" s="66"/>
      <c r="N255" s="130"/>
      <c r="P255" s="130"/>
      <c r="Q255" s="129"/>
    </row>
    <row r="256">
      <c r="D256" s="128"/>
      <c r="I256" s="129"/>
      <c r="J256" s="66"/>
      <c r="L256" s="66"/>
      <c r="M256" s="66"/>
      <c r="N256" s="130"/>
      <c r="P256" s="130"/>
      <c r="Q256" s="129"/>
    </row>
    <row r="257">
      <c r="D257" s="128"/>
      <c r="I257" s="129"/>
      <c r="J257" s="66"/>
      <c r="L257" s="66"/>
      <c r="M257" s="66"/>
      <c r="N257" s="130"/>
      <c r="P257" s="130"/>
      <c r="Q257" s="129"/>
    </row>
    <row r="258">
      <c r="D258" s="128"/>
      <c r="I258" s="129"/>
      <c r="J258" s="66"/>
      <c r="L258" s="66"/>
      <c r="M258" s="66"/>
      <c r="N258" s="130"/>
      <c r="P258" s="130"/>
      <c r="Q258" s="129"/>
    </row>
    <row r="259">
      <c r="D259" s="128"/>
      <c r="I259" s="129"/>
      <c r="J259" s="66"/>
      <c r="L259" s="66"/>
      <c r="M259" s="66"/>
      <c r="N259" s="130"/>
      <c r="P259" s="130"/>
      <c r="Q259" s="129"/>
    </row>
    <row r="260">
      <c r="D260" s="128"/>
      <c r="I260" s="129"/>
      <c r="J260" s="66"/>
      <c r="L260" s="66"/>
      <c r="M260" s="66"/>
      <c r="N260" s="130"/>
      <c r="P260" s="130"/>
      <c r="Q260" s="129"/>
    </row>
    <row r="261">
      <c r="D261" s="128"/>
      <c r="I261" s="129"/>
      <c r="J261" s="66"/>
      <c r="L261" s="66"/>
      <c r="M261" s="66"/>
      <c r="N261" s="130"/>
      <c r="P261" s="130"/>
      <c r="Q261" s="129"/>
    </row>
    <row r="262">
      <c r="D262" s="128"/>
      <c r="I262" s="129"/>
      <c r="J262" s="66"/>
      <c r="L262" s="66"/>
      <c r="M262" s="66"/>
      <c r="N262" s="130"/>
      <c r="P262" s="130"/>
      <c r="Q262" s="129"/>
    </row>
    <row r="263">
      <c r="D263" s="128"/>
      <c r="I263" s="129"/>
      <c r="J263" s="66"/>
      <c r="L263" s="66"/>
      <c r="M263" s="66"/>
      <c r="N263" s="130"/>
      <c r="P263" s="130"/>
      <c r="Q263" s="129"/>
    </row>
    <row r="264">
      <c r="D264" s="128"/>
      <c r="I264" s="129"/>
      <c r="J264" s="66"/>
      <c r="L264" s="66"/>
      <c r="M264" s="66"/>
      <c r="N264" s="130"/>
      <c r="P264" s="130"/>
      <c r="Q264" s="129"/>
    </row>
    <row r="265">
      <c r="D265" s="128"/>
      <c r="I265" s="129"/>
      <c r="J265" s="66"/>
      <c r="L265" s="66"/>
      <c r="M265" s="66"/>
      <c r="N265" s="130"/>
      <c r="P265" s="130"/>
      <c r="Q265" s="129"/>
    </row>
    <row r="266">
      <c r="D266" s="128"/>
      <c r="I266" s="129"/>
      <c r="J266" s="66"/>
      <c r="L266" s="66"/>
      <c r="M266" s="66"/>
      <c r="N266" s="130"/>
      <c r="P266" s="130"/>
      <c r="Q266" s="129"/>
    </row>
    <row r="267">
      <c r="D267" s="128"/>
      <c r="I267" s="129"/>
      <c r="J267" s="66"/>
      <c r="L267" s="66"/>
      <c r="M267" s="66"/>
      <c r="N267" s="130"/>
      <c r="P267" s="130"/>
      <c r="Q267" s="129"/>
    </row>
    <row r="268">
      <c r="D268" s="128"/>
      <c r="I268" s="129"/>
      <c r="J268" s="66"/>
      <c r="L268" s="66"/>
      <c r="M268" s="66"/>
      <c r="N268" s="130"/>
      <c r="P268" s="130"/>
      <c r="Q268" s="129"/>
    </row>
    <row r="269">
      <c r="D269" s="128"/>
      <c r="I269" s="129"/>
      <c r="J269" s="66"/>
      <c r="L269" s="66"/>
      <c r="M269" s="66"/>
      <c r="N269" s="130"/>
      <c r="P269" s="130"/>
      <c r="Q269" s="129"/>
    </row>
    <row r="270">
      <c r="D270" s="128"/>
      <c r="I270" s="129"/>
      <c r="J270" s="66"/>
      <c r="L270" s="66"/>
      <c r="M270" s="66"/>
      <c r="N270" s="130"/>
      <c r="P270" s="130"/>
      <c r="Q270" s="129"/>
    </row>
    <row r="271">
      <c r="D271" s="128"/>
      <c r="I271" s="129"/>
      <c r="J271" s="66"/>
      <c r="L271" s="66"/>
      <c r="M271" s="66"/>
      <c r="N271" s="130"/>
      <c r="P271" s="130"/>
      <c r="Q271" s="129"/>
    </row>
    <row r="272">
      <c r="D272" s="128"/>
      <c r="I272" s="129"/>
      <c r="J272" s="66"/>
      <c r="L272" s="66"/>
      <c r="M272" s="66"/>
      <c r="N272" s="130"/>
      <c r="P272" s="130"/>
      <c r="Q272" s="129"/>
    </row>
    <row r="273">
      <c r="D273" s="128"/>
      <c r="I273" s="129"/>
      <c r="J273" s="66"/>
      <c r="L273" s="66"/>
      <c r="M273" s="66"/>
      <c r="N273" s="130"/>
      <c r="P273" s="130"/>
      <c r="Q273" s="129"/>
    </row>
    <row r="274">
      <c r="D274" s="128"/>
      <c r="I274" s="129"/>
      <c r="J274" s="66"/>
      <c r="L274" s="66"/>
      <c r="M274" s="66"/>
      <c r="N274" s="130"/>
      <c r="P274" s="130"/>
      <c r="Q274" s="129"/>
    </row>
    <row r="275">
      <c r="D275" s="128"/>
      <c r="I275" s="129"/>
      <c r="J275" s="66"/>
      <c r="L275" s="66"/>
      <c r="M275" s="66"/>
      <c r="N275" s="130"/>
      <c r="P275" s="130"/>
      <c r="Q275" s="129"/>
    </row>
    <row r="276">
      <c r="D276" s="128"/>
      <c r="I276" s="129"/>
      <c r="J276" s="66"/>
      <c r="L276" s="66"/>
      <c r="M276" s="66"/>
      <c r="N276" s="130"/>
      <c r="P276" s="130"/>
      <c r="Q276" s="129"/>
    </row>
    <row r="277">
      <c r="D277" s="128"/>
      <c r="I277" s="129"/>
      <c r="J277" s="66"/>
      <c r="L277" s="66"/>
      <c r="M277" s="66"/>
      <c r="N277" s="130"/>
      <c r="P277" s="130"/>
      <c r="Q277" s="129"/>
    </row>
    <row r="278">
      <c r="D278" s="128"/>
      <c r="I278" s="129"/>
      <c r="J278" s="66"/>
      <c r="L278" s="66"/>
      <c r="M278" s="66"/>
      <c r="N278" s="130"/>
      <c r="P278" s="130"/>
      <c r="Q278" s="129"/>
    </row>
    <row r="279">
      <c r="D279" s="128"/>
      <c r="I279" s="129"/>
      <c r="J279" s="66"/>
      <c r="L279" s="66"/>
      <c r="M279" s="66"/>
      <c r="N279" s="130"/>
      <c r="P279" s="130"/>
      <c r="Q279" s="129"/>
    </row>
    <row r="280">
      <c r="D280" s="128"/>
      <c r="I280" s="129"/>
      <c r="J280" s="66"/>
      <c r="L280" s="66"/>
      <c r="M280" s="66"/>
      <c r="N280" s="130"/>
      <c r="P280" s="130"/>
      <c r="Q280" s="129"/>
    </row>
    <row r="281">
      <c r="D281" s="128"/>
      <c r="I281" s="129"/>
      <c r="J281" s="66"/>
      <c r="L281" s="66"/>
      <c r="M281" s="66"/>
      <c r="N281" s="130"/>
      <c r="P281" s="130"/>
      <c r="Q281" s="129"/>
    </row>
    <row r="282">
      <c r="D282" s="128"/>
      <c r="I282" s="129"/>
      <c r="J282" s="66"/>
      <c r="L282" s="66"/>
      <c r="M282" s="66"/>
      <c r="N282" s="130"/>
      <c r="P282" s="130"/>
      <c r="Q282" s="129"/>
    </row>
    <row r="283">
      <c r="D283" s="128"/>
      <c r="I283" s="129"/>
      <c r="J283" s="66"/>
      <c r="L283" s="66"/>
      <c r="M283" s="66"/>
      <c r="N283" s="130"/>
      <c r="P283" s="130"/>
      <c r="Q283" s="129"/>
    </row>
    <row r="284">
      <c r="D284" s="128"/>
      <c r="I284" s="129"/>
      <c r="J284" s="66"/>
      <c r="L284" s="66"/>
      <c r="M284" s="66"/>
      <c r="N284" s="130"/>
      <c r="P284" s="130"/>
      <c r="Q284" s="129"/>
    </row>
    <row r="285">
      <c r="D285" s="128"/>
      <c r="I285" s="129"/>
      <c r="J285" s="66"/>
      <c r="L285" s="66"/>
      <c r="M285" s="66"/>
      <c r="N285" s="130"/>
      <c r="P285" s="130"/>
      <c r="Q285" s="129"/>
    </row>
    <row r="286">
      <c r="D286" s="128"/>
      <c r="I286" s="129"/>
      <c r="J286" s="66"/>
      <c r="L286" s="66"/>
      <c r="M286" s="66"/>
      <c r="N286" s="130"/>
      <c r="P286" s="130"/>
      <c r="Q286" s="129"/>
    </row>
    <row r="287">
      <c r="D287" s="128"/>
      <c r="I287" s="129"/>
      <c r="J287" s="66"/>
      <c r="L287" s="66"/>
      <c r="M287" s="66"/>
      <c r="N287" s="130"/>
      <c r="P287" s="130"/>
      <c r="Q287" s="129"/>
    </row>
    <row r="288">
      <c r="D288" s="128"/>
      <c r="I288" s="129"/>
      <c r="J288" s="66"/>
      <c r="L288" s="66"/>
      <c r="M288" s="66"/>
      <c r="N288" s="130"/>
      <c r="P288" s="130"/>
      <c r="Q288" s="129"/>
    </row>
    <row r="289">
      <c r="D289" s="128"/>
      <c r="I289" s="129"/>
      <c r="J289" s="66"/>
      <c r="L289" s="66"/>
      <c r="M289" s="66"/>
      <c r="N289" s="130"/>
      <c r="P289" s="130"/>
      <c r="Q289" s="129"/>
    </row>
    <row r="290">
      <c r="D290" s="128"/>
      <c r="I290" s="129"/>
      <c r="J290" s="66"/>
      <c r="L290" s="66"/>
      <c r="M290" s="66"/>
      <c r="N290" s="130"/>
      <c r="P290" s="130"/>
      <c r="Q290" s="129"/>
    </row>
    <row r="291">
      <c r="D291" s="128"/>
      <c r="I291" s="129"/>
      <c r="J291" s="66"/>
      <c r="L291" s="66"/>
      <c r="M291" s="66"/>
      <c r="N291" s="130"/>
      <c r="P291" s="130"/>
      <c r="Q291" s="129"/>
    </row>
    <row r="292">
      <c r="D292" s="128"/>
      <c r="I292" s="129"/>
      <c r="J292" s="66"/>
      <c r="L292" s="66"/>
      <c r="M292" s="66"/>
      <c r="N292" s="130"/>
      <c r="P292" s="130"/>
      <c r="Q292" s="129"/>
    </row>
    <row r="293">
      <c r="D293" s="128"/>
      <c r="I293" s="129"/>
      <c r="J293" s="66"/>
      <c r="L293" s="66"/>
      <c r="M293" s="66"/>
      <c r="N293" s="130"/>
      <c r="P293" s="130"/>
      <c r="Q293" s="129"/>
    </row>
    <row r="294">
      <c r="D294" s="128"/>
      <c r="I294" s="129"/>
      <c r="J294" s="66"/>
      <c r="L294" s="66"/>
      <c r="M294" s="66"/>
      <c r="N294" s="130"/>
      <c r="P294" s="130"/>
      <c r="Q294" s="129"/>
    </row>
    <row r="295">
      <c r="D295" s="128"/>
      <c r="I295" s="129"/>
      <c r="J295" s="66"/>
      <c r="L295" s="66"/>
      <c r="M295" s="66"/>
      <c r="N295" s="130"/>
      <c r="P295" s="130"/>
      <c r="Q295" s="129"/>
    </row>
    <row r="296">
      <c r="D296" s="128"/>
      <c r="I296" s="129"/>
      <c r="J296" s="66"/>
      <c r="L296" s="66"/>
      <c r="M296" s="66"/>
      <c r="N296" s="130"/>
      <c r="P296" s="130"/>
      <c r="Q296" s="129"/>
    </row>
    <row r="297">
      <c r="D297" s="128"/>
      <c r="I297" s="129"/>
      <c r="J297" s="66"/>
      <c r="L297" s="66"/>
      <c r="M297" s="66"/>
      <c r="N297" s="130"/>
      <c r="P297" s="130"/>
      <c r="Q297" s="129"/>
    </row>
    <row r="298">
      <c r="D298" s="128"/>
      <c r="I298" s="129"/>
      <c r="J298" s="66"/>
      <c r="L298" s="66"/>
      <c r="M298" s="66"/>
      <c r="N298" s="130"/>
      <c r="P298" s="130"/>
      <c r="Q298" s="129"/>
    </row>
    <row r="299">
      <c r="D299" s="128"/>
      <c r="I299" s="129"/>
      <c r="J299" s="66"/>
      <c r="L299" s="66"/>
      <c r="M299" s="66"/>
      <c r="N299" s="130"/>
      <c r="P299" s="130"/>
      <c r="Q299" s="129"/>
    </row>
    <row r="300">
      <c r="D300" s="128"/>
      <c r="I300" s="129"/>
      <c r="J300" s="66"/>
      <c r="L300" s="66"/>
      <c r="M300" s="66"/>
      <c r="N300" s="130"/>
      <c r="P300" s="130"/>
      <c r="Q300" s="129"/>
    </row>
    <row r="301">
      <c r="D301" s="128"/>
      <c r="I301" s="129"/>
      <c r="J301" s="66"/>
      <c r="L301" s="66"/>
      <c r="M301" s="66"/>
      <c r="N301" s="130"/>
      <c r="P301" s="130"/>
      <c r="Q301" s="129"/>
    </row>
    <row r="302">
      <c r="D302" s="128"/>
      <c r="I302" s="129"/>
      <c r="J302" s="66"/>
      <c r="L302" s="66"/>
      <c r="M302" s="66"/>
      <c r="N302" s="130"/>
      <c r="P302" s="130"/>
      <c r="Q302" s="129"/>
    </row>
    <row r="303">
      <c r="D303" s="128"/>
      <c r="I303" s="129"/>
      <c r="J303" s="66"/>
      <c r="L303" s="66"/>
      <c r="M303" s="66"/>
      <c r="N303" s="130"/>
      <c r="P303" s="130"/>
      <c r="Q303" s="129"/>
    </row>
    <row r="304">
      <c r="D304" s="128"/>
      <c r="I304" s="129"/>
      <c r="J304" s="66"/>
      <c r="L304" s="66"/>
      <c r="M304" s="66"/>
      <c r="N304" s="130"/>
      <c r="P304" s="130"/>
      <c r="Q304" s="129"/>
    </row>
    <row r="305">
      <c r="D305" s="128"/>
      <c r="I305" s="129"/>
      <c r="J305" s="66"/>
      <c r="L305" s="66"/>
      <c r="M305" s="66"/>
      <c r="N305" s="130"/>
      <c r="P305" s="130"/>
      <c r="Q305" s="129"/>
    </row>
    <row r="306">
      <c r="D306" s="128"/>
      <c r="I306" s="129"/>
      <c r="J306" s="66"/>
      <c r="L306" s="66"/>
      <c r="M306" s="66"/>
      <c r="N306" s="130"/>
      <c r="P306" s="130"/>
      <c r="Q306" s="129"/>
    </row>
    <row r="307">
      <c r="D307" s="128"/>
      <c r="I307" s="129"/>
      <c r="J307" s="66"/>
      <c r="L307" s="66"/>
      <c r="M307" s="66"/>
      <c r="N307" s="130"/>
      <c r="P307" s="130"/>
      <c r="Q307" s="129"/>
    </row>
    <row r="308">
      <c r="D308" s="128"/>
      <c r="I308" s="129"/>
      <c r="J308" s="66"/>
      <c r="L308" s="66"/>
      <c r="M308" s="66"/>
      <c r="N308" s="130"/>
      <c r="P308" s="130"/>
      <c r="Q308" s="129"/>
    </row>
    <row r="309">
      <c r="D309" s="128"/>
      <c r="I309" s="129"/>
      <c r="J309" s="66"/>
      <c r="L309" s="66"/>
      <c r="M309" s="66"/>
      <c r="N309" s="130"/>
      <c r="P309" s="130"/>
      <c r="Q309" s="129"/>
    </row>
    <row r="310">
      <c r="D310" s="128"/>
      <c r="I310" s="129"/>
      <c r="J310" s="66"/>
      <c r="L310" s="66"/>
      <c r="M310" s="66"/>
      <c r="N310" s="130"/>
      <c r="P310" s="130"/>
      <c r="Q310" s="129"/>
    </row>
    <row r="311">
      <c r="D311" s="128"/>
      <c r="I311" s="129"/>
      <c r="J311" s="66"/>
      <c r="L311" s="66"/>
      <c r="M311" s="66"/>
      <c r="N311" s="130"/>
      <c r="P311" s="130"/>
      <c r="Q311" s="129"/>
    </row>
    <row r="312">
      <c r="D312" s="128"/>
      <c r="I312" s="129"/>
      <c r="J312" s="66"/>
      <c r="L312" s="66"/>
      <c r="M312" s="66"/>
      <c r="N312" s="130"/>
      <c r="P312" s="130"/>
      <c r="Q312" s="129"/>
    </row>
    <row r="313">
      <c r="D313" s="128"/>
      <c r="I313" s="129"/>
      <c r="J313" s="66"/>
      <c r="L313" s="66"/>
      <c r="M313" s="66"/>
      <c r="N313" s="130"/>
      <c r="P313" s="130"/>
      <c r="Q313" s="129"/>
    </row>
    <row r="314">
      <c r="D314" s="128"/>
      <c r="I314" s="129"/>
      <c r="J314" s="66"/>
      <c r="L314" s="66"/>
      <c r="M314" s="66"/>
      <c r="N314" s="130"/>
      <c r="P314" s="130"/>
      <c r="Q314" s="129"/>
    </row>
    <row r="315">
      <c r="D315" s="128"/>
      <c r="I315" s="129"/>
      <c r="J315" s="66"/>
      <c r="L315" s="66"/>
      <c r="M315" s="66"/>
      <c r="N315" s="130"/>
      <c r="P315" s="130"/>
      <c r="Q315" s="129"/>
    </row>
    <row r="316">
      <c r="D316" s="128"/>
      <c r="I316" s="129"/>
      <c r="J316" s="66"/>
      <c r="L316" s="66"/>
      <c r="M316" s="66"/>
      <c r="N316" s="130"/>
      <c r="P316" s="130"/>
      <c r="Q316" s="129"/>
    </row>
    <row r="317">
      <c r="D317" s="128"/>
      <c r="I317" s="129"/>
      <c r="J317" s="66"/>
      <c r="L317" s="66"/>
      <c r="M317" s="66"/>
      <c r="N317" s="130"/>
      <c r="P317" s="130"/>
      <c r="Q317" s="129"/>
    </row>
    <row r="318">
      <c r="D318" s="128"/>
      <c r="I318" s="129"/>
      <c r="J318" s="66"/>
      <c r="L318" s="66"/>
      <c r="M318" s="66"/>
      <c r="N318" s="130"/>
      <c r="P318" s="130"/>
      <c r="Q318" s="129"/>
    </row>
    <row r="319">
      <c r="D319" s="128"/>
      <c r="I319" s="129"/>
      <c r="J319" s="66"/>
      <c r="L319" s="66"/>
      <c r="M319" s="66"/>
      <c r="N319" s="130"/>
      <c r="P319" s="130"/>
      <c r="Q319" s="129"/>
    </row>
    <row r="320">
      <c r="D320" s="128"/>
      <c r="I320" s="129"/>
      <c r="J320" s="66"/>
      <c r="L320" s="66"/>
      <c r="M320" s="66"/>
      <c r="N320" s="130"/>
      <c r="P320" s="130"/>
      <c r="Q320" s="129"/>
    </row>
    <row r="321">
      <c r="D321" s="128"/>
      <c r="I321" s="129"/>
      <c r="J321" s="66"/>
      <c r="L321" s="66"/>
      <c r="M321" s="66"/>
      <c r="N321" s="130"/>
      <c r="P321" s="130"/>
      <c r="Q321" s="129"/>
    </row>
    <row r="322">
      <c r="D322" s="128"/>
      <c r="I322" s="129"/>
      <c r="J322" s="66"/>
      <c r="L322" s="66"/>
      <c r="M322" s="66"/>
      <c r="N322" s="130"/>
      <c r="P322" s="130"/>
      <c r="Q322" s="129"/>
    </row>
    <row r="323">
      <c r="D323" s="128"/>
      <c r="I323" s="129"/>
      <c r="J323" s="66"/>
      <c r="L323" s="66"/>
      <c r="M323" s="66"/>
      <c r="N323" s="130"/>
      <c r="P323" s="130"/>
      <c r="Q323" s="129"/>
    </row>
    <row r="324">
      <c r="D324" s="128"/>
      <c r="I324" s="129"/>
      <c r="J324" s="66"/>
      <c r="L324" s="66"/>
      <c r="M324" s="66"/>
      <c r="N324" s="130"/>
      <c r="P324" s="130"/>
      <c r="Q324" s="129"/>
    </row>
    <row r="325">
      <c r="D325" s="128"/>
      <c r="I325" s="129"/>
      <c r="J325" s="66"/>
      <c r="L325" s="66"/>
      <c r="M325" s="66"/>
      <c r="N325" s="130"/>
      <c r="P325" s="130"/>
      <c r="Q325" s="129"/>
    </row>
    <row r="326">
      <c r="D326" s="128"/>
      <c r="I326" s="129"/>
      <c r="J326" s="66"/>
      <c r="L326" s="66"/>
      <c r="M326" s="66"/>
      <c r="N326" s="130"/>
      <c r="P326" s="130"/>
      <c r="Q326" s="129"/>
    </row>
    <row r="327">
      <c r="D327" s="128"/>
      <c r="I327" s="129"/>
      <c r="J327" s="66"/>
      <c r="L327" s="66"/>
      <c r="M327" s="66"/>
      <c r="N327" s="130"/>
      <c r="P327" s="130"/>
      <c r="Q327" s="129"/>
    </row>
    <row r="328">
      <c r="D328" s="128"/>
      <c r="I328" s="129"/>
      <c r="J328" s="66"/>
      <c r="L328" s="66"/>
      <c r="M328" s="66"/>
      <c r="N328" s="130"/>
      <c r="P328" s="130"/>
      <c r="Q328" s="129"/>
    </row>
    <row r="329">
      <c r="D329" s="128"/>
      <c r="I329" s="129"/>
      <c r="J329" s="66"/>
      <c r="L329" s="66"/>
      <c r="M329" s="66"/>
      <c r="N329" s="130"/>
      <c r="P329" s="130"/>
      <c r="Q329" s="129"/>
    </row>
    <row r="330">
      <c r="D330" s="128"/>
      <c r="I330" s="129"/>
      <c r="J330" s="66"/>
      <c r="L330" s="66"/>
      <c r="M330" s="66"/>
      <c r="N330" s="130"/>
      <c r="P330" s="130"/>
      <c r="Q330" s="129"/>
    </row>
    <row r="331">
      <c r="D331" s="128"/>
      <c r="I331" s="129"/>
      <c r="J331" s="66"/>
      <c r="L331" s="66"/>
      <c r="M331" s="66"/>
      <c r="N331" s="130"/>
      <c r="P331" s="130"/>
      <c r="Q331" s="129"/>
    </row>
    <row r="332">
      <c r="D332" s="128"/>
      <c r="I332" s="129"/>
      <c r="J332" s="66"/>
      <c r="L332" s="66"/>
      <c r="M332" s="66"/>
      <c r="N332" s="130"/>
      <c r="P332" s="130"/>
      <c r="Q332" s="129"/>
    </row>
    <row r="333">
      <c r="D333" s="128"/>
      <c r="I333" s="129"/>
      <c r="J333" s="66"/>
      <c r="L333" s="66"/>
      <c r="M333" s="66"/>
      <c r="N333" s="130"/>
      <c r="P333" s="130"/>
      <c r="Q333" s="129"/>
    </row>
    <row r="334">
      <c r="D334" s="128"/>
      <c r="I334" s="129"/>
      <c r="J334" s="66"/>
      <c r="L334" s="66"/>
      <c r="M334" s="66"/>
      <c r="N334" s="130"/>
      <c r="P334" s="130"/>
      <c r="Q334" s="129"/>
    </row>
    <row r="335">
      <c r="D335" s="128"/>
      <c r="I335" s="129"/>
      <c r="J335" s="66"/>
      <c r="L335" s="66"/>
      <c r="M335" s="66"/>
      <c r="N335" s="130"/>
      <c r="P335" s="130"/>
      <c r="Q335" s="129"/>
    </row>
    <row r="336">
      <c r="D336" s="128"/>
      <c r="I336" s="129"/>
      <c r="J336" s="66"/>
      <c r="L336" s="66"/>
      <c r="M336" s="66"/>
      <c r="N336" s="130"/>
      <c r="P336" s="130"/>
      <c r="Q336" s="129"/>
    </row>
    <row r="337">
      <c r="D337" s="128"/>
      <c r="I337" s="129"/>
      <c r="J337" s="66"/>
      <c r="L337" s="66"/>
      <c r="M337" s="66"/>
      <c r="N337" s="130"/>
      <c r="P337" s="130"/>
      <c r="Q337" s="129"/>
    </row>
    <row r="338">
      <c r="D338" s="128"/>
      <c r="I338" s="129"/>
      <c r="J338" s="66"/>
      <c r="L338" s="66"/>
      <c r="M338" s="66"/>
      <c r="N338" s="130"/>
      <c r="P338" s="130"/>
      <c r="Q338" s="129"/>
    </row>
    <row r="339">
      <c r="D339" s="128"/>
      <c r="I339" s="129"/>
      <c r="J339" s="66"/>
      <c r="L339" s="66"/>
      <c r="M339" s="66"/>
      <c r="N339" s="130"/>
      <c r="P339" s="130"/>
      <c r="Q339" s="129"/>
    </row>
    <row r="340">
      <c r="D340" s="128"/>
      <c r="I340" s="129"/>
      <c r="J340" s="66"/>
      <c r="L340" s="66"/>
      <c r="M340" s="66"/>
      <c r="N340" s="130"/>
      <c r="P340" s="130"/>
      <c r="Q340" s="129"/>
    </row>
    <row r="341">
      <c r="D341" s="128"/>
      <c r="I341" s="129"/>
      <c r="J341" s="66"/>
      <c r="L341" s="66"/>
      <c r="M341" s="66"/>
      <c r="N341" s="130"/>
      <c r="P341" s="130"/>
      <c r="Q341" s="129"/>
    </row>
    <row r="342">
      <c r="D342" s="128"/>
      <c r="I342" s="129"/>
      <c r="J342" s="66"/>
      <c r="L342" s="66"/>
      <c r="M342" s="66"/>
      <c r="N342" s="130"/>
      <c r="P342" s="130"/>
      <c r="Q342" s="129"/>
    </row>
    <row r="343">
      <c r="D343" s="128"/>
      <c r="I343" s="129"/>
      <c r="J343" s="66"/>
      <c r="L343" s="66"/>
      <c r="M343" s="66"/>
      <c r="N343" s="130"/>
      <c r="P343" s="130"/>
      <c r="Q343" s="129"/>
    </row>
    <row r="344">
      <c r="D344" s="128"/>
      <c r="I344" s="129"/>
      <c r="J344" s="66"/>
      <c r="L344" s="66"/>
      <c r="M344" s="66"/>
      <c r="N344" s="130"/>
      <c r="P344" s="130"/>
      <c r="Q344" s="129"/>
    </row>
    <row r="345">
      <c r="D345" s="128"/>
      <c r="I345" s="129"/>
      <c r="J345" s="66"/>
      <c r="L345" s="66"/>
      <c r="M345" s="66"/>
      <c r="N345" s="130"/>
      <c r="P345" s="130"/>
      <c r="Q345" s="129"/>
    </row>
    <row r="346">
      <c r="D346" s="128"/>
      <c r="I346" s="129"/>
      <c r="J346" s="66"/>
      <c r="L346" s="66"/>
      <c r="M346" s="66"/>
      <c r="N346" s="130"/>
      <c r="P346" s="130"/>
      <c r="Q346" s="129"/>
    </row>
    <row r="347">
      <c r="D347" s="128"/>
      <c r="I347" s="129"/>
      <c r="J347" s="66"/>
      <c r="L347" s="66"/>
      <c r="M347" s="66"/>
      <c r="N347" s="130"/>
      <c r="P347" s="130"/>
      <c r="Q347" s="129"/>
    </row>
    <row r="348">
      <c r="D348" s="128"/>
      <c r="I348" s="129"/>
      <c r="J348" s="66"/>
      <c r="L348" s="66"/>
      <c r="M348" s="66"/>
      <c r="N348" s="130"/>
      <c r="P348" s="130"/>
      <c r="Q348" s="129"/>
    </row>
    <row r="349">
      <c r="D349" s="128"/>
      <c r="I349" s="129"/>
      <c r="J349" s="66"/>
      <c r="L349" s="66"/>
      <c r="M349" s="66"/>
      <c r="N349" s="130"/>
      <c r="P349" s="130"/>
      <c r="Q349" s="129"/>
    </row>
    <row r="350">
      <c r="D350" s="128"/>
      <c r="I350" s="129"/>
      <c r="J350" s="66"/>
      <c r="L350" s="66"/>
      <c r="M350" s="66"/>
      <c r="N350" s="130"/>
      <c r="P350" s="130"/>
      <c r="Q350" s="129"/>
    </row>
    <row r="351">
      <c r="D351" s="128"/>
      <c r="I351" s="129"/>
      <c r="J351" s="66"/>
      <c r="L351" s="66"/>
      <c r="M351" s="66"/>
      <c r="N351" s="130"/>
      <c r="P351" s="130"/>
      <c r="Q351" s="129"/>
    </row>
    <row r="352">
      <c r="D352" s="128"/>
      <c r="I352" s="129"/>
      <c r="J352" s="66"/>
      <c r="L352" s="66"/>
      <c r="M352" s="66"/>
      <c r="N352" s="130"/>
      <c r="P352" s="130"/>
      <c r="Q352" s="129"/>
    </row>
    <row r="353">
      <c r="D353" s="128"/>
      <c r="I353" s="129"/>
      <c r="J353" s="66"/>
      <c r="L353" s="66"/>
      <c r="M353" s="66"/>
      <c r="N353" s="130"/>
      <c r="P353" s="130"/>
      <c r="Q353" s="129"/>
    </row>
    <row r="354">
      <c r="D354" s="128"/>
      <c r="I354" s="129"/>
      <c r="J354" s="66"/>
      <c r="L354" s="66"/>
      <c r="M354" s="66"/>
      <c r="N354" s="130"/>
      <c r="P354" s="130"/>
      <c r="Q354" s="129"/>
    </row>
    <row r="355">
      <c r="D355" s="128"/>
      <c r="I355" s="129"/>
      <c r="J355" s="66"/>
      <c r="L355" s="66"/>
      <c r="M355" s="66"/>
      <c r="N355" s="130"/>
      <c r="P355" s="130"/>
      <c r="Q355" s="129"/>
    </row>
    <row r="356">
      <c r="D356" s="128"/>
      <c r="I356" s="129"/>
      <c r="J356" s="66"/>
      <c r="L356" s="66"/>
      <c r="M356" s="66"/>
      <c r="N356" s="130"/>
      <c r="P356" s="130"/>
      <c r="Q356" s="129"/>
    </row>
    <row r="357">
      <c r="D357" s="128"/>
      <c r="I357" s="129"/>
      <c r="J357" s="66"/>
      <c r="L357" s="66"/>
      <c r="M357" s="66"/>
      <c r="N357" s="130"/>
      <c r="P357" s="130"/>
      <c r="Q357" s="129"/>
    </row>
    <row r="358">
      <c r="D358" s="128"/>
      <c r="I358" s="129"/>
      <c r="J358" s="66"/>
      <c r="L358" s="66"/>
      <c r="M358" s="66"/>
      <c r="N358" s="130"/>
      <c r="P358" s="130"/>
      <c r="Q358" s="129"/>
    </row>
    <row r="359">
      <c r="D359" s="128"/>
      <c r="I359" s="129"/>
      <c r="J359" s="66"/>
      <c r="L359" s="66"/>
      <c r="M359" s="66"/>
      <c r="N359" s="130"/>
      <c r="P359" s="130"/>
      <c r="Q359" s="129"/>
    </row>
    <row r="360">
      <c r="D360" s="128"/>
      <c r="I360" s="129"/>
      <c r="J360" s="66"/>
      <c r="L360" s="66"/>
      <c r="M360" s="66"/>
      <c r="N360" s="130"/>
      <c r="P360" s="130"/>
      <c r="Q360" s="129"/>
    </row>
    <row r="361">
      <c r="D361" s="128"/>
      <c r="I361" s="129"/>
      <c r="J361" s="66"/>
      <c r="L361" s="66"/>
      <c r="M361" s="66"/>
      <c r="N361" s="130"/>
      <c r="P361" s="130"/>
      <c r="Q361" s="129"/>
    </row>
    <row r="362">
      <c r="D362" s="128"/>
      <c r="I362" s="129"/>
      <c r="J362" s="66"/>
      <c r="L362" s="66"/>
      <c r="M362" s="66"/>
      <c r="N362" s="130"/>
      <c r="P362" s="130"/>
      <c r="Q362" s="129"/>
    </row>
    <row r="363">
      <c r="D363" s="128"/>
      <c r="I363" s="129"/>
      <c r="J363" s="66"/>
      <c r="L363" s="66"/>
      <c r="M363" s="66"/>
      <c r="N363" s="130"/>
      <c r="P363" s="130"/>
      <c r="Q363" s="129"/>
    </row>
    <row r="364">
      <c r="D364" s="128"/>
      <c r="I364" s="129"/>
      <c r="J364" s="66"/>
      <c r="L364" s="66"/>
      <c r="M364" s="66"/>
      <c r="N364" s="130"/>
      <c r="P364" s="130"/>
      <c r="Q364" s="129"/>
    </row>
    <row r="365">
      <c r="D365" s="128"/>
      <c r="I365" s="129"/>
      <c r="J365" s="66"/>
      <c r="L365" s="66"/>
      <c r="M365" s="66"/>
      <c r="N365" s="130"/>
      <c r="P365" s="130"/>
      <c r="Q365" s="129"/>
    </row>
    <row r="366">
      <c r="D366" s="128"/>
      <c r="I366" s="129"/>
      <c r="J366" s="66"/>
      <c r="L366" s="66"/>
      <c r="M366" s="66"/>
      <c r="N366" s="130"/>
      <c r="P366" s="130"/>
      <c r="Q366" s="129"/>
    </row>
    <row r="367">
      <c r="D367" s="128"/>
      <c r="I367" s="129"/>
      <c r="J367" s="66"/>
      <c r="L367" s="66"/>
      <c r="M367" s="66"/>
      <c r="N367" s="130"/>
      <c r="P367" s="130"/>
      <c r="Q367" s="129"/>
    </row>
    <row r="368">
      <c r="D368" s="128"/>
      <c r="I368" s="129"/>
      <c r="J368" s="66"/>
      <c r="L368" s="66"/>
      <c r="M368" s="66"/>
      <c r="N368" s="130"/>
      <c r="P368" s="130"/>
      <c r="Q368" s="129"/>
    </row>
    <row r="369">
      <c r="D369" s="128"/>
      <c r="I369" s="129"/>
      <c r="J369" s="66"/>
      <c r="L369" s="66"/>
      <c r="M369" s="66"/>
      <c r="N369" s="130"/>
      <c r="P369" s="130"/>
      <c r="Q369" s="129"/>
    </row>
    <row r="370">
      <c r="D370" s="128"/>
      <c r="I370" s="129"/>
      <c r="J370" s="66"/>
      <c r="L370" s="66"/>
      <c r="M370" s="66"/>
      <c r="N370" s="130"/>
      <c r="P370" s="130"/>
      <c r="Q370" s="129"/>
    </row>
    <row r="371">
      <c r="D371" s="128"/>
      <c r="I371" s="129"/>
      <c r="J371" s="66"/>
      <c r="L371" s="66"/>
      <c r="M371" s="66"/>
      <c r="N371" s="130"/>
      <c r="P371" s="130"/>
      <c r="Q371" s="129"/>
    </row>
    <row r="372">
      <c r="D372" s="128"/>
      <c r="I372" s="129"/>
      <c r="J372" s="66"/>
      <c r="L372" s="66"/>
      <c r="M372" s="66"/>
      <c r="N372" s="130"/>
      <c r="P372" s="130"/>
      <c r="Q372" s="129"/>
    </row>
    <row r="373">
      <c r="D373" s="128"/>
      <c r="I373" s="129"/>
      <c r="J373" s="66"/>
      <c r="L373" s="66"/>
      <c r="M373" s="66"/>
      <c r="N373" s="130"/>
      <c r="P373" s="130"/>
      <c r="Q373" s="129"/>
    </row>
    <row r="374">
      <c r="D374" s="128"/>
      <c r="I374" s="129"/>
      <c r="J374" s="66"/>
      <c r="L374" s="66"/>
      <c r="M374" s="66"/>
      <c r="N374" s="130"/>
      <c r="P374" s="130"/>
      <c r="Q374" s="129"/>
    </row>
    <row r="375">
      <c r="D375" s="128"/>
      <c r="I375" s="129"/>
      <c r="J375" s="66"/>
      <c r="L375" s="66"/>
      <c r="M375" s="66"/>
      <c r="N375" s="130"/>
      <c r="P375" s="130"/>
      <c r="Q375" s="129"/>
    </row>
    <row r="376">
      <c r="D376" s="128"/>
      <c r="I376" s="129"/>
      <c r="J376" s="66"/>
      <c r="L376" s="66"/>
      <c r="M376" s="66"/>
      <c r="N376" s="130"/>
      <c r="P376" s="130"/>
      <c r="Q376" s="129"/>
    </row>
    <row r="377">
      <c r="D377" s="128"/>
      <c r="I377" s="129"/>
      <c r="J377" s="66"/>
      <c r="L377" s="66"/>
      <c r="M377" s="66"/>
      <c r="N377" s="130"/>
      <c r="P377" s="130"/>
      <c r="Q377" s="129"/>
    </row>
    <row r="378">
      <c r="D378" s="128"/>
      <c r="I378" s="129"/>
      <c r="J378" s="66"/>
      <c r="L378" s="66"/>
      <c r="M378" s="66"/>
      <c r="N378" s="130"/>
      <c r="P378" s="130"/>
      <c r="Q378" s="129"/>
    </row>
    <row r="379">
      <c r="D379" s="128"/>
      <c r="I379" s="129"/>
      <c r="J379" s="66"/>
      <c r="L379" s="66"/>
      <c r="M379" s="66"/>
      <c r="N379" s="130"/>
      <c r="P379" s="130"/>
      <c r="Q379" s="129"/>
    </row>
    <row r="380">
      <c r="D380" s="128"/>
      <c r="I380" s="129"/>
      <c r="J380" s="66"/>
      <c r="L380" s="66"/>
      <c r="M380" s="66"/>
      <c r="N380" s="130"/>
      <c r="P380" s="130"/>
      <c r="Q380" s="129"/>
    </row>
    <row r="381">
      <c r="D381" s="128"/>
      <c r="I381" s="129"/>
      <c r="J381" s="66"/>
      <c r="L381" s="66"/>
      <c r="M381" s="66"/>
      <c r="N381" s="130"/>
      <c r="P381" s="130"/>
      <c r="Q381" s="129"/>
    </row>
    <row r="382">
      <c r="D382" s="128"/>
      <c r="I382" s="129"/>
      <c r="J382" s="66"/>
      <c r="L382" s="66"/>
      <c r="M382" s="66"/>
      <c r="N382" s="130"/>
      <c r="P382" s="130"/>
      <c r="Q382" s="129"/>
    </row>
    <row r="383">
      <c r="D383" s="128"/>
      <c r="I383" s="129"/>
      <c r="J383" s="66"/>
      <c r="L383" s="66"/>
      <c r="M383" s="66"/>
      <c r="N383" s="130"/>
      <c r="P383" s="130"/>
      <c r="Q383" s="129"/>
    </row>
    <row r="384">
      <c r="D384" s="128"/>
      <c r="I384" s="129"/>
      <c r="J384" s="66"/>
      <c r="L384" s="66"/>
      <c r="M384" s="66"/>
      <c r="N384" s="130"/>
      <c r="P384" s="130"/>
      <c r="Q384" s="129"/>
    </row>
    <row r="385">
      <c r="D385" s="128"/>
      <c r="I385" s="129"/>
      <c r="J385" s="66"/>
      <c r="L385" s="66"/>
      <c r="M385" s="66"/>
      <c r="N385" s="130"/>
      <c r="P385" s="130"/>
      <c r="Q385" s="129"/>
    </row>
    <row r="386">
      <c r="D386" s="128"/>
      <c r="I386" s="129"/>
      <c r="J386" s="66"/>
      <c r="L386" s="66"/>
      <c r="M386" s="66"/>
      <c r="N386" s="130"/>
      <c r="P386" s="130"/>
      <c r="Q386" s="129"/>
    </row>
    <row r="387">
      <c r="D387" s="128"/>
      <c r="I387" s="129"/>
      <c r="J387" s="66"/>
      <c r="L387" s="66"/>
      <c r="M387" s="66"/>
      <c r="N387" s="130"/>
      <c r="P387" s="130"/>
      <c r="Q387" s="129"/>
    </row>
    <row r="388">
      <c r="D388" s="128"/>
      <c r="I388" s="129"/>
      <c r="J388" s="66"/>
      <c r="L388" s="66"/>
      <c r="M388" s="66"/>
      <c r="N388" s="130"/>
      <c r="P388" s="130"/>
      <c r="Q388" s="129"/>
    </row>
    <row r="389">
      <c r="D389" s="128"/>
      <c r="I389" s="129"/>
      <c r="J389" s="66"/>
      <c r="L389" s="66"/>
      <c r="M389" s="66"/>
      <c r="N389" s="130"/>
      <c r="P389" s="130"/>
      <c r="Q389" s="129"/>
    </row>
    <row r="390">
      <c r="D390" s="128"/>
      <c r="I390" s="129"/>
      <c r="J390" s="66"/>
      <c r="L390" s="66"/>
      <c r="M390" s="66"/>
      <c r="N390" s="130"/>
      <c r="P390" s="130"/>
      <c r="Q390" s="129"/>
    </row>
    <row r="391">
      <c r="D391" s="128"/>
      <c r="I391" s="129"/>
      <c r="J391" s="66"/>
      <c r="L391" s="66"/>
      <c r="M391" s="66"/>
      <c r="N391" s="130"/>
      <c r="P391" s="130"/>
      <c r="Q391" s="129"/>
    </row>
    <row r="392">
      <c r="D392" s="128"/>
      <c r="I392" s="129"/>
      <c r="J392" s="66"/>
      <c r="L392" s="66"/>
      <c r="M392" s="66"/>
      <c r="N392" s="130"/>
      <c r="P392" s="130"/>
      <c r="Q392" s="129"/>
    </row>
    <row r="393">
      <c r="D393" s="128"/>
      <c r="I393" s="129"/>
      <c r="J393" s="66"/>
      <c r="L393" s="66"/>
      <c r="M393" s="66"/>
      <c r="N393" s="130"/>
      <c r="P393" s="130"/>
      <c r="Q393" s="129"/>
    </row>
    <row r="394">
      <c r="D394" s="128"/>
      <c r="I394" s="129"/>
      <c r="J394" s="66"/>
      <c r="L394" s="66"/>
      <c r="M394" s="66"/>
      <c r="N394" s="130"/>
      <c r="P394" s="130"/>
      <c r="Q394" s="129"/>
    </row>
    <row r="395">
      <c r="D395" s="128"/>
      <c r="I395" s="129"/>
      <c r="J395" s="66"/>
      <c r="L395" s="66"/>
      <c r="M395" s="66"/>
      <c r="N395" s="130"/>
      <c r="P395" s="130"/>
      <c r="Q395" s="129"/>
    </row>
    <row r="396">
      <c r="D396" s="128"/>
      <c r="I396" s="129"/>
      <c r="J396" s="66"/>
      <c r="L396" s="66"/>
      <c r="M396" s="66"/>
      <c r="N396" s="130"/>
      <c r="P396" s="130"/>
      <c r="Q396" s="129"/>
    </row>
    <row r="397">
      <c r="D397" s="128"/>
      <c r="I397" s="129"/>
      <c r="J397" s="66"/>
      <c r="L397" s="66"/>
      <c r="M397" s="66"/>
      <c r="N397" s="130"/>
      <c r="P397" s="130"/>
      <c r="Q397" s="129"/>
    </row>
    <row r="398">
      <c r="D398" s="128"/>
      <c r="I398" s="129"/>
      <c r="J398" s="66"/>
      <c r="L398" s="66"/>
      <c r="M398" s="66"/>
      <c r="N398" s="130"/>
      <c r="P398" s="130"/>
      <c r="Q398" s="129"/>
    </row>
    <row r="399">
      <c r="D399" s="128"/>
      <c r="I399" s="129"/>
      <c r="J399" s="66"/>
      <c r="L399" s="66"/>
      <c r="M399" s="66"/>
      <c r="N399" s="130"/>
      <c r="P399" s="130"/>
      <c r="Q399" s="129"/>
    </row>
    <row r="400">
      <c r="D400" s="128"/>
      <c r="I400" s="129"/>
      <c r="J400" s="66"/>
      <c r="L400" s="66"/>
      <c r="M400" s="66"/>
      <c r="N400" s="130"/>
      <c r="P400" s="130"/>
      <c r="Q400" s="129"/>
    </row>
    <row r="401">
      <c r="D401" s="128"/>
      <c r="I401" s="129"/>
      <c r="J401" s="66"/>
      <c r="L401" s="66"/>
      <c r="M401" s="66"/>
      <c r="N401" s="130"/>
      <c r="P401" s="130"/>
      <c r="Q401" s="129"/>
    </row>
    <row r="402">
      <c r="D402" s="128"/>
      <c r="I402" s="129"/>
      <c r="J402" s="66"/>
      <c r="L402" s="66"/>
      <c r="M402" s="66"/>
      <c r="N402" s="130"/>
      <c r="P402" s="130"/>
      <c r="Q402" s="129"/>
    </row>
    <row r="403">
      <c r="D403" s="128"/>
      <c r="I403" s="129"/>
      <c r="J403" s="66"/>
      <c r="L403" s="66"/>
      <c r="M403" s="66"/>
      <c r="N403" s="130"/>
      <c r="P403" s="130"/>
      <c r="Q403" s="129"/>
    </row>
    <row r="404">
      <c r="D404" s="128"/>
      <c r="I404" s="129"/>
      <c r="J404" s="66"/>
      <c r="L404" s="66"/>
      <c r="M404" s="66"/>
      <c r="N404" s="130"/>
      <c r="P404" s="130"/>
      <c r="Q404" s="129"/>
    </row>
    <row r="405">
      <c r="D405" s="128"/>
      <c r="I405" s="129"/>
      <c r="J405" s="66"/>
      <c r="L405" s="66"/>
      <c r="M405" s="66"/>
      <c r="N405" s="130"/>
      <c r="P405" s="130"/>
      <c r="Q405" s="129"/>
    </row>
    <row r="406">
      <c r="D406" s="128"/>
      <c r="I406" s="129"/>
      <c r="J406" s="66"/>
      <c r="L406" s="66"/>
      <c r="M406" s="66"/>
      <c r="N406" s="130"/>
      <c r="P406" s="130"/>
      <c r="Q406" s="129"/>
    </row>
    <row r="407">
      <c r="D407" s="128"/>
      <c r="I407" s="129"/>
      <c r="J407" s="66"/>
      <c r="L407" s="66"/>
      <c r="M407" s="66"/>
      <c r="N407" s="130"/>
      <c r="P407" s="130"/>
      <c r="Q407" s="129"/>
    </row>
    <row r="408">
      <c r="D408" s="128"/>
      <c r="I408" s="129"/>
      <c r="J408" s="66"/>
      <c r="L408" s="66"/>
      <c r="M408" s="66"/>
      <c r="N408" s="130"/>
      <c r="P408" s="130"/>
      <c r="Q408" s="129"/>
    </row>
    <row r="409">
      <c r="D409" s="128"/>
      <c r="I409" s="129"/>
      <c r="J409" s="66"/>
      <c r="L409" s="66"/>
      <c r="M409" s="66"/>
      <c r="N409" s="130"/>
      <c r="P409" s="130"/>
      <c r="Q409" s="129"/>
    </row>
    <row r="410">
      <c r="D410" s="128"/>
      <c r="I410" s="129"/>
      <c r="J410" s="66"/>
      <c r="L410" s="66"/>
      <c r="M410" s="66"/>
      <c r="N410" s="130"/>
      <c r="P410" s="130"/>
      <c r="Q410" s="129"/>
    </row>
    <row r="411">
      <c r="D411" s="128"/>
      <c r="I411" s="129"/>
      <c r="J411" s="66"/>
      <c r="L411" s="66"/>
      <c r="M411" s="66"/>
      <c r="N411" s="130"/>
      <c r="P411" s="130"/>
      <c r="Q411" s="129"/>
    </row>
    <row r="412">
      <c r="D412" s="128"/>
      <c r="I412" s="129"/>
      <c r="J412" s="66"/>
      <c r="L412" s="66"/>
      <c r="M412" s="66"/>
      <c r="N412" s="130"/>
      <c r="P412" s="130"/>
      <c r="Q412" s="129"/>
    </row>
    <row r="413">
      <c r="D413" s="128"/>
      <c r="I413" s="129"/>
      <c r="J413" s="66"/>
      <c r="L413" s="66"/>
      <c r="M413" s="66"/>
      <c r="N413" s="130"/>
      <c r="P413" s="130"/>
      <c r="Q413" s="129"/>
    </row>
    <row r="414">
      <c r="D414" s="128"/>
      <c r="I414" s="129"/>
      <c r="J414" s="66"/>
      <c r="L414" s="66"/>
      <c r="M414" s="66"/>
      <c r="N414" s="130"/>
      <c r="P414" s="130"/>
      <c r="Q414" s="129"/>
    </row>
    <row r="415">
      <c r="D415" s="128"/>
      <c r="I415" s="129"/>
      <c r="J415" s="66"/>
      <c r="L415" s="66"/>
      <c r="M415" s="66"/>
      <c r="N415" s="130"/>
      <c r="P415" s="130"/>
      <c r="Q415" s="129"/>
    </row>
    <row r="416">
      <c r="D416" s="128"/>
      <c r="I416" s="129"/>
      <c r="J416" s="66"/>
      <c r="L416" s="66"/>
      <c r="M416" s="66"/>
      <c r="N416" s="130"/>
      <c r="P416" s="130"/>
      <c r="Q416" s="129"/>
    </row>
    <row r="417">
      <c r="D417" s="128"/>
      <c r="I417" s="129"/>
      <c r="J417" s="66"/>
      <c r="L417" s="66"/>
      <c r="M417" s="66"/>
      <c r="N417" s="130"/>
      <c r="P417" s="130"/>
      <c r="Q417" s="129"/>
    </row>
    <row r="418">
      <c r="D418" s="128"/>
      <c r="I418" s="129"/>
      <c r="J418" s="66"/>
      <c r="L418" s="66"/>
      <c r="M418" s="66"/>
      <c r="N418" s="130"/>
      <c r="P418" s="130"/>
      <c r="Q418" s="129"/>
    </row>
    <row r="419">
      <c r="D419" s="128"/>
      <c r="I419" s="129"/>
      <c r="J419" s="66"/>
      <c r="L419" s="66"/>
      <c r="M419" s="66"/>
      <c r="N419" s="130"/>
      <c r="P419" s="130"/>
      <c r="Q419" s="129"/>
    </row>
    <row r="420">
      <c r="D420" s="128"/>
      <c r="I420" s="129"/>
      <c r="J420" s="66"/>
      <c r="L420" s="66"/>
      <c r="M420" s="66"/>
      <c r="N420" s="130"/>
      <c r="P420" s="130"/>
      <c r="Q420" s="129"/>
    </row>
    <row r="421">
      <c r="D421" s="128"/>
      <c r="I421" s="129"/>
      <c r="J421" s="66"/>
      <c r="L421" s="66"/>
      <c r="M421" s="66"/>
      <c r="N421" s="130"/>
      <c r="P421" s="130"/>
      <c r="Q421" s="129"/>
    </row>
    <row r="422">
      <c r="D422" s="128"/>
      <c r="I422" s="129"/>
      <c r="J422" s="66"/>
      <c r="L422" s="66"/>
      <c r="M422" s="66"/>
      <c r="N422" s="130"/>
      <c r="P422" s="130"/>
      <c r="Q422" s="129"/>
    </row>
    <row r="423">
      <c r="D423" s="128"/>
      <c r="I423" s="129"/>
      <c r="J423" s="66"/>
      <c r="L423" s="66"/>
      <c r="M423" s="66"/>
      <c r="N423" s="130"/>
      <c r="P423" s="130"/>
      <c r="Q423" s="129"/>
    </row>
    <row r="424">
      <c r="D424" s="128"/>
      <c r="I424" s="129"/>
      <c r="J424" s="66"/>
      <c r="L424" s="66"/>
      <c r="M424" s="66"/>
      <c r="N424" s="130"/>
      <c r="P424" s="130"/>
      <c r="Q424" s="129"/>
    </row>
    <row r="425">
      <c r="D425" s="128"/>
      <c r="I425" s="129"/>
      <c r="J425" s="66"/>
      <c r="L425" s="66"/>
      <c r="M425" s="66"/>
      <c r="N425" s="130"/>
      <c r="P425" s="130"/>
      <c r="Q425" s="129"/>
    </row>
    <row r="426">
      <c r="D426" s="128"/>
      <c r="I426" s="129"/>
      <c r="J426" s="66"/>
      <c r="L426" s="66"/>
      <c r="M426" s="66"/>
      <c r="N426" s="130"/>
      <c r="P426" s="130"/>
      <c r="Q426" s="129"/>
    </row>
    <row r="427">
      <c r="D427" s="128"/>
      <c r="I427" s="129"/>
      <c r="J427" s="66"/>
      <c r="L427" s="66"/>
      <c r="M427" s="66"/>
      <c r="N427" s="130"/>
      <c r="P427" s="130"/>
      <c r="Q427" s="129"/>
    </row>
    <row r="428">
      <c r="D428" s="128"/>
      <c r="I428" s="129"/>
      <c r="J428" s="66"/>
      <c r="L428" s="66"/>
      <c r="M428" s="66"/>
      <c r="N428" s="130"/>
      <c r="P428" s="130"/>
      <c r="Q428" s="129"/>
    </row>
    <row r="429">
      <c r="D429" s="128"/>
      <c r="I429" s="129"/>
      <c r="J429" s="66"/>
      <c r="L429" s="66"/>
      <c r="M429" s="66"/>
      <c r="N429" s="130"/>
      <c r="P429" s="130"/>
      <c r="Q429" s="129"/>
    </row>
    <row r="430">
      <c r="D430" s="128"/>
      <c r="I430" s="129"/>
      <c r="J430" s="66"/>
      <c r="L430" s="66"/>
      <c r="M430" s="66"/>
      <c r="N430" s="130"/>
      <c r="P430" s="130"/>
      <c r="Q430" s="129"/>
    </row>
    <row r="431">
      <c r="D431" s="128"/>
      <c r="I431" s="129"/>
      <c r="J431" s="66"/>
      <c r="L431" s="66"/>
      <c r="M431" s="66"/>
      <c r="N431" s="130"/>
      <c r="P431" s="130"/>
      <c r="Q431" s="129"/>
    </row>
    <row r="432">
      <c r="D432" s="128"/>
      <c r="I432" s="129"/>
      <c r="J432" s="66"/>
      <c r="L432" s="66"/>
      <c r="M432" s="66"/>
      <c r="N432" s="130"/>
      <c r="P432" s="130"/>
      <c r="Q432" s="129"/>
    </row>
    <row r="433">
      <c r="D433" s="128"/>
      <c r="I433" s="129"/>
      <c r="J433" s="66"/>
      <c r="L433" s="66"/>
      <c r="M433" s="66"/>
      <c r="N433" s="130"/>
      <c r="P433" s="130"/>
      <c r="Q433" s="129"/>
    </row>
    <row r="434">
      <c r="D434" s="128"/>
      <c r="I434" s="129"/>
      <c r="J434" s="66"/>
      <c r="L434" s="66"/>
      <c r="M434" s="66"/>
      <c r="N434" s="130"/>
      <c r="P434" s="130"/>
      <c r="Q434" s="129"/>
    </row>
    <row r="435">
      <c r="D435" s="128"/>
      <c r="I435" s="129"/>
      <c r="J435" s="66"/>
      <c r="L435" s="66"/>
      <c r="M435" s="66"/>
      <c r="N435" s="130"/>
      <c r="P435" s="130"/>
      <c r="Q435" s="129"/>
    </row>
    <row r="436">
      <c r="D436" s="128"/>
      <c r="I436" s="129"/>
      <c r="J436" s="66"/>
      <c r="L436" s="66"/>
      <c r="M436" s="66"/>
      <c r="N436" s="130"/>
      <c r="P436" s="130"/>
      <c r="Q436" s="129"/>
    </row>
    <row r="437">
      <c r="D437" s="128"/>
      <c r="I437" s="129"/>
      <c r="J437" s="66"/>
      <c r="L437" s="66"/>
      <c r="M437" s="66"/>
      <c r="N437" s="130"/>
      <c r="P437" s="130"/>
      <c r="Q437" s="129"/>
    </row>
    <row r="438">
      <c r="D438" s="128"/>
      <c r="I438" s="129"/>
      <c r="J438" s="66"/>
      <c r="L438" s="66"/>
      <c r="M438" s="66"/>
      <c r="N438" s="130"/>
      <c r="P438" s="130"/>
      <c r="Q438" s="129"/>
    </row>
    <row r="439">
      <c r="D439" s="128"/>
      <c r="I439" s="129"/>
      <c r="J439" s="66"/>
      <c r="L439" s="66"/>
      <c r="M439" s="66"/>
      <c r="N439" s="130"/>
      <c r="P439" s="130"/>
      <c r="Q439" s="129"/>
    </row>
    <row r="440">
      <c r="D440" s="128"/>
      <c r="I440" s="129"/>
      <c r="J440" s="66"/>
      <c r="L440" s="66"/>
      <c r="M440" s="66"/>
      <c r="N440" s="130"/>
      <c r="P440" s="130"/>
      <c r="Q440" s="129"/>
    </row>
    <row r="441">
      <c r="D441" s="128"/>
      <c r="I441" s="129"/>
      <c r="J441" s="66"/>
      <c r="L441" s="66"/>
      <c r="M441" s="66"/>
      <c r="N441" s="130"/>
      <c r="P441" s="130"/>
      <c r="Q441" s="129"/>
    </row>
    <row r="442">
      <c r="D442" s="128"/>
      <c r="I442" s="129"/>
      <c r="J442" s="66"/>
      <c r="L442" s="66"/>
      <c r="M442" s="66"/>
      <c r="N442" s="130"/>
      <c r="P442" s="130"/>
      <c r="Q442" s="129"/>
    </row>
    <row r="443">
      <c r="D443" s="128"/>
      <c r="I443" s="129"/>
      <c r="J443" s="66"/>
      <c r="L443" s="66"/>
      <c r="M443" s="66"/>
      <c r="N443" s="130"/>
      <c r="P443" s="130"/>
      <c r="Q443" s="129"/>
    </row>
    <row r="444">
      <c r="D444" s="128"/>
      <c r="I444" s="129"/>
      <c r="J444" s="66"/>
      <c r="L444" s="66"/>
      <c r="M444" s="66"/>
      <c r="N444" s="130"/>
      <c r="P444" s="130"/>
      <c r="Q444" s="129"/>
    </row>
    <row r="445">
      <c r="D445" s="128"/>
      <c r="I445" s="129"/>
      <c r="J445" s="66"/>
      <c r="L445" s="66"/>
      <c r="M445" s="66"/>
      <c r="N445" s="130"/>
      <c r="P445" s="130"/>
      <c r="Q445" s="129"/>
    </row>
    <row r="446">
      <c r="D446" s="128"/>
      <c r="I446" s="129"/>
      <c r="J446" s="66"/>
      <c r="L446" s="66"/>
      <c r="M446" s="66"/>
      <c r="N446" s="130"/>
      <c r="P446" s="130"/>
      <c r="Q446" s="129"/>
    </row>
    <row r="447">
      <c r="D447" s="128"/>
      <c r="I447" s="129"/>
      <c r="J447" s="66"/>
      <c r="L447" s="66"/>
      <c r="M447" s="66"/>
      <c r="N447" s="130"/>
      <c r="P447" s="130"/>
      <c r="Q447" s="129"/>
    </row>
    <row r="448">
      <c r="D448" s="128"/>
      <c r="I448" s="129"/>
      <c r="J448" s="66"/>
      <c r="L448" s="66"/>
      <c r="M448" s="66"/>
      <c r="N448" s="130"/>
      <c r="P448" s="130"/>
      <c r="Q448" s="129"/>
    </row>
    <row r="449">
      <c r="D449" s="128"/>
      <c r="I449" s="129"/>
      <c r="J449" s="66"/>
      <c r="L449" s="66"/>
      <c r="M449" s="66"/>
      <c r="N449" s="130"/>
      <c r="P449" s="130"/>
      <c r="Q449" s="129"/>
    </row>
    <row r="450">
      <c r="D450" s="128"/>
      <c r="I450" s="129"/>
      <c r="J450" s="66"/>
      <c r="L450" s="66"/>
      <c r="M450" s="66"/>
      <c r="N450" s="130"/>
      <c r="P450" s="130"/>
      <c r="Q450" s="129"/>
    </row>
    <row r="451">
      <c r="D451" s="128"/>
      <c r="I451" s="129"/>
      <c r="J451" s="66"/>
      <c r="L451" s="66"/>
      <c r="M451" s="66"/>
      <c r="N451" s="130"/>
      <c r="P451" s="130"/>
      <c r="Q451" s="129"/>
    </row>
    <row r="452">
      <c r="D452" s="128"/>
      <c r="I452" s="129"/>
      <c r="J452" s="66"/>
      <c r="L452" s="66"/>
      <c r="M452" s="66"/>
      <c r="N452" s="130"/>
      <c r="P452" s="130"/>
      <c r="Q452" s="129"/>
    </row>
    <row r="453">
      <c r="D453" s="128"/>
      <c r="I453" s="129"/>
      <c r="J453" s="66"/>
      <c r="L453" s="66"/>
      <c r="M453" s="66"/>
      <c r="N453" s="130"/>
      <c r="P453" s="130"/>
      <c r="Q453" s="129"/>
    </row>
    <row r="454">
      <c r="D454" s="128"/>
      <c r="I454" s="129"/>
      <c r="J454" s="66"/>
      <c r="L454" s="66"/>
      <c r="M454" s="66"/>
      <c r="N454" s="130"/>
      <c r="P454" s="130"/>
      <c r="Q454" s="129"/>
    </row>
    <row r="455">
      <c r="D455" s="128"/>
      <c r="I455" s="129"/>
      <c r="J455" s="66"/>
      <c r="L455" s="66"/>
      <c r="M455" s="66"/>
      <c r="N455" s="130"/>
      <c r="P455" s="130"/>
      <c r="Q455" s="129"/>
    </row>
    <row r="456">
      <c r="D456" s="128"/>
      <c r="I456" s="129"/>
      <c r="J456" s="66"/>
      <c r="L456" s="66"/>
      <c r="M456" s="66"/>
      <c r="N456" s="130"/>
      <c r="P456" s="130"/>
      <c r="Q456" s="129"/>
    </row>
    <row r="457">
      <c r="D457" s="128"/>
      <c r="I457" s="129"/>
      <c r="J457" s="66"/>
      <c r="L457" s="66"/>
      <c r="M457" s="66"/>
      <c r="N457" s="130"/>
      <c r="P457" s="130"/>
      <c r="Q457" s="129"/>
    </row>
    <row r="458">
      <c r="D458" s="128"/>
      <c r="I458" s="129"/>
      <c r="J458" s="66"/>
      <c r="L458" s="66"/>
      <c r="M458" s="66"/>
      <c r="N458" s="130"/>
      <c r="P458" s="130"/>
      <c r="Q458" s="129"/>
    </row>
    <row r="459">
      <c r="D459" s="128"/>
      <c r="I459" s="129"/>
      <c r="J459" s="66"/>
      <c r="L459" s="66"/>
      <c r="M459" s="66"/>
      <c r="N459" s="130"/>
      <c r="P459" s="130"/>
      <c r="Q459" s="129"/>
    </row>
    <row r="460">
      <c r="D460" s="128"/>
      <c r="I460" s="129"/>
      <c r="J460" s="66"/>
      <c r="L460" s="66"/>
      <c r="M460" s="66"/>
      <c r="N460" s="130"/>
      <c r="P460" s="130"/>
      <c r="Q460" s="129"/>
    </row>
    <row r="461">
      <c r="D461" s="128"/>
      <c r="I461" s="129"/>
      <c r="J461" s="66"/>
      <c r="L461" s="66"/>
      <c r="M461" s="66"/>
      <c r="N461" s="130"/>
      <c r="P461" s="130"/>
      <c r="Q461" s="129"/>
    </row>
    <row r="462">
      <c r="D462" s="128"/>
      <c r="I462" s="129"/>
      <c r="J462" s="66"/>
      <c r="L462" s="66"/>
      <c r="M462" s="66"/>
      <c r="N462" s="130"/>
      <c r="P462" s="130"/>
      <c r="Q462" s="129"/>
    </row>
    <row r="463">
      <c r="D463" s="128"/>
      <c r="I463" s="129"/>
      <c r="J463" s="66"/>
      <c r="L463" s="66"/>
      <c r="M463" s="66"/>
      <c r="N463" s="130"/>
      <c r="P463" s="130"/>
      <c r="Q463" s="129"/>
    </row>
    <row r="464">
      <c r="D464" s="128"/>
      <c r="I464" s="129"/>
      <c r="J464" s="66"/>
      <c r="L464" s="66"/>
      <c r="M464" s="66"/>
      <c r="N464" s="130"/>
      <c r="P464" s="130"/>
      <c r="Q464" s="129"/>
    </row>
    <row r="465">
      <c r="D465" s="128"/>
      <c r="I465" s="129"/>
      <c r="J465" s="66"/>
      <c r="L465" s="66"/>
      <c r="M465" s="66"/>
      <c r="N465" s="130"/>
      <c r="P465" s="130"/>
      <c r="Q465" s="129"/>
    </row>
    <row r="466">
      <c r="D466" s="128"/>
      <c r="I466" s="129"/>
      <c r="J466" s="66"/>
      <c r="L466" s="66"/>
      <c r="M466" s="66"/>
      <c r="N466" s="130"/>
      <c r="P466" s="130"/>
      <c r="Q466" s="129"/>
    </row>
    <row r="467">
      <c r="D467" s="128"/>
      <c r="I467" s="129"/>
      <c r="J467" s="66"/>
      <c r="L467" s="66"/>
      <c r="M467" s="66"/>
      <c r="N467" s="130"/>
      <c r="P467" s="130"/>
      <c r="Q467" s="129"/>
    </row>
    <row r="468">
      <c r="D468" s="128"/>
      <c r="I468" s="129"/>
      <c r="J468" s="66"/>
      <c r="L468" s="66"/>
      <c r="M468" s="66"/>
      <c r="N468" s="130"/>
      <c r="P468" s="130"/>
      <c r="Q468" s="129"/>
    </row>
    <row r="469">
      <c r="D469" s="128"/>
      <c r="I469" s="129"/>
      <c r="J469" s="66"/>
      <c r="L469" s="66"/>
      <c r="M469" s="66"/>
      <c r="N469" s="130"/>
      <c r="P469" s="130"/>
      <c r="Q469" s="129"/>
    </row>
    <row r="470">
      <c r="D470" s="128"/>
      <c r="I470" s="129"/>
      <c r="J470" s="66"/>
      <c r="L470" s="66"/>
      <c r="M470" s="66"/>
      <c r="N470" s="130"/>
      <c r="P470" s="130"/>
      <c r="Q470" s="129"/>
    </row>
    <row r="471">
      <c r="D471" s="128"/>
      <c r="I471" s="129"/>
      <c r="J471" s="66"/>
      <c r="L471" s="66"/>
      <c r="M471" s="66"/>
      <c r="N471" s="130"/>
      <c r="P471" s="130"/>
      <c r="Q471" s="129"/>
    </row>
    <row r="472">
      <c r="D472" s="128"/>
      <c r="I472" s="129"/>
      <c r="J472" s="66"/>
      <c r="L472" s="66"/>
      <c r="M472" s="66"/>
      <c r="N472" s="130"/>
      <c r="P472" s="130"/>
      <c r="Q472" s="129"/>
    </row>
    <row r="473">
      <c r="D473" s="128"/>
      <c r="I473" s="129"/>
      <c r="J473" s="66"/>
      <c r="L473" s="66"/>
      <c r="M473" s="66"/>
      <c r="N473" s="130"/>
      <c r="P473" s="130"/>
      <c r="Q473" s="129"/>
    </row>
    <row r="474">
      <c r="D474" s="128"/>
      <c r="I474" s="129"/>
      <c r="J474" s="66"/>
      <c r="L474" s="66"/>
      <c r="M474" s="66"/>
      <c r="N474" s="130"/>
      <c r="P474" s="130"/>
      <c r="Q474" s="129"/>
    </row>
    <row r="475">
      <c r="D475" s="128"/>
      <c r="I475" s="129"/>
      <c r="J475" s="66"/>
      <c r="L475" s="66"/>
      <c r="M475" s="66"/>
      <c r="N475" s="130"/>
      <c r="P475" s="130"/>
      <c r="Q475" s="129"/>
    </row>
    <row r="476">
      <c r="D476" s="128"/>
      <c r="I476" s="129"/>
      <c r="J476" s="66"/>
      <c r="L476" s="66"/>
      <c r="M476" s="66"/>
      <c r="N476" s="130"/>
      <c r="P476" s="130"/>
      <c r="Q476" s="129"/>
    </row>
    <row r="477">
      <c r="D477" s="128"/>
      <c r="I477" s="129"/>
      <c r="J477" s="66"/>
      <c r="L477" s="66"/>
      <c r="M477" s="66"/>
      <c r="N477" s="130"/>
      <c r="P477" s="130"/>
      <c r="Q477" s="129"/>
    </row>
    <row r="478">
      <c r="D478" s="128"/>
      <c r="I478" s="129"/>
      <c r="J478" s="66"/>
      <c r="L478" s="66"/>
      <c r="M478" s="66"/>
      <c r="N478" s="130"/>
      <c r="P478" s="130"/>
      <c r="Q478" s="129"/>
    </row>
    <row r="479">
      <c r="D479" s="128"/>
      <c r="I479" s="129"/>
      <c r="J479" s="66"/>
      <c r="L479" s="66"/>
      <c r="M479" s="66"/>
      <c r="N479" s="130"/>
      <c r="P479" s="130"/>
      <c r="Q479" s="129"/>
    </row>
    <row r="480">
      <c r="D480" s="128"/>
      <c r="I480" s="129"/>
      <c r="J480" s="66"/>
      <c r="L480" s="66"/>
      <c r="M480" s="66"/>
      <c r="N480" s="130"/>
      <c r="P480" s="130"/>
      <c r="Q480" s="129"/>
    </row>
    <row r="481">
      <c r="D481" s="128"/>
      <c r="I481" s="129"/>
      <c r="J481" s="66"/>
      <c r="L481" s="66"/>
      <c r="M481" s="66"/>
      <c r="N481" s="130"/>
      <c r="P481" s="130"/>
      <c r="Q481" s="129"/>
    </row>
    <row r="482">
      <c r="D482" s="128"/>
      <c r="I482" s="129"/>
      <c r="J482" s="66"/>
      <c r="L482" s="66"/>
      <c r="M482" s="66"/>
      <c r="N482" s="130"/>
      <c r="P482" s="130"/>
      <c r="Q482" s="129"/>
    </row>
    <row r="483">
      <c r="D483" s="128"/>
      <c r="I483" s="129"/>
      <c r="J483" s="66"/>
      <c r="L483" s="66"/>
      <c r="M483" s="66"/>
      <c r="N483" s="130"/>
      <c r="P483" s="130"/>
      <c r="Q483" s="129"/>
    </row>
    <row r="484">
      <c r="D484" s="128"/>
      <c r="I484" s="129"/>
      <c r="J484" s="66"/>
      <c r="L484" s="66"/>
      <c r="M484" s="66"/>
      <c r="N484" s="130"/>
      <c r="P484" s="130"/>
      <c r="Q484" s="129"/>
    </row>
    <row r="485">
      <c r="D485" s="128"/>
      <c r="I485" s="129"/>
      <c r="J485" s="66"/>
      <c r="L485" s="66"/>
      <c r="M485" s="66"/>
      <c r="N485" s="130"/>
      <c r="P485" s="130"/>
      <c r="Q485" s="129"/>
    </row>
    <row r="486">
      <c r="D486" s="128"/>
      <c r="I486" s="129"/>
      <c r="J486" s="66"/>
      <c r="L486" s="66"/>
      <c r="M486" s="66"/>
      <c r="N486" s="130"/>
      <c r="P486" s="130"/>
      <c r="Q486" s="129"/>
    </row>
    <row r="487">
      <c r="D487" s="128"/>
      <c r="I487" s="129"/>
      <c r="J487" s="66"/>
      <c r="L487" s="66"/>
      <c r="M487" s="66"/>
      <c r="N487" s="130"/>
      <c r="P487" s="130"/>
      <c r="Q487" s="129"/>
    </row>
    <row r="488">
      <c r="D488" s="128"/>
      <c r="I488" s="129"/>
      <c r="J488" s="66"/>
      <c r="L488" s="66"/>
      <c r="M488" s="66"/>
      <c r="N488" s="130"/>
      <c r="P488" s="130"/>
      <c r="Q488" s="129"/>
    </row>
    <row r="489">
      <c r="D489" s="128"/>
      <c r="I489" s="129"/>
      <c r="J489" s="66"/>
      <c r="L489" s="66"/>
      <c r="M489" s="66"/>
      <c r="N489" s="130"/>
      <c r="P489" s="130"/>
      <c r="Q489" s="129"/>
    </row>
    <row r="490">
      <c r="D490" s="128"/>
      <c r="I490" s="129"/>
      <c r="J490" s="66"/>
      <c r="L490" s="66"/>
      <c r="M490" s="66"/>
      <c r="N490" s="130"/>
      <c r="P490" s="130"/>
      <c r="Q490" s="129"/>
    </row>
    <row r="491">
      <c r="D491" s="128"/>
      <c r="I491" s="129"/>
      <c r="J491" s="66"/>
      <c r="L491" s="66"/>
      <c r="M491" s="66"/>
      <c r="N491" s="130"/>
      <c r="P491" s="130"/>
      <c r="Q491" s="129"/>
    </row>
    <row r="492">
      <c r="D492" s="128"/>
      <c r="I492" s="129"/>
      <c r="J492" s="66"/>
      <c r="L492" s="66"/>
      <c r="M492" s="66"/>
      <c r="N492" s="130"/>
      <c r="P492" s="130"/>
      <c r="Q492" s="129"/>
    </row>
    <row r="493">
      <c r="D493" s="128"/>
      <c r="I493" s="129"/>
      <c r="J493" s="66"/>
      <c r="L493" s="66"/>
      <c r="M493" s="66"/>
      <c r="N493" s="130"/>
      <c r="P493" s="130"/>
      <c r="Q493" s="129"/>
    </row>
    <row r="494">
      <c r="D494" s="128"/>
      <c r="I494" s="129"/>
      <c r="J494" s="66"/>
      <c r="L494" s="66"/>
      <c r="M494" s="66"/>
      <c r="N494" s="130"/>
      <c r="P494" s="130"/>
      <c r="Q494" s="129"/>
    </row>
    <row r="495">
      <c r="D495" s="128"/>
      <c r="I495" s="129"/>
      <c r="J495" s="66"/>
      <c r="L495" s="66"/>
      <c r="M495" s="66"/>
      <c r="N495" s="130"/>
      <c r="P495" s="130"/>
      <c r="Q495" s="129"/>
    </row>
    <row r="496">
      <c r="D496" s="128"/>
      <c r="I496" s="129"/>
      <c r="J496" s="66"/>
      <c r="L496" s="66"/>
      <c r="M496" s="66"/>
      <c r="N496" s="130"/>
      <c r="P496" s="130"/>
      <c r="Q496" s="129"/>
    </row>
    <row r="497">
      <c r="D497" s="128"/>
      <c r="I497" s="129"/>
      <c r="J497" s="66"/>
      <c r="L497" s="66"/>
      <c r="M497" s="66"/>
      <c r="N497" s="130"/>
      <c r="P497" s="130"/>
      <c r="Q497" s="129"/>
    </row>
    <row r="498">
      <c r="D498" s="128"/>
      <c r="I498" s="129"/>
      <c r="J498" s="66"/>
      <c r="L498" s="66"/>
      <c r="M498" s="66"/>
      <c r="N498" s="130"/>
      <c r="P498" s="130"/>
      <c r="Q498" s="129"/>
    </row>
    <row r="499">
      <c r="D499" s="128"/>
      <c r="I499" s="129"/>
      <c r="J499" s="66"/>
      <c r="L499" s="66"/>
      <c r="M499" s="66"/>
      <c r="N499" s="130"/>
      <c r="P499" s="130"/>
      <c r="Q499" s="129"/>
    </row>
    <row r="500">
      <c r="D500" s="128"/>
      <c r="I500" s="129"/>
      <c r="J500" s="66"/>
      <c r="L500" s="66"/>
      <c r="M500" s="66"/>
      <c r="N500" s="130"/>
      <c r="P500" s="130"/>
      <c r="Q500" s="129"/>
    </row>
    <row r="501">
      <c r="D501" s="128"/>
      <c r="I501" s="129"/>
      <c r="J501" s="66"/>
      <c r="L501" s="66"/>
      <c r="M501" s="66"/>
      <c r="N501" s="130"/>
      <c r="P501" s="130"/>
      <c r="Q501" s="129"/>
    </row>
    <row r="502">
      <c r="D502" s="128"/>
      <c r="I502" s="129"/>
      <c r="J502" s="66"/>
      <c r="L502" s="66"/>
      <c r="M502" s="66"/>
      <c r="N502" s="130"/>
      <c r="P502" s="130"/>
      <c r="Q502" s="129"/>
    </row>
    <row r="503">
      <c r="D503" s="128"/>
      <c r="I503" s="129"/>
      <c r="J503" s="66"/>
      <c r="L503" s="66"/>
      <c r="M503" s="66"/>
      <c r="N503" s="130"/>
      <c r="P503" s="130"/>
      <c r="Q503" s="129"/>
    </row>
    <row r="504">
      <c r="D504" s="128"/>
      <c r="I504" s="129"/>
      <c r="J504" s="66"/>
      <c r="L504" s="66"/>
      <c r="M504" s="66"/>
      <c r="N504" s="130"/>
      <c r="P504" s="130"/>
      <c r="Q504" s="129"/>
    </row>
    <row r="505">
      <c r="D505" s="128"/>
      <c r="I505" s="129"/>
      <c r="J505" s="66"/>
      <c r="L505" s="66"/>
      <c r="M505" s="66"/>
      <c r="N505" s="130"/>
      <c r="P505" s="130"/>
      <c r="Q505" s="129"/>
    </row>
    <row r="506">
      <c r="D506" s="128"/>
      <c r="I506" s="129"/>
      <c r="J506" s="66"/>
      <c r="L506" s="66"/>
      <c r="M506" s="66"/>
      <c r="N506" s="130"/>
      <c r="P506" s="130"/>
      <c r="Q506" s="129"/>
    </row>
    <row r="507">
      <c r="D507" s="128"/>
      <c r="I507" s="129"/>
      <c r="J507" s="66"/>
      <c r="L507" s="66"/>
      <c r="M507" s="66"/>
      <c r="N507" s="130"/>
      <c r="P507" s="130"/>
      <c r="Q507" s="129"/>
    </row>
    <row r="508">
      <c r="D508" s="128"/>
      <c r="I508" s="129"/>
      <c r="J508" s="66"/>
      <c r="L508" s="66"/>
      <c r="M508" s="66"/>
      <c r="N508" s="130"/>
      <c r="P508" s="130"/>
      <c r="Q508" s="129"/>
    </row>
    <row r="509">
      <c r="D509" s="128"/>
      <c r="I509" s="129"/>
      <c r="J509" s="66"/>
      <c r="L509" s="66"/>
      <c r="M509" s="66"/>
      <c r="N509" s="130"/>
      <c r="P509" s="130"/>
      <c r="Q509" s="129"/>
    </row>
    <row r="510">
      <c r="D510" s="128"/>
      <c r="I510" s="129"/>
      <c r="J510" s="66"/>
      <c r="L510" s="66"/>
      <c r="M510" s="66"/>
      <c r="N510" s="130"/>
      <c r="P510" s="130"/>
      <c r="Q510" s="129"/>
    </row>
    <row r="511">
      <c r="D511" s="128"/>
      <c r="I511" s="129"/>
      <c r="J511" s="66"/>
      <c r="L511" s="66"/>
      <c r="M511" s="66"/>
      <c r="N511" s="130"/>
      <c r="P511" s="130"/>
      <c r="Q511" s="129"/>
    </row>
    <row r="512">
      <c r="D512" s="128"/>
      <c r="I512" s="129"/>
      <c r="J512" s="66"/>
      <c r="L512" s="66"/>
      <c r="M512" s="66"/>
      <c r="N512" s="130"/>
      <c r="P512" s="130"/>
      <c r="Q512" s="129"/>
    </row>
    <row r="513">
      <c r="D513" s="128"/>
      <c r="I513" s="129"/>
      <c r="J513" s="66"/>
      <c r="L513" s="66"/>
      <c r="M513" s="66"/>
      <c r="N513" s="130"/>
      <c r="P513" s="130"/>
      <c r="Q513" s="129"/>
    </row>
    <row r="514">
      <c r="D514" s="128"/>
      <c r="I514" s="129"/>
      <c r="J514" s="66"/>
      <c r="L514" s="66"/>
      <c r="M514" s="66"/>
      <c r="N514" s="130"/>
      <c r="P514" s="130"/>
      <c r="Q514" s="129"/>
    </row>
    <row r="515">
      <c r="D515" s="128"/>
      <c r="I515" s="129"/>
      <c r="J515" s="66"/>
      <c r="L515" s="66"/>
      <c r="M515" s="66"/>
      <c r="N515" s="130"/>
      <c r="P515" s="130"/>
      <c r="Q515" s="129"/>
    </row>
    <row r="516">
      <c r="D516" s="128"/>
      <c r="I516" s="129"/>
      <c r="J516" s="66"/>
      <c r="L516" s="66"/>
      <c r="M516" s="66"/>
      <c r="N516" s="130"/>
      <c r="P516" s="130"/>
      <c r="Q516" s="129"/>
    </row>
    <row r="517">
      <c r="D517" s="128"/>
      <c r="I517" s="129"/>
      <c r="J517" s="66"/>
      <c r="L517" s="66"/>
      <c r="M517" s="66"/>
      <c r="N517" s="130"/>
      <c r="P517" s="130"/>
      <c r="Q517" s="129"/>
    </row>
    <row r="518">
      <c r="D518" s="128"/>
      <c r="I518" s="129"/>
      <c r="J518" s="66"/>
      <c r="L518" s="66"/>
      <c r="M518" s="66"/>
      <c r="N518" s="130"/>
      <c r="P518" s="130"/>
      <c r="Q518" s="129"/>
    </row>
    <row r="519">
      <c r="D519" s="128"/>
      <c r="I519" s="129"/>
      <c r="J519" s="66"/>
      <c r="L519" s="66"/>
      <c r="M519" s="66"/>
      <c r="N519" s="130"/>
      <c r="P519" s="130"/>
      <c r="Q519" s="129"/>
    </row>
    <row r="520">
      <c r="D520" s="128"/>
      <c r="I520" s="129"/>
      <c r="J520" s="66"/>
      <c r="L520" s="66"/>
      <c r="M520" s="66"/>
      <c r="N520" s="130"/>
      <c r="P520" s="130"/>
      <c r="Q520" s="129"/>
    </row>
    <row r="521">
      <c r="D521" s="128"/>
      <c r="I521" s="129"/>
      <c r="J521" s="66"/>
      <c r="L521" s="66"/>
      <c r="M521" s="66"/>
      <c r="N521" s="130"/>
      <c r="P521" s="130"/>
      <c r="Q521" s="129"/>
    </row>
    <row r="522">
      <c r="D522" s="128"/>
      <c r="I522" s="129"/>
      <c r="J522" s="66"/>
      <c r="L522" s="66"/>
      <c r="M522" s="66"/>
      <c r="N522" s="130"/>
      <c r="P522" s="130"/>
      <c r="Q522" s="129"/>
    </row>
    <row r="523">
      <c r="D523" s="128"/>
      <c r="I523" s="129"/>
      <c r="J523" s="66"/>
      <c r="L523" s="66"/>
      <c r="M523" s="66"/>
      <c r="N523" s="130"/>
      <c r="P523" s="130"/>
      <c r="Q523" s="129"/>
    </row>
    <row r="524">
      <c r="D524" s="128"/>
      <c r="I524" s="129"/>
      <c r="J524" s="66"/>
      <c r="L524" s="66"/>
      <c r="M524" s="66"/>
      <c r="N524" s="130"/>
      <c r="P524" s="130"/>
      <c r="Q524" s="129"/>
    </row>
    <row r="525">
      <c r="D525" s="128"/>
      <c r="I525" s="129"/>
      <c r="J525" s="66"/>
      <c r="L525" s="66"/>
      <c r="M525" s="66"/>
      <c r="N525" s="130"/>
      <c r="P525" s="130"/>
      <c r="Q525" s="129"/>
    </row>
    <row r="526">
      <c r="D526" s="128"/>
      <c r="I526" s="129"/>
      <c r="J526" s="66"/>
      <c r="L526" s="66"/>
      <c r="M526" s="66"/>
      <c r="N526" s="130"/>
      <c r="P526" s="130"/>
      <c r="Q526" s="129"/>
    </row>
    <row r="527">
      <c r="D527" s="128"/>
      <c r="I527" s="129"/>
      <c r="J527" s="66"/>
      <c r="L527" s="66"/>
      <c r="M527" s="66"/>
      <c r="N527" s="130"/>
      <c r="P527" s="130"/>
      <c r="Q527" s="129"/>
    </row>
    <row r="528">
      <c r="D528" s="128"/>
      <c r="I528" s="129"/>
      <c r="J528" s="66"/>
      <c r="L528" s="66"/>
      <c r="M528" s="66"/>
      <c r="N528" s="130"/>
      <c r="P528" s="130"/>
      <c r="Q528" s="129"/>
    </row>
    <row r="529">
      <c r="D529" s="128"/>
      <c r="I529" s="129"/>
      <c r="J529" s="66"/>
      <c r="L529" s="66"/>
      <c r="M529" s="66"/>
      <c r="N529" s="130"/>
      <c r="P529" s="130"/>
      <c r="Q529" s="129"/>
    </row>
    <row r="530">
      <c r="D530" s="128"/>
      <c r="I530" s="129"/>
      <c r="J530" s="66"/>
      <c r="L530" s="66"/>
      <c r="M530" s="66"/>
      <c r="N530" s="130"/>
      <c r="P530" s="130"/>
      <c r="Q530" s="129"/>
    </row>
    <row r="531">
      <c r="D531" s="128"/>
      <c r="I531" s="129"/>
      <c r="J531" s="66"/>
      <c r="L531" s="66"/>
      <c r="M531" s="66"/>
      <c r="N531" s="130"/>
      <c r="P531" s="130"/>
      <c r="Q531" s="129"/>
    </row>
    <row r="532">
      <c r="D532" s="128"/>
      <c r="I532" s="129"/>
      <c r="J532" s="66"/>
      <c r="L532" s="66"/>
      <c r="M532" s="66"/>
      <c r="N532" s="130"/>
      <c r="P532" s="130"/>
      <c r="Q532" s="129"/>
    </row>
    <row r="533">
      <c r="D533" s="128"/>
      <c r="I533" s="129"/>
      <c r="J533" s="66"/>
      <c r="L533" s="66"/>
      <c r="M533" s="66"/>
      <c r="N533" s="130"/>
      <c r="P533" s="130"/>
      <c r="Q533" s="129"/>
    </row>
    <row r="534">
      <c r="D534" s="128"/>
      <c r="I534" s="129"/>
      <c r="J534" s="66"/>
      <c r="L534" s="66"/>
      <c r="M534" s="66"/>
      <c r="N534" s="130"/>
      <c r="P534" s="130"/>
      <c r="Q534" s="129"/>
    </row>
    <row r="535">
      <c r="D535" s="128"/>
      <c r="I535" s="129"/>
      <c r="J535" s="66"/>
      <c r="L535" s="66"/>
      <c r="M535" s="66"/>
      <c r="N535" s="130"/>
      <c r="P535" s="130"/>
      <c r="Q535" s="129"/>
    </row>
    <row r="536">
      <c r="D536" s="128"/>
      <c r="I536" s="129"/>
      <c r="J536" s="66"/>
      <c r="L536" s="66"/>
      <c r="M536" s="66"/>
      <c r="N536" s="130"/>
      <c r="P536" s="130"/>
      <c r="Q536" s="129"/>
    </row>
    <row r="537">
      <c r="D537" s="128"/>
      <c r="I537" s="129"/>
      <c r="J537" s="66"/>
      <c r="L537" s="66"/>
      <c r="M537" s="66"/>
      <c r="N537" s="130"/>
      <c r="P537" s="130"/>
      <c r="Q537" s="129"/>
    </row>
    <row r="538">
      <c r="D538" s="128"/>
      <c r="I538" s="129"/>
      <c r="J538" s="66"/>
      <c r="L538" s="66"/>
      <c r="M538" s="66"/>
      <c r="N538" s="130"/>
      <c r="P538" s="130"/>
      <c r="Q538" s="129"/>
    </row>
    <row r="539">
      <c r="D539" s="128"/>
      <c r="I539" s="129"/>
      <c r="J539" s="66"/>
      <c r="L539" s="66"/>
      <c r="M539" s="66"/>
      <c r="N539" s="130"/>
      <c r="P539" s="130"/>
      <c r="Q539" s="129"/>
    </row>
    <row r="540">
      <c r="D540" s="128"/>
      <c r="I540" s="129"/>
      <c r="J540" s="66"/>
      <c r="L540" s="66"/>
      <c r="M540" s="66"/>
      <c r="N540" s="130"/>
      <c r="P540" s="130"/>
      <c r="Q540" s="129"/>
    </row>
    <row r="541">
      <c r="D541" s="128"/>
      <c r="I541" s="129"/>
      <c r="J541" s="66"/>
      <c r="L541" s="66"/>
      <c r="M541" s="66"/>
      <c r="N541" s="130"/>
      <c r="P541" s="130"/>
      <c r="Q541" s="129"/>
    </row>
    <row r="542">
      <c r="D542" s="128"/>
      <c r="I542" s="129"/>
      <c r="J542" s="66"/>
      <c r="L542" s="66"/>
      <c r="M542" s="66"/>
      <c r="N542" s="130"/>
      <c r="P542" s="130"/>
      <c r="Q542" s="129"/>
    </row>
    <row r="543">
      <c r="D543" s="128"/>
      <c r="I543" s="129"/>
      <c r="J543" s="66"/>
      <c r="L543" s="66"/>
      <c r="M543" s="66"/>
      <c r="N543" s="130"/>
      <c r="P543" s="130"/>
      <c r="Q543" s="129"/>
    </row>
    <row r="544">
      <c r="D544" s="128"/>
      <c r="I544" s="129"/>
      <c r="J544" s="66"/>
      <c r="L544" s="66"/>
      <c r="M544" s="66"/>
      <c r="N544" s="130"/>
      <c r="P544" s="130"/>
      <c r="Q544" s="129"/>
    </row>
    <row r="545">
      <c r="D545" s="128"/>
      <c r="I545" s="129"/>
      <c r="J545" s="66"/>
      <c r="L545" s="66"/>
      <c r="M545" s="66"/>
      <c r="N545" s="130"/>
      <c r="P545" s="130"/>
      <c r="Q545" s="129"/>
    </row>
    <row r="546">
      <c r="D546" s="128"/>
      <c r="I546" s="129"/>
      <c r="J546" s="66"/>
      <c r="L546" s="66"/>
      <c r="M546" s="66"/>
      <c r="N546" s="130"/>
      <c r="P546" s="130"/>
      <c r="Q546" s="129"/>
    </row>
    <row r="547">
      <c r="D547" s="128"/>
      <c r="I547" s="129"/>
      <c r="J547" s="66"/>
      <c r="L547" s="66"/>
      <c r="M547" s="66"/>
      <c r="N547" s="130"/>
      <c r="P547" s="130"/>
      <c r="Q547" s="129"/>
    </row>
    <row r="548">
      <c r="D548" s="128"/>
      <c r="I548" s="129"/>
      <c r="J548" s="66"/>
      <c r="L548" s="66"/>
      <c r="M548" s="66"/>
      <c r="N548" s="130"/>
      <c r="P548" s="130"/>
      <c r="Q548" s="129"/>
    </row>
    <row r="549">
      <c r="D549" s="128"/>
      <c r="I549" s="129"/>
      <c r="J549" s="66"/>
      <c r="L549" s="66"/>
      <c r="M549" s="66"/>
      <c r="N549" s="130"/>
      <c r="P549" s="130"/>
      <c r="Q549" s="129"/>
    </row>
    <row r="550">
      <c r="D550" s="128"/>
      <c r="I550" s="129"/>
      <c r="J550" s="66"/>
      <c r="L550" s="66"/>
      <c r="M550" s="66"/>
      <c r="N550" s="130"/>
      <c r="P550" s="130"/>
      <c r="Q550" s="129"/>
    </row>
    <row r="551">
      <c r="D551" s="128"/>
      <c r="I551" s="129"/>
      <c r="J551" s="66"/>
      <c r="L551" s="66"/>
      <c r="M551" s="66"/>
      <c r="N551" s="130"/>
      <c r="P551" s="130"/>
      <c r="Q551" s="129"/>
    </row>
    <row r="552">
      <c r="D552" s="128"/>
      <c r="I552" s="129"/>
      <c r="J552" s="66"/>
      <c r="L552" s="66"/>
      <c r="M552" s="66"/>
      <c r="N552" s="130"/>
      <c r="P552" s="130"/>
      <c r="Q552" s="129"/>
    </row>
    <row r="553">
      <c r="D553" s="128"/>
      <c r="I553" s="129"/>
      <c r="J553" s="66"/>
      <c r="L553" s="66"/>
      <c r="M553" s="66"/>
      <c r="N553" s="130"/>
      <c r="P553" s="130"/>
      <c r="Q553" s="129"/>
    </row>
    <row r="554">
      <c r="D554" s="128"/>
      <c r="I554" s="129"/>
      <c r="J554" s="66"/>
      <c r="L554" s="66"/>
      <c r="M554" s="66"/>
      <c r="N554" s="130"/>
      <c r="P554" s="130"/>
      <c r="Q554" s="129"/>
    </row>
    <row r="555">
      <c r="D555" s="128"/>
      <c r="I555" s="129"/>
      <c r="J555" s="66"/>
      <c r="L555" s="66"/>
      <c r="M555" s="66"/>
      <c r="N555" s="130"/>
      <c r="P555" s="130"/>
      <c r="Q555" s="129"/>
    </row>
    <row r="556">
      <c r="D556" s="128"/>
      <c r="I556" s="129"/>
      <c r="J556" s="66"/>
      <c r="L556" s="66"/>
      <c r="M556" s="66"/>
      <c r="N556" s="130"/>
      <c r="P556" s="130"/>
      <c r="Q556" s="129"/>
    </row>
    <row r="557">
      <c r="D557" s="128"/>
      <c r="I557" s="129"/>
      <c r="J557" s="66"/>
      <c r="L557" s="66"/>
      <c r="M557" s="66"/>
      <c r="N557" s="130"/>
      <c r="P557" s="130"/>
      <c r="Q557" s="129"/>
    </row>
    <row r="558">
      <c r="D558" s="128"/>
      <c r="I558" s="129"/>
      <c r="J558" s="66"/>
      <c r="L558" s="66"/>
      <c r="M558" s="66"/>
      <c r="N558" s="130"/>
      <c r="P558" s="130"/>
      <c r="Q558" s="129"/>
    </row>
    <row r="559">
      <c r="D559" s="128"/>
      <c r="I559" s="129"/>
      <c r="J559" s="66"/>
      <c r="L559" s="66"/>
      <c r="M559" s="66"/>
      <c r="N559" s="130"/>
      <c r="P559" s="130"/>
      <c r="Q559" s="129"/>
    </row>
    <row r="560">
      <c r="D560" s="128"/>
      <c r="I560" s="129"/>
      <c r="J560" s="66"/>
      <c r="L560" s="66"/>
      <c r="M560" s="66"/>
      <c r="N560" s="130"/>
      <c r="P560" s="130"/>
      <c r="Q560" s="129"/>
    </row>
    <row r="561">
      <c r="D561" s="128"/>
      <c r="I561" s="129"/>
      <c r="J561" s="66"/>
      <c r="L561" s="66"/>
      <c r="M561" s="66"/>
      <c r="N561" s="130"/>
      <c r="P561" s="130"/>
      <c r="Q561" s="129"/>
    </row>
    <row r="562">
      <c r="D562" s="128"/>
      <c r="I562" s="129"/>
      <c r="J562" s="66"/>
      <c r="L562" s="66"/>
      <c r="M562" s="66"/>
      <c r="N562" s="130"/>
      <c r="P562" s="130"/>
      <c r="Q562" s="129"/>
    </row>
    <row r="563">
      <c r="D563" s="128"/>
      <c r="I563" s="129"/>
      <c r="J563" s="66"/>
      <c r="L563" s="66"/>
      <c r="M563" s="66"/>
      <c r="N563" s="130"/>
      <c r="P563" s="130"/>
      <c r="Q563" s="129"/>
    </row>
    <row r="564">
      <c r="D564" s="128"/>
      <c r="I564" s="129"/>
      <c r="J564" s="66"/>
      <c r="L564" s="66"/>
      <c r="M564" s="66"/>
      <c r="N564" s="130"/>
      <c r="P564" s="130"/>
      <c r="Q564" s="129"/>
    </row>
    <row r="565">
      <c r="D565" s="128"/>
      <c r="I565" s="129"/>
      <c r="J565" s="66"/>
      <c r="L565" s="66"/>
      <c r="M565" s="66"/>
      <c r="N565" s="130"/>
      <c r="P565" s="130"/>
      <c r="Q565" s="129"/>
    </row>
    <row r="566">
      <c r="D566" s="128"/>
      <c r="I566" s="129"/>
      <c r="J566" s="66"/>
      <c r="L566" s="66"/>
      <c r="M566" s="66"/>
      <c r="N566" s="130"/>
      <c r="P566" s="130"/>
      <c r="Q566" s="129"/>
    </row>
    <row r="567">
      <c r="D567" s="128"/>
      <c r="I567" s="129"/>
      <c r="J567" s="66"/>
      <c r="L567" s="66"/>
      <c r="M567" s="66"/>
      <c r="N567" s="130"/>
      <c r="P567" s="130"/>
      <c r="Q567" s="129"/>
    </row>
    <row r="568">
      <c r="D568" s="128"/>
      <c r="I568" s="129"/>
      <c r="J568" s="66"/>
      <c r="L568" s="66"/>
      <c r="M568" s="66"/>
      <c r="N568" s="130"/>
      <c r="P568" s="130"/>
      <c r="Q568" s="129"/>
    </row>
    <row r="569">
      <c r="D569" s="128"/>
      <c r="I569" s="129"/>
      <c r="J569" s="66"/>
      <c r="L569" s="66"/>
      <c r="M569" s="66"/>
      <c r="N569" s="130"/>
      <c r="P569" s="130"/>
      <c r="Q569" s="129"/>
    </row>
    <row r="570">
      <c r="D570" s="128"/>
      <c r="I570" s="129"/>
      <c r="J570" s="66"/>
      <c r="L570" s="66"/>
      <c r="M570" s="66"/>
      <c r="N570" s="130"/>
      <c r="P570" s="130"/>
      <c r="Q570" s="129"/>
    </row>
    <row r="571">
      <c r="D571" s="128"/>
      <c r="I571" s="129"/>
      <c r="J571" s="66"/>
      <c r="L571" s="66"/>
      <c r="M571" s="66"/>
      <c r="N571" s="130"/>
      <c r="P571" s="130"/>
      <c r="Q571" s="129"/>
    </row>
    <row r="572">
      <c r="D572" s="128"/>
      <c r="I572" s="129"/>
      <c r="J572" s="66"/>
      <c r="L572" s="66"/>
      <c r="M572" s="66"/>
      <c r="N572" s="130"/>
      <c r="P572" s="130"/>
      <c r="Q572" s="129"/>
    </row>
    <row r="573">
      <c r="D573" s="128"/>
      <c r="I573" s="129"/>
      <c r="J573" s="66"/>
      <c r="L573" s="66"/>
      <c r="M573" s="66"/>
      <c r="N573" s="130"/>
      <c r="P573" s="130"/>
      <c r="Q573" s="129"/>
    </row>
    <row r="574">
      <c r="D574" s="128"/>
      <c r="I574" s="129"/>
      <c r="J574" s="66"/>
      <c r="L574" s="66"/>
      <c r="M574" s="66"/>
      <c r="N574" s="130"/>
      <c r="P574" s="130"/>
      <c r="Q574" s="129"/>
    </row>
    <row r="575">
      <c r="D575" s="128"/>
      <c r="I575" s="129"/>
      <c r="J575" s="66"/>
      <c r="L575" s="66"/>
      <c r="M575" s="66"/>
      <c r="N575" s="130"/>
      <c r="P575" s="130"/>
      <c r="Q575" s="129"/>
    </row>
    <row r="576">
      <c r="D576" s="128"/>
      <c r="I576" s="129"/>
      <c r="J576" s="66"/>
      <c r="L576" s="66"/>
      <c r="M576" s="66"/>
      <c r="N576" s="130"/>
      <c r="P576" s="130"/>
      <c r="Q576" s="129"/>
    </row>
    <row r="577">
      <c r="D577" s="128"/>
      <c r="I577" s="129"/>
      <c r="J577" s="66"/>
      <c r="L577" s="66"/>
      <c r="M577" s="66"/>
      <c r="N577" s="130"/>
      <c r="P577" s="130"/>
      <c r="Q577" s="129"/>
    </row>
    <row r="578">
      <c r="D578" s="128"/>
      <c r="I578" s="129"/>
      <c r="J578" s="66"/>
      <c r="L578" s="66"/>
      <c r="M578" s="66"/>
      <c r="N578" s="130"/>
      <c r="P578" s="130"/>
      <c r="Q578" s="129"/>
    </row>
    <row r="579">
      <c r="D579" s="128"/>
      <c r="I579" s="129"/>
      <c r="J579" s="66"/>
      <c r="L579" s="66"/>
      <c r="M579" s="66"/>
      <c r="N579" s="130"/>
      <c r="P579" s="130"/>
      <c r="Q579" s="129"/>
    </row>
    <row r="580">
      <c r="D580" s="128"/>
      <c r="I580" s="129"/>
      <c r="J580" s="66"/>
      <c r="L580" s="66"/>
      <c r="M580" s="66"/>
      <c r="N580" s="130"/>
      <c r="P580" s="130"/>
      <c r="Q580" s="129"/>
    </row>
    <row r="581">
      <c r="D581" s="128"/>
      <c r="I581" s="129"/>
      <c r="J581" s="66"/>
      <c r="L581" s="66"/>
      <c r="M581" s="66"/>
      <c r="N581" s="130"/>
      <c r="P581" s="130"/>
      <c r="Q581" s="129"/>
    </row>
    <row r="582">
      <c r="D582" s="128"/>
      <c r="I582" s="129"/>
      <c r="J582" s="66"/>
      <c r="L582" s="66"/>
      <c r="M582" s="66"/>
      <c r="N582" s="130"/>
      <c r="P582" s="130"/>
      <c r="Q582" s="129"/>
    </row>
    <row r="583">
      <c r="D583" s="128"/>
      <c r="I583" s="129"/>
      <c r="J583" s="66"/>
      <c r="L583" s="66"/>
      <c r="M583" s="66"/>
      <c r="N583" s="130"/>
      <c r="P583" s="130"/>
      <c r="Q583" s="129"/>
    </row>
    <row r="584">
      <c r="D584" s="128"/>
      <c r="I584" s="129"/>
      <c r="J584" s="66"/>
      <c r="L584" s="66"/>
      <c r="M584" s="66"/>
      <c r="N584" s="130"/>
      <c r="P584" s="130"/>
      <c r="Q584" s="129"/>
    </row>
    <row r="585">
      <c r="D585" s="128"/>
      <c r="I585" s="129"/>
      <c r="J585" s="66"/>
      <c r="L585" s="66"/>
      <c r="M585" s="66"/>
      <c r="N585" s="130"/>
      <c r="P585" s="130"/>
      <c r="Q585" s="129"/>
    </row>
    <row r="586">
      <c r="D586" s="128"/>
      <c r="I586" s="129"/>
      <c r="J586" s="66"/>
      <c r="L586" s="66"/>
      <c r="M586" s="66"/>
      <c r="N586" s="130"/>
      <c r="P586" s="130"/>
      <c r="Q586" s="129"/>
    </row>
    <row r="587">
      <c r="D587" s="128"/>
      <c r="I587" s="129"/>
      <c r="J587" s="66"/>
      <c r="L587" s="66"/>
      <c r="M587" s="66"/>
      <c r="N587" s="130"/>
      <c r="P587" s="130"/>
      <c r="Q587" s="129"/>
    </row>
    <row r="588">
      <c r="D588" s="128"/>
      <c r="I588" s="129"/>
      <c r="J588" s="66"/>
      <c r="L588" s="66"/>
      <c r="M588" s="66"/>
      <c r="N588" s="130"/>
      <c r="P588" s="130"/>
      <c r="Q588" s="129"/>
    </row>
    <row r="589">
      <c r="D589" s="128"/>
      <c r="I589" s="129"/>
      <c r="J589" s="66"/>
      <c r="L589" s="66"/>
      <c r="M589" s="66"/>
      <c r="N589" s="130"/>
      <c r="P589" s="130"/>
      <c r="Q589" s="129"/>
    </row>
    <row r="590">
      <c r="D590" s="128"/>
      <c r="I590" s="129"/>
      <c r="J590" s="66"/>
      <c r="L590" s="66"/>
      <c r="M590" s="66"/>
      <c r="N590" s="130"/>
      <c r="P590" s="130"/>
      <c r="Q590" s="129"/>
    </row>
    <row r="591">
      <c r="D591" s="128"/>
      <c r="I591" s="129"/>
      <c r="J591" s="66"/>
      <c r="L591" s="66"/>
      <c r="M591" s="66"/>
      <c r="N591" s="130"/>
      <c r="P591" s="130"/>
      <c r="Q591" s="129"/>
    </row>
    <row r="592">
      <c r="D592" s="128"/>
      <c r="I592" s="129"/>
      <c r="J592" s="66"/>
      <c r="L592" s="66"/>
      <c r="M592" s="66"/>
      <c r="N592" s="130"/>
      <c r="P592" s="130"/>
      <c r="Q592" s="129"/>
    </row>
    <row r="593">
      <c r="D593" s="128"/>
      <c r="I593" s="129"/>
      <c r="J593" s="66"/>
      <c r="L593" s="66"/>
      <c r="M593" s="66"/>
      <c r="N593" s="130"/>
      <c r="P593" s="130"/>
      <c r="Q593" s="129"/>
    </row>
    <row r="594">
      <c r="D594" s="128"/>
      <c r="I594" s="129"/>
      <c r="J594" s="66"/>
      <c r="L594" s="66"/>
      <c r="M594" s="66"/>
      <c r="N594" s="130"/>
      <c r="P594" s="130"/>
      <c r="Q594" s="129"/>
    </row>
    <row r="595">
      <c r="D595" s="128"/>
      <c r="I595" s="129"/>
      <c r="J595" s="66"/>
      <c r="L595" s="66"/>
      <c r="M595" s="66"/>
      <c r="N595" s="130"/>
      <c r="P595" s="130"/>
      <c r="Q595" s="129"/>
    </row>
    <row r="596">
      <c r="D596" s="128"/>
      <c r="I596" s="129"/>
      <c r="J596" s="66"/>
      <c r="L596" s="66"/>
      <c r="M596" s="66"/>
      <c r="N596" s="130"/>
      <c r="P596" s="130"/>
      <c r="Q596" s="129"/>
    </row>
    <row r="597">
      <c r="D597" s="128"/>
      <c r="I597" s="129"/>
      <c r="J597" s="66"/>
      <c r="L597" s="66"/>
      <c r="M597" s="66"/>
      <c r="N597" s="130"/>
      <c r="P597" s="130"/>
      <c r="Q597" s="129"/>
    </row>
    <row r="598">
      <c r="D598" s="128"/>
      <c r="I598" s="129"/>
      <c r="J598" s="66"/>
      <c r="L598" s="66"/>
      <c r="M598" s="66"/>
      <c r="N598" s="130"/>
      <c r="P598" s="130"/>
      <c r="Q598" s="129"/>
    </row>
    <row r="599">
      <c r="D599" s="128"/>
      <c r="I599" s="129"/>
      <c r="J599" s="66"/>
      <c r="L599" s="66"/>
      <c r="M599" s="66"/>
      <c r="N599" s="130"/>
      <c r="P599" s="130"/>
      <c r="Q599" s="129"/>
    </row>
    <row r="600">
      <c r="D600" s="128"/>
      <c r="I600" s="129"/>
      <c r="J600" s="66"/>
      <c r="L600" s="66"/>
      <c r="M600" s="66"/>
      <c r="N600" s="130"/>
      <c r="P600" s="130"/>
      <c r="Q600" s="129"/>
    </row>
    <row r="601">
      <c r="D601" s="128"/>
      <c r="I601" s="129"/>
      <c r="J601" s="66"/>
      <c r="L601" s="66"/>
      <c r="M601" s="66"/>
      <c r="N601" s="130"/>
      <c r="P601" s="130"/>
      <c r="Q601" s="129"/>
    </row>
    <row r="602">
      <c r="D602" s="128"/>
      <c r="I602" s="129"/>
      <c r="J602" s="66"/>
      <c r="L602" s="66"/>
      <c r="M602" s="66"/>
      <c r="N602" s="130"/>
      <c r="P602" s="130"/>
      <c r="Q602" s="129"/>
    </row>
    <row r="603">
      <c r="D603" s="128"/>
      <c r="I603" s="129"/>
      <c r="J603" s="66"/>
      <c r="L603" s="66"/>
      <c r="M603" s="66"/>
      <c r="N603" s="130"/>
      <c r="P603" s="130"/>
      <c r="Q603" s="129"/>
    </row>
    <row r="604">
      <c r="D604" s="128"/>
      <c r="I604" s="129"/>
      <c r="J604" s="66"/>
      <c r="L604" s="66"/>
      <c r="M604" s="66"/>
      <c r="N604" s="130"/>
      <c r="P604" s="130"/>
      <c r="Q604" s="129"/>
    </row>
    <row r="605">
      <c r="D605" s="128"/>
      <c r="I605" s="129"/>
      <c r="J605" s="66"/>
      <c r="L605" s="66"/>
      <c r="M605" s="66"/>
      <c r="N605" s="130"/>
      <c r="P605" s="130"/>
      <c r="Q605" s="129"/>
    </row>
    <row r="606">
      <c r="D606" s="128"/>
      <c r="I606" s="129"/>
      <c r="J606" s="66"/>
      <c r="L606" s="66"/>
      <c r="M606" s="66"/>
      <c r="N606" s="130"/>
      <c r="P606" s="130"/>
      <c r="Q606" s="129"/>
    </row>
    <row r="607">
      <c r="D607" s="128"/>
      <c r="I607" s="129"/>
      <c r="J607" s="66"/>
      <c r="L607" s="66"/>
      <c r="M607" s="66"/>
      <c r="N607" s="130"/>
      <c r="P607" s="130"/>
      <c r="Q607" s="129"/>
    </row>
    <row r="608">
      <c r="D608" s="128"/>
      <c r="I608" s="129"/>
      <c r="J608" s="66"/>
      <c r="L608" s="66"/>
      <c r="M608" s="66"/>
      <c r="N608" s="130"/>
      <c r="P608" s="130"/>
      <c r="Q608" s="129"/>
    </row>
    <row r="609">
      <c r="D609" s="128"/>
      <c r="I609" s="129"/>
      <c r="J609" s="66"/>
      <c r="L609" s="66"/>
      <c r="M609" s="66"/>
      <c r="N609" s="130"/>
      <c r="P609" s="130"/>
      <c r="Q609" s="129"/>
    </row>
    <row r="610">
      <c r="D610" s="128"/>
      <c r="I610" s="129"/>
      <c r="J610" s="66"/>
      <c r="L610" s="66"/>
      <c r="M610" s="66"/>
      <c r="N610" s="130"/>
      <c r="P610" s="130"/>
      <c r="Q610" s="129"/>
    </row>
    <row r="611">
      <c r="D611" s="128"/>
      <c r="I611" s="129"/>
      <c r="J611" s="66"/>
      <c r="L611" s="66"/>
      <c r="M611" s="66"/>
      <c r="N611" s="130"/>
      <c r="P611" s="130"/>
      <c r="Q611" s="129"/>
    </row>
    <row r="612">
      <c r="D612" s="128"/>
      <c r="I612" s="129"/>
      <c r="J612" s="66"/>
      <c r="L612" s="66"/>
      <c r="M612" s="66"/>
      <c r="N612" s="130"/>
      <c r="P612" s="130"/>
      <c r="Q612" s="129"/>
    </row>
    <row r="613">
      <c r="D613" s="128"/>
      <c r="I613" s="129"/>
      <c r="J613" s="66"/>
      <c r="L613" s="66"/>
      <c r="M613" s="66"/>
      <c r="N613" s="130"/>
      <c r="P613" s="130"/>
      <c r="Q613" s="129"/>
    </row>
    <row r="614">
      <c r="D614" s="128"/>
      <c r="I614" s="129"/>
      <c r="J614" s="66"/>
      <c r="L614" s="66"/>
      <c r="M614" s="66"/>
      <c r="N614" s="130"/>
      <c r="P614" s="130"/>
      <c r="Q614" s="129"/>
    </row>
    <row r="615">
      <c r="D615" s="128"/>
      <c r="I615" s="129"/>
      <c r="J615" s="66"/>
      <c r="L615" s="66"/>
      <c r="M615" s="66"/>
      <c r="N615" s="130"/>
      <c r="P615" s="130"/>
      <c r="Q615" s="129"/>
    </row>
    <row r="616">
      <c r="D616" s="128"/>
      <c r="I616" s="129"/>
      <c r="J616" s="66"/>
      <c r="L616" s="66"/>
      <c r="M616" s="66"/>
      <c r="N616" s="130"/>
      <c r="P616" s="130"/>
      <c r="Q616" s="129"/>
    </row>
    <row r="617">
      <c r="D617" s="128"/>
      <c r="I617" s="129"/>
      <c r="J617" s="66"/>
      <c r="L617" s="66"/>
      <c r="M617" s="66"/>
      <c r="N617" s="130"/>
      <c r="P617" s="130"/>
      <c r="Q617" s="129"/>
    </row>
    <row r="618">
      <c r="D618" s="128"/>
      <c r="I618" s="129"/>
      <c r="J618" s="66"/>
      <c r="L618" s="66"/>
      <c r="M618" s="66"/>
      <c r="N618" s="130"/>
      <c r="P618" s="130"/>
      <c r="Q618" s="129"/>
    </row>
    <row r="619">
      <c r="D619" s="128"/>
      <c r="I619" s="129"/>
      <c r="J619" s="66"/>
      <c r="L619" s="66"/>
      <c r="M619" s="66"/>
      <c r="N619" s="130"/>
      <c r="P619" s="130"/>
      <c r="Q619" s="129"/>
    </row>
    <row r="620">
      <c r="D620" s="128"/>
      <c r="I620" s="129"/>
      <c r="J620" s="66"/>
      <c r="L620" s="66"/>
      <c r="M620" s="66"/>
      <c r="N620" s="130"/>
      <c r="P620" s="130"/>
      <c r="Q620" s="129"/>
    </row>
    <row r="621">
      <c r="D621" s="128"/>
      <c r="I621" s="129"/>
      <c r="J621" s="66"/>
      <c r="L621" s="66"/>
      <c r="M621" s="66"/>
      <c r="N621" s="130"/>
      <c r="P621" s="130"/>
      <c r="Q621" s="129"/>
    </row>
    <row r="622">
      <c r="D622" s="128"/>
      <c r="I622" s="129"/>
      <c r="J622" s="66"/>
      <c r="L622" s="66"/>
      <c r="M622" s="66"/>
      <c r="N622" s="130"/>
      <c r="P622" s="130"/>
      <c r="Q622" s="129"/>
    </row>
    <row r="623">
      <c r="D623" s="128"/>
      <c r="I623" s="129"/>
      <c r="J623" s="66"/>
      <c r="L623" s="66"/>
      <c r="M623" s="66"/>
      <c r="N623" s="130"/>
      <c r="P623" s="130"/>
      <c r="Q623" s="129"/>
    </row>
    <row r="624">
      <c r="D624" s="128"/>
      <c r="I624" s="129"/>
      <c r="J624" s="66"/>
      <c r="L624" s="66"/>
      <c r="M624" s="66"/>
      <c r="N624" s="130"/>
      <c r="P624" s="130"/>
      <c r="Q624" s="129"/>
    </row>
    <row r="625">
      <c r="D625" s="128"/>
      <c r="I625" s="129"/>
      <c r="J625" s="66"/>
      <c r="L625" s="66"/>
      <c r="M625" s="66"/>
      <c r="N625" s="130"/>
      <c r="P625" s="130"/>
      <c r="Q625" s="129"/>
    </row>
    <row r="626">
      <c r="D626" s="128"/>
      <c r="I626" s="129"/>
      <c r="J626" s="66"/>
      <c r="L626" s="66"/>
      <c r="M626" s="66"/>
      <c r="N626" s="130"/>
      <c r="P626" s="130"/>
      <c r="Q626" s="129"/>
    </row>
    <row r="627">
      <c r="D627" s="128"/>
      <c r="I627" s="129"/>
      <c r="J627" s="66"/>
      <c r="L627" s="66"/>
      <c r="M627" s="66"/>
      <c r="N627" s="130"/>
      <c r="P627" s="130"/>
      <c r="Q627" s="129"/>
    </row>
    <row r="628">
      <c r="D628" s="128"/>
      <c r="I628" s="129"/>
      <c r="J628" s="66"/>
      <c r="L628" s="66"/>
      <c r="M628" s="66"/>
      <c r="N628" s="130"/>
      <c r="P628" s="130"/>
      <c r="Q628" s="129"/>
    </row>
    <row r="629">
      <c r="D629" s="128"/>
      <c r="I629" s="129"/>
      <c r="J629" s="66"/>
      <c r="L629" s="66"/>
      <c r="M629" s="66"/>
      <c r="N629" s="130"/>
      <c r="P629" s="130"/>
      <c r="Q629" s="129"/>
    </row>
    <row r="630">
      <c r="D630" s="128"/>
      <c r="I630" s="129"/>
      <c r="J630" s="66"/>
      <c r="L630" s="66"/>
      <c r="M630" s="66"/>
      <c r="N630" s="130"/>
      <c r="P630" s="130"/>
      <c r="Q630" s="129"/>
    </row>
    <row r="631">
      <c r="D631" s="128"/>
      <c r="I631" s="129"/>
      <c r="J631" s="66"/>
      <c r="L631" s="66"/>
      <c r="M631" s="66"/>
      <c r="N631" s="130"/>
      <c r="P631" s="130"/>
      <c r="Q631" s="129"/>
    </row>
    <row r="632">
      <c r="D632" s="128"/>
      <c r="I632" s="129"/>
      <c r="J632" s="66"/>
      <c r="L632" s="66"/>
      <c r="M632" s="66"/>
      <c r="N632" s="130"/>
      <c r="P632" s="130"/>
      <c r="Q632" s="129"/>
    </row>
    <row r="633">
      <c r="D633" s="128"/>
      <c r="I633" s="129"/>
      <c r="J633" s="66"/>
      <c r="L633" s="66"/>
      <c r="M633" s="66"/>
      <c r="N633" s="130"/>
      <c r="P633" s="130"/>
      <c r="Q633" s="129"/>
    </row>
    <row r="634">
      <c r="D634" s="128"/>
      <c r="I634" s="129"/>
      <c r="J634" s="66"/>
      <c r="L634" s="66"/>
      <c r="M634" s="66"/>
      <c r="N634" s="130"/>
      <c r="P634" s="130"/>
      <c r="Q634" s="129"/>
    </row>
    <row r="635">
      <c r="D635" s="128"/>
      <c r="I635" s="129"/>
      <c r="J635" s="66"/>
      <c r="L635" s="66"/>
      <c r="M635" s="66"/>
      <c r="N635" s="130"/>
      <c r="P635" s="130"/>
      <c r="Q635" s="129"/>
    </row>
    <row r="636">
      <c r="D636" s="128"/>
      <c r="I636" s="129"/>
      <c r="J636" s="66"/>
      <c r="L636" s="66"/>
      <c r="M636" s="66"/>
      <c r="N636" s="130"/>
      <c r="P636" s="130"/>
      <c r="Q636" s="129"/>
    </row>
    <row r="637">
      <c r="D637" s="128"/>
      <c r="I637" s="129"/>
      <c r="J637" s="66"/>
      <c r="L637" s="66"/>
      <c r="M637" s="66"/>
      <c r="N637" s="130"/>
      <c r="P637" s="130"/>
      <c r="Q637" s="129"/>
    </row>
    <row r="638">
      <c r="D638" s="128"/>
      <c r="I638" s="129"/>
      <c r="J638" s="66"/>
      <c r="L638" s="66"/>
      <c r="M638" s="66"/>
      <c r="N638" s="130"/>
      <c r="P638" s="130"/>
      <c r="Q638" s="129"/>
    </row>
    <row r="639">
      <c r="D639" s="128"/>
      <c r="I639" s="129"/>
      <c r="J639" s="66"/>
      <c r="L639" s="66"/>
      <c r="M639" s="66"/>
      <c r="N639" s="130"/>
      <c r="P639" s="130"/>
      <c r="Q639" s="129"/>
    </row>
    <row r="640">
      <c r="D640" s="128"/>
      <c r="I640" s="129"/>
      <c r="J640" s="66"/>
      <c r="L640" s="66"/>
      <c r="M640" s="66"/>
      <c r="N640" s="130"/>
      <c r="P640" s="130"/>
      <c r="Q640" s="129"/>
    </row>
    <row r="641">
      <c r="D641" s="128"/>
      <c r="I641" s="129"/>
      <c r="J641" s="66"/>
      <c r="L641" s="66"/>
      <c r="M641" s="66"/>
      <c r="N641" s="130"/>
      <c r="P641" s="130"/>
      <c r="Q641" s="129"/>
    </row>
    <row r="642">
      <c r="D642" s="128"/>
      <c r="I642" s="129"/>
      <c r="J642" s="66"/>
      <c r="L642" s="66"/>
      <c r="M642" s="66"/>
      <c r="N642" s="130"/>
      <c r="P642" s="130"/>
      <c r="Q642" s="129"/>
    </row>
    <row r="643">
      <c r="D643" s="128"/>
      <c r="I643" s="129"/>
      <c r="J643" s="66"/>
      <c r="L643" s="66"/>
      <c r="M643" s="66"/>
      <c r="N643" s="130"/>
      <c r="P643" s="130"/>
      <c r="Q643" s="129"/>
    </row>
    <row r="644">
      <c r="D644" s="128"/>
      <c r="I644" s="129"/>
      <c r="J644" s="66"/>
      <c r="L644" s="66"/>
      <c r="M644" s="66"/>
      <c r="N644" s="130"/>
      <c r="P644" s="130"/>
      <c r="Q644" s="129"/>
    </row>
    <row r="645">
      <c r="D645" s="128"/>
      <c r="I645" s="129"/>
      <c r="J645" s="66"/>
      <c r="L645" s="66"/>
      <c r="M645" s="66"/>
      <c r="N645" s="130"/>
      <c r="P645" s="130"/>
      <c r="Q645" s="129"/>
    </row>
    <row r="646">
      <c r="D646" s="128"/>
      <c r="I646" s="129"/>
      <c r="J646" s="66"/>
      <c r="L646" s="66"/>
      <c r="M646" s="66"/>
      <c r="N646" s="130"/>
      <c r="P646" s="130"/>
      <c r="Q646" s="129"/>
    </row>
    <row r="647">
      <c r="D647" s="128"/>
      <c r="I647" s="129"/>
      <c r="J647" s="66"/>
      <c r="L647" s="66"/>
      <c r="M647" s="66"/>
      <c r="N647" s="130"/>
      <c r="P647" s="130"/>
      <c r="Q647" s="129"/>
    </row>
    <row r="648">
      <c r="D648" s="128"/>
      <c r="I648" s="129"/>
      <c r="J648" s="66"/>
      <c r="L648" s="66"/>
      <c r="M648" s="66"/>
      <c r="N648" s="130"/>
      <c r="P648" s="130"/>
      <c r="Q648" s="129"/>
    </row>
    <row r="649">
      <c r="D649" s="128"/>
      <c r="I649" s="129"/>
      <c r="J649" s="66"/>
      <c r="L649" s="66"/>
      <c r="M649" s="66"/>
      <c r="N649" s="130"/>
      <c r="P649" s="130"/>
      <c r="Q649" s="129"/>
    </row>
    <row r="650">
      <c r="D650" s="128"/>
      <c r="I650" s="129"/>
      <c r="J650" s="66"/>
      <c r="L650" s="66"/>
      <c r="M650" s="66"/>
      <c r="N650" s="130"/>
      <c r="P650" s="130"/>
      <c r="Q650" s="129"/>
    </row>
    <row r="651">
      <c r="D651" s="128"/>
      <c r="I651" s="129"/>
      <c r="J651" s="66"/>
      <c r="L651" s="66"/>
      <c r="M651" s="66"/>
      <c r="N651" s="130"/>
      <c r="P651" s="130"/>
      <c r="Q651" s="129"/>
    </row>
    <row r="652">
      <c r="D652" s="128"/>
      <c r="I652" s="129"/>
      <c r="J652" s="66"/>
      <c r="L652" s="66"/>
      <c r="M652" s="66"/>
      <c r="N652" s="130"/>
      <c r="P652" s="130"/>
      <c r="Q652" s="129"/>
    </row>
    <row r="653">
      <c r="D653" s="128"/>
      <c r="I653" s="129"/>
      <c r="J653" s="66"/>
      <c r="L653" s="66"/>
      <c r="M653" s="66"/>
      <c r="N653" s="130"/>
      <c r="P653" s="130"/>
      <c r="Q653" s="129"/>
    </row>
    <row r="654">
      <c r="D654" s="128"/>
      <c r="I654" s="129"/>
      <c r="J654" s="66"/>
      <c r="L654" s="66"/>
      <c r="M654" s="66"/>
      <c r="N654" s="130"/>
      <c r="P654" s="130"/>
      <c r="Q654" s="129"/>
    </row>
    <row r="655">
      <c r="D655" s="128"/>
      <c r="I655" s="129"/>
      <c r="J655" s="66"/>
      <c r="L655" s="66"/>
      <c r="M655" s="66"/>
      <c r="N655" s="130"/>
      <c r="P655" s="130"/>
      <c r="Q655" s="129"/>
    </row>
    <row r="656">
      <c r="D656" s="128"/>
      <c r="I656" s="129"/>
      <c r="J656" s="66"/>
      <c r="L656" s="66"/>
      <c r="M656" s="66"/>
      <c r="N656" s="130"/>
      <c r="P656" s="130"/>
      <c r="Q656" s="129"/>
    </row>
    <row r="657">
      <c r="D657" s="128"/>
      <c r="I657" s="129"/>
      <c r="J657" s="66"/>
      <c r="L657" s="66"/>
      <c r="M657" s="66"/>
      <c r="N657" s="130"/>
      <c r="P657" s="130"/>
      <c r="Q657" s="129"/>
    </row>
    <row r="658">
      <c r="D658" s="128"/>
      <c r="I658" s="129"/>
      <c r="J658" s="66"/>
      <c r="L658" s="66"/>
      <c r="M658" s="66"/>
      <c r="N658" s="130"/>
      <c r="P658" s="130"/>
      <c r="Q658" s="129"/>
    </row>
    <row r="659">
      <c r="D659" s="128"/>
      <c r="I659" s="129"/>
      <c r="J659" s="66"/>
      <c r="L659" s="66"/>
      <c r="M659" s="66"/>
      <c r="N659" s="130"/>
      <c r="P659" s="130"/>
      <c r="Q659" s="129"/>
    </row>
    <row r="660">
      <c r="D660" s="128"/>
      <c r="I660" s="129"/>
      <c r="J660" s="66"/>
      <c r="L660" s="66"/>
      <c r="M660" s="66"/>
      <c r="N660" s="130"/>
      <c r="P660" s="130"/>
      <c r="Q660" s="129"/>
    </row>
    <row r="661">
      <c r="D661" s="128"/>
      <c r="I661" s="129"/>
      <c r="J661" s="66"/>
      <c r="L661" s="66"/>
      <c r="M661" s="66"/>
      <c r="N661" s="130"/>
      <c r="P661" s="130"/>
      <c r="Q661" s="129"/>
    </row>
    <row r="662">
      <c r="D662" s="128"/>
      <c r="I662" s="129"/>
      <c r="J662" s="66"/>
      <c r="L662" s="66"/>
      <c r="M662" s="66"/>
      <c r="N662" s="130"/>
      <c r="P662" s="130"/>
      <c r="Q662" s="129"/>
    </row>
    <row r="663">
      <c r="D663" s="128"/>
      <c r="I663" s="129"/>
      <c r="J663" s="66"/>
      <c r="L663" s="66"/>
      <c r="M663" s="66"/>
      <c r="N663" s="130"/>
      <c r="P663" s="130"/>
      <c r="Q663" s="129"/>
    </row>
    <row r="664">
      <c r="D664" s="128"/>
      <c r="I664" s="129"/>
      <c r="J664" s="66"/>
      <c r="L664" s="66"/>
      <c r="M664" s="66"/>
      <c r="N664" s="130"/>
      <c r="P664" s="130"/>
      <c r="Q664" s="129"/>
    </row>
    <row r="665">
      <c r="D665" s="128"/>
      <c r="I665" s="129"/>
      <c r="J665" s="66"/>
      <c r="L665" s="66"/>
      <c r="M665" s="66"/>
      <c r="N665" s="130"/>
      <c r="P665" s="130"/>
      <c r="Q665" s="129"/>
    </row>
    <row r="666">
      <c r="D666" s="128"/>
      <c r="I666" s="129"/>
      <c r="J666" s="66"/>
      <c r="L666" s="66"/>
      <c r="M666" s="66"/>
      <c r="N666" s="130"/>
      <c r="P666" s="130"/>
      <c r="Q666" s="129"/>
    </row>
    <row r="667">
      <c r="D667" s="128"/>
      <c r="I667" s="129"/>
      <c r="J667" s="66"/>
      <c r="L667" s="66"/>
      <c r="M667" s="66"/>
      <c r="N667" s="130"/>
      <c r="P667" s="130"/>
      <c r="Q667" s="129"/>
    </row>
    <row r="668">
      <c r="D668" s="128"/>
      <c r="I668" s="129"/>
      <c r="J668" s="66"/>
      <c r="L668" s="66"/>
      <c r="M668" s="66"/>
      <c r="N668" s="130"/>
      <c r="P668" s="130"/>
      <c r="Q668" s="129"/>
    </row>
    <row r="669">
      <c r="D669" s="128"/>
      <c r="I669" s="129"/>
      <c r="J669" s="66"/>
      <c r="L669" s="66"/>
      <c r="M669" s="66"/>
      <c r="N669" s="130"/>
      <c r="P669" s="130"/>
      <c r="Q669" s="129"/>
    </row>
    <row r="670">
      <c r="D670" s="128"/>
      <c r="I670" s="129"/>
      <c r="J670" s="66"/>
      <c r="L670" s="66"/>
      <c r="M670" s="66"/>
      <c r="N670" s="130"/>
      <c r="P670" s="130"/>
      <c r="Q670" s="129"/>
    </row>
    <row r="671">
      <c r="D671" s="128"/>
      <c r="I671" s="129"/>
      <c r="J671" s="66"/>
      <c r="L671" s="66"/>
      <c r="M671" s="66"/>
      <c r="N671" s="130"/>
      <c r="P671" s="130"/>
      <c r="Q671" s="129"/>
    </row>
    <row r="672">
      <c r="D672" s="128"/>
      <c r="I672" s="129"/>
      <c r="J672" s="66"/>
      <c r="L672" s="66"/>
      <c r="M672" s="66"/>
      <c r="N672" s="130"/>
      <c r="P672" s="130"/>
      <c r="Q672" s="129"/>
    </row>
    <row r="673">
      <c r="D673" s="128"/>
      <c r="I673" s="129"/>
      <c r="J673" s="66"/>
      <c r="L673" s="66"/>
      <c r="M673" s="66"/>
      <c r="N673" s="130"/>
      <c r="P673" s="130"/>
      <c r="Q673" s="129"/>
    </row>
    <row r="674">
      <c r="D674" s="128"/>
      <c r="I674" s="129"/>
      <c r="J674" s="66"/>
      <c r="L674" s="66"/>
      <c r="M674" s="66"/>
      <c r="N674" s="130"/>
      <c r="P674" s="130"/>
      <c r="Q674" s="129"/>
    </row>
    <row r="675">
      <c r="D675" s="128"/>
      <c r="I675" s="129"/>
      <c r="J675" s="66"/>
      <c r="L675" s="66"/>
      <c r="M675" s="66"/>
      <c r="N675" s="130"/>
      <c r="P675" s="130"/>
      <c r="Q675" s="129"/>
    </row>
    <row r="676">
      <c r="D676" s="128"/>
      <c r="I676" s="129"/>
      <c r="J676" s="66"/>
      <c r="L676" s="66"/>
      <c r="M676" s="66"/>
      <c r="N676" s="130"/>
      <c r="P676" s="130"/>
      <c r="Q676" s="129"/>
    </row>
    <row r="677">
      <c r="D677" s="128"/>
      <c r="I677" s="129"/>
      <c r="J677" s="66"/>
      <c r="L677" s="66"/>
      <c r="M677" s="66"/>
      <c r="N677" s="130"/>
      <c r="P677" s="130"/>
      <c r="Q677" s="129"/>
    </row>
    <row r="678">
      <c r="D678" s="128"/>
      <c r="I678" s="129"/>
      <c r="J678" s="66"/>
      <c r="L678" s="66"/>
      <c r="M678" s="66"/>
      <c r="N678" s="130"/>
      <c r="P678" s="130"/>
      <c r="Q678" s="129"/>
    </row>
    <row r="679">
      <c r="D679" s="128"/>
      <c r="I679" s="129"/>
      <c r="J679" s="66"/>
      <c r="L679" s="66"/>
      <c r="M679" s="66"/>
      <c r="N679" s="130"/>
      <c r="P679" s="130"/>
      <c r="Q679" s="129"/>
    </row>
    <row r="680">
      <c r="D680" s="128"/>
      <c r="I680" s="129"/>
      <c r="J680" s="66"/>
      <c r="L680" s="66"/>
      <c r="M680" s="66"/>
      <c r="N680" s="130"/>
      <c r="P680" s="130"/>
      <c r="Q680" s="129"/>
    </row>
    <row r="681">
      <c r="D681" s="128"/>
      <c r="I681" s="129"/>
      <c r="J681" s="66"/>
      <c r="L681" s="66"/>
      <c r="M681" s="66"/>
      <c r="N681" s="130"/>
      <c r="P681" s="130"/>
      <c r="Q681" s="129"/>
    </row>
    <row r="682">
      <c r="D682" s="128"/>
      <c r="I682" s="129"/>
      <c r="J682" s="66"/>
      <c r="L682" s="66"/>
      <c r="M682" s="66"/>
      <c r="N682" s="130"/>
      <c r="P682" s="130"/>
      <c r="Q682" s="129"/>
    </row>
    <row r="683">
      <c r="D683" s="128"/>
      <c r="I683" s="129"/>
      <c r="J683" s="66"/>
      <c r="L683" s="66"/>
      <c r="M683" s="66"/>
      <c r="N683" s="130"/>
      <c r="P683" s="130"/>
      <c r="Q683" s="129"/>
    </row>
    <row r="684">
      <c r="D684" s="128"/>
      <c r="I684" s="129"/>
      <c r="J684" s="66"/>
      <c r="L684" s="66"/>
      <c r="M684" s="66"/>
      <c r="N684" s="130"/>
      <c r="P684" s="130"/>
      <c r="Q684" s="129"/>
    </row>
    <row r="685">
      <c r="D685" s="128"/>
      <c r="I685" s="129"/>
      <c r="J685" s="66"/>
      <c r="L685" s="66"/>
      <c r="M685" s="66"/>
      <c r="N685" s="130"/>
      <c r="P685" s="130"/>
      <c r="Q685" s="129"/>
    </row>
    <row r="686">
      <c r="D686" s="128"/>
      <c r="I686" s="129"/>
      <c r="J686" s="66"/>
      <c r="L686" s="66"/>
      <c r="M686" s="66"/>
      <c r="N686" s="130"/>
      <c r="P686" s="130"/>
      <c r="Q686" s="129"/>
    </row>
    <row r="687">
      <c r="D687" s="128"/>
      <c r="I687" s="129"/>
      <c r="J687" s="66"/>
      <c r="L687" s="66"/>
      <c r="M687" s="66"/>
      <c r="N687" s="130"/>
      <c r="P687" s="130"/>
      <c r="Q687" s="129"/>
    </row>
    <row r="688">
      <c r="D688" s="128"/>
      <c r="I688" s="129"/>
      <c r="J688" s="66"/>
      <c r="L688" s="66"/>
      <c r="M688" s="66"/>
      <c r="N688" s="130"/>
      <c r="P688" s="130"/>
      <c r="Q688" s="129"/>
    </row>
    <row r="689">
      <c r="D689" s="128"/>
      <c r="I689" s="129"/>
      <c r="J689" s="66"/>
      <c r="L689" s="66"/>
      <c r="M689" s="66"/>
      <c r="N689" s="130"/>
      <c r="P689" s="130"/>
      <c r="Q689" s="129"/>
    </row>
    <row r="690">
      <c r="D690" s="128"/>
      <c r="I690" s="129"/>
      <c r="J690" s="66"/>
      <c r="L690" s="66"/>
      <c r="M690" s="66"/>
      <c r="N690" s="130"/>
      <c r="P690" s="130"/>
      <c r="Q690" s="129"/>
    </row>
    <row r="691">
      <c r="D691" s="128"/>
      <c r="I691" s="129"/>
      <c r="J691" s="66"/>
      <c r="L691" s="66"/>
      <c r="M691" s="66"/>
      <c r="N691" s="130"/>
      <c r="P691" s="130"/>
      <c r="Q691" s="129"/>
    </row>
    <row r="692">
      <c r="D692" s="128"/>
      <c r="I692" s="129"/>
      <c r="J692" s="66"/>
      <c r="L692" s="66"/>
      <c r="M692" s="66"/>
      <c r="N692" s="130"/>
      <c r="P692" s="130"/>
      <c r="Q692" s="129"/>
    </row>
    <row r="693">
      <c r="D693" s="128"/>
      <c r="I693" s="129"/>
      <c r="J693" s="66"/>
      <c r="L693" s="66"/>
      <c r="M693" s="66"/>
      <c r="N693" s="130"/>
      <c r="P693" s="130"/>
      <c r="Q693" s="129"/>
    </row>
    <row r="694">
      <c r="D694" s="128"/>
      <c r="I694" s="129"/>
      <c r="J694" s="66"/>
      <c r="L694" s="66"/>
      <c r="M694" s="66"/>
      <c r="N694" s="130"/>
      <c r="P694" s="130"/>
      <c r="Q694" s="129"/>
    </row>
    <row r="695">
      <c r="D695" s="128"/>
      <c r="I695" s="129"/>
      <c r="J695" s="66"/>
      <c r="L695" s="66"/>
      <c r="M695" s="66"/>
      <c r="N695" s="130"/>
      <c r="P695" s="130"/>
      <c r="Q695" s="129"/>
    </row>
    <row r="696">
      <c r="D696" s="128"/>
      <c r="I696" s="129"/>
      <c r="J696" s="66"/>
      <c r="L696" s="66"/>
      <c r="M696" s="66"/>
      <c r="N696" s="130"/>
      <c r="P696" s="130"/>
      <c r="Q696" s="129"/>
    </row>
    <row r="697">
      <c r="D697" s="128"/>
      <c r="I697" s="129"/>
      <c r="J697" s="66"/>
      <c r="L697" s="66"/>
      <c r="M697" s="66"/>
      <c r="N697" s="130"/>
      <c r="P697" s="130"/>
      <c r="Q697" s="129"/>
    </row>
    <row r="698">
      <c r="D698" s="128"/>
      <c r="I698" s="129"/>
      <c r="J698" s="66"/>
      <c r="L698" s="66"/>
      <c r="M698" s="66"/>
      <c r="N698" s="130"/>
      <c r="P698" s="130"/>
      <c r="Q698" s="129"/>
    </row>
    <row r="699">
      <c r="D699" s="128"/>
      <c r="I699" s="129"/>
      <c r="J699" s="66"/>
      <c r="L699" s="66"/>
      <c r="M699" s="66"/>
      <c r="N699" s="130"/>
      <c r="P699" s="130"/>
      <c r="Q699" s="129"/>
    </row>
    <row r="700">
      <c r="D700" s="128"/>
      <c r="I700" s="129"/>
      <c r="J700" s="66"/>
      <c r="L700" s="66"/>
      <c r="M700" s="66"/>
      <c r="N700" s="130"/>
      <c r="P700" s="130"/>
      <c r="Q700" s="129"/>
    </row>
    <row r="701">
      <c r="D701" s="128"/>
      <c r="I701" s="129"/>
      <c r="J701" s="66"/>
      <c r="L701" s="66"/>
      <c r="M701" s="66"/>
      <c r="N701" s="130"/>
      <c r="P701" s="130"/>
      <c r="Q701" s="129"/>
    </row>
    <row r="702">
      <c r="D702" s="128"/>
      <c r="I702" s="129"/>
      <c r="J702" s="66"/>
      <c r="L702" s="66"/>
      <c r="M702" s="66"/>
      <c r="N702" s="130"/>
      <c r="P702" s="130"/>
      <c r="Q702" s="129"/>
    </row>
    <row r="703">
      <c r="D703" s="128"/>
      <c r="I703" s="129"/>
      <c r="J703" s="66"/>
      <c r="L703" s="66"/>
      <c r="M703" s="66"/>
      <c r="N703" s="130"/>
      <c r="P703" s="130"/>
      <c r="Q703" s="129"/>
    </row>
    <row r="704">
      <c r="D704" s="128"/>
      <c r="I704" s="129"/>
      <c r="J704" s="66"/>
      <c r="L704" s="66"/>
      <c r="M704" s="66"/>
      <c r="N704" s="130"/>
      <c r="P704" s="130"/>
      <c r="Q704" s="129"/>
    </row>
    <row r="705">
      <c r="D705" s="128"/>
      <c r="I705" s="129"/>
      <c r="J705" s="66"/>
      <c r="L705" s="66"/>
      <c r="M705" s="66"/>
      <c r="N705" s="130"/>
      <c r="P705" s="130"/>
      <c r="Q705" s="129"/>
    </row>
    <row r="706">
      <c r="D706" s="128"/>
      <c r="I706" s="129"/>
      <c r="J706" s="66"/>
      <c r="L706" s="66"/>
      <c r="M706" s="66"/>
      <c r="N706" s="130"/>
      <c r="P706" s="130"/>
      <c r="Q706" s="129"/>
    </row>
    <row r="707">
      <c r="D707" s="128"/>
      <c r="I707" s="129"/>
      <c r="J707" s="66"/>
      <c r="L707" s="66"/>
      <c r="M707" s="66"/>
      <c r="N707" s="130"/>
      <c r="P707" s="130"/>
      <c r="Q707" s="129"/>
    </row>
    <row r="708">
      <c r="D708" s="128"/>
      <c r="I708" s="129"/>
      <c r="J708" s="66"/>
      <c r="L708" s="66"/>
      <c r="M708" s="66"/>
      <c r="N708" s="130"/>
      <c r="P708" s="130"/>
      <c r="Q708" s="129"/>
    </row>
    <row r="709">
      <c r="D709" s="128"/>
      <c r="I709" s="129"/>
      <c r="J709" s="66"/>
      <c r="L709" s="66"/>
      <c r="M709" s="66"/>
      <c r="N709" s="130"/>
      <c r="P709" s="130"/>
      <c r="Q709" s="129"/>
    </row>
    <row r="710">
      <c r="D710" s="128"/>
      <c r="I710" s="129"/>
      <c r="J710" s="66"/>
      <c r="L710" s="66"/>
      <c r="M710" s="66"/>
      <c r="N710" s="130"/>
      <c r="P710" s="130"/>
      <c r="Q710" s="129"/>
    </row>
    <row r="711">
      <c r="D711" s="128"/>
      <c r="I711" s="129"/>
      <c r="J711" s="66"/>
      <c r="L711" s="66"/>
      <c r="M711" s="66"/>
      <c r="N711" s="130"/>
      <c r="P711" s="130"/>
      <c r="Q711" s="129"/>
    </row>
    <row r="712">
      <c r="D712" s="128"/>
      <c r="I712" s="129"/>
      <c r="J712" s="66"/>
      <c r="L712" s="66"/>
      <c r="M712" s="66"/>
      <c r="N712" s="130"/>
      <c r="P712" s="130"/>
      <c r="Q712" s="129"/>
    </row>
    <row r="713">
      <c r="D713" s="128"/>
      <c r="I713" s="129"/>
      <c r="J713" s="66"/>
      <c r="L713" s="66"/>
      <c r="M713" s="66"/>
      <c r="N713" s="130"/>
      <c r="P713" s="130"/>
      <c r="Q713" s="129"/>
    </row>
    <row r="714">
      <c r="D714" s="128"/>
      <c r="I714" s="129"/>
      <c r="J714" s="66"/>
      <c r="L714" s="66"/>
      <c r="M714" s="66"/>
      <c r="N714" s="130"/>
      <c r="P714" s="130"/>
      <c r="Q714" s="129"/>
    </row>
    <row r="715">
      <c r="D715" s="128"/>
      <c r="I715" s="129"/>
      <c r="J715" s="66"/>
      <c r="L715" s="66"/>
      <c r="M715" s="66"/>
      <c r="N715" s="130"/>
      <c r="P715" s="130"/>
      <c r="Q715" s="129"/>
    </row>
    <row r="716">
      <c r="D716" s="128"/>
      <c r="I716" s="129"/>
      <c r="J716" s="66"/>
      <c r="L716" s="66"/>
      <c r="M716" s="66"/>
      <c r="N716" s="130"/>
      <c r="P716" s="130"/>
      <c r="Q716" s="129"/>
    </row>
    <row r="717">
      <c r="D717" s="128"/>
      <c r="I717" s="129"/>
      <c r="J717" s="66"/>
      <c r="L717" s="66"/>
      <c r="M717" s="66"/>
      <c r="N717" s="130"/>
      <c r="P717" s="130"/>
      <c r="Q717" s="129"/>
    </row>
    <row r="718">
      <c r="D718" s="128"/>
      <c r="I718" s="129"/>
      <c r="J718" s="66"/>
      <c r="L718" s="66"/>
      <c r="M718" s="66"/>
      <c r="N718" s="130"/>
      <c r="P718" s="130"/>
      <c r="Q718" s="129"/>
    </row>
    <row r="719">
      <c r="D719" s="128"/>
      <c r="I719" s="129"/>
      <c r="J719" s="66"/>
      <c r="L719" s="66"/>
      <c r="M719" s="66"/>
      <c r="N719" s="130"/>
      <c r="P719" s="130"/>
      <c r="Q719" s="129"/>
    </row>
    <row r="720">
      <c r="D720" s="128"/>
      <c r="I720" s="129"/>
      <c r="J720" s="66"/>
      <c r="L720" s="66"/>
      <c r="M720" s="66"/>
      <c r="N720" s="130"/>
      <c r="P720" s="130"/>
      <c r="Q720" s="129"/>
    </row>
    <row r="721">
      <c r="D721" s="128"/>
      <c r="I721" s="129"/>
      <c r="J721" s="66"/>
      <c r="L721" s="66"/>
      <c r="M721" s="66"/>
      <c r="N721" s="130"/>
      <c r="P721" s="130"/>
      <c r="Q721" s="129"/>
    </row>
    <row r="722">
      <c r="D722" s="128"/>
      <c r="I722" s="129"/>
      <c r="J722" s="66"/>
      <c r="L722" s="66"/>
      <c r="M722" s="66"/>
      <c r="N722" s="130"/>
      <c r="P722" s="130"/>
      <c r="Q722" s="129"/>
    </row>
    <row r="723">
      <c r="D723" s="128"/>
      <c r="I723" s="129"/>
      <c r="J723" s="66"/>
      <c r="L723" s="66"/>
      <c r="M723" s="66"/>
      <c r="N723" s="130"/>
      <c r="P723" s="130"/>
      <c r="Q723" s="129"/>
    </row>
    <row r="724">
      <c r="D724" s="128"/>
      <c r="I724" s="129"/>
      <c r="J724" s="66"/>
      <c r="L724" s="66"/>
      <c r="M724" s="66"/>
      <c r="N724" s="130"/>
      <c r="P724" s="130"/>
      <c r="Q724" s="129"/>
    </row>
    <row r="725">
      <c r="D725" s="128"/>
      <c r="I725" s="129"/>
      <c r="J725" s="66"/>
      <c r="L725" s="66"/>
      <c r="M725" s="66"/>
      <c r="N725" s="130"/>
      <c r="P725" s="130"/>
      <c r="Q725" s="129"/>
    </row>
    <row r="726">
      <c r="D726" s="128"/>
      <c r="I726" s="129"/>
      <c r="J726" s="66"/>
      <c r="L726" s="66"/>
      <c r="M726" s="66"/>
      <c r="N726" s="130"/>
      <c r="P726" s="130"/>
      <c r="Q726" s="129"/>
    </row>
    <row r="727">
      <c r="D727" s="128"/>
      <c r="I727" s="129"/>
      <c r="J727" s="66"/>
      <c r="L727" s="66"/>
      <c r="M727" s="66"/>
      <c r="N727" s="130"/>
      <c r="P727" s="130"/>
      <c r="Q727" s="129"/>
    </row>
    <row r="728">
      <c r="D728" s="128"/>
      <c r="I728" s="129"/>
      <c r="J728" s="66"/>
      <c r="L728" s="66"/>
      <c r="M728" s="66"/>
      <c r="N728" s="130"/>
      <c r="P728" s="130"/>
      <c r="Q728" s="129"/>
    </row>
    <row r="729">
      <c r="D729" s="128"/>
      <c r="I729" s="129"/>
      <c r="J729" s="66"/>
      <c r="L729" s="66"/>
      <c r="M729" s="66"/>
      <c r="N729" s="130"/>
      <c r="P729" s="130"/>
      <c r="Q729" s="129"/>
    </row>
    <row r="730">
      <c r="D730" s="128"/>
      <c r="I730" s="129"/>
      <c r="J730" s="66"/>
      <c r="L730" s="66"/>
      <c r="M730" s="66"/>
      <c r="N730" s="130"/>
      <c r="P730" s="130"/>
      <c r="Q730" s="129"/>
    </row>
    <row r="731">
      <c r="D731" s="128"/>
      <c r="I731" s="129"/>
      <c r="J731" s="66"/>
      <c r="L731" s="66"/>
      <c r="M731" s="66"/>
      <c r="N731" s="130"/>
      <c r="P731" s="130"/>
      <c r="Q731" s="129"/>
    </row>
    <row r="732">
      <c r="D732" s="128"/>
      <c r="I732" s="129"/>
      <c r="J732" s="66"/>
      <c r="L732" s="66"/>
      <c r="M732" s="66"/>
      <c r="N732" s="130"/>
      <c r="P732" s="130"/>
      <c r="Q732" s="129"/>
    </row>
    <row r="733">
      <c r="D733" s="128"/>
      <c r="I733" s="129"/>
      <c r="J733" s="66"/>
      <c r="L733" s="66"/>
      <c r="M733" s="66"/>
      <c r="N733" s="130"/>
      <c r="P733" s="130"/>
      <c r="Q733" s="129"/>
    </row>
    <row r="734">
      <c r="D734" s="128"/>
      <c r="I734" s="129"/>
      <c r="J734" s="66"/>
      <c r="L734" s="66"/>
      <c r="M734" s="66"/>
      <c r="N734" s="130"/>
      <c r="P734" s="130"/>
      <c r="Q734" s="129"/>
    </row>
    <row r="735">
      <c r="D735" s="128"/>
      <c r="I735" s="129"/>
      <c r="J735" s="66"/>
      <c r="L735" s="66"/>
      <c r="M735" s="66"/>
      <c r="N735" s="130"/>
      <c r="P735" s="130"/>
      <c r="Q735" s="129"/>
    </row>
    <row r="736">
      <c r="D736" s="128"/>
      <c r="I736" s="129"/>
      <c r="J736" s="66"/>
      <c r="L736" s="66"/>
      <c r="M736" s="66"/>
      <c r="N736" s="130"/>
      <c r="P736" s="130"/>
      <c r="Q736" s="129"/>
    </row>
    <row r="737">
      <c r="D737" s="128"/>
      <c r="I737" s="129"/>
      <c r="J737" s="66"/>
      <c r="L737" s="66"/>
      <c r="M737" s="66"/>
      <c r="N737" s="130"/>
      <c r="P737" s="130"/>
      <c r="Q737" s="129"/>
    </row>
    <row r="738">
      <c r="D738" s="128"/>
      <c r="I738" s="129"/>
      <c r="J738" s="66"/>
      <c r="L738" s="66"/>
      <c r="M738" s="66"/>
      <c r="N738" s="130"/>
      <c r="P738" s="130"/>
      <c r="Q738" s="129"/>
    </row>
    <row r="739">
      <c r="D739" s="128"/>
      <c r="I739" s="129"/>
      <c r="J739" s="66"/>
      <c r="L739" s="66"/>
      <c r="M739" s="66"/>
      <c r="N739" s="130"/>
      <c r="P739" s="130"/>
      <c r="Q739" s="129"/>
    </row>
    <row r="740">
      <c r="D740" s="128"/>
      <c r="I740" s="129"/>
      <c r="J740" s="66"/>
      <c r="L740" s="66"/>
      <c r="M740" s="66"/>
      <c r="N740" s="130"/>
      <c r="P740" s="130"/>
      <c r="Q740" s="129"/>
    </row>
    <row r="741">
      <c r="D741" s="128"/>
      <c r="I741" s="129"/>
      <c r="J741" s="66"/>
      <c r="L741" s="66"/>
      <c r="M741" s="66"/>
      <c r="N741" s="130"/>
      <c r="P741" s="130"/>
      <c r="Q741" s="129"/>
    </row>
    <row r="742">
      <c r="D742" s="128"/>
      <c r="I742" s="129"/>
      <c r="J742" s="66"/>
      <c r="L742" s="66"/>
      <c r="M742" s="66"/>
      <c r="N742" s="130"/>
      <c r="P742" s="130"/>
      <c r="Q742" s="129"/>
    </row>
    <row r="743">
      <c r="D743" s="128"/>
      <c r="I743" s="129"/>
      <c r="J743" s="66"/>
      <c r="L743" s="66"/>
      <c r="M743" s="66"/>
      <c r="N743" s="130"/>
      <c r="P743" s="130"/>
      <c r="Q743" s="129"/>
    </row>
    <row r="744">
      <c r="D744" s="128"/>
      <c r="I744" s="129"/>
      <c r="J744" s="66"/>
      <c r="L744" s="66"/>
      <c r="M744" s="66"/>
      <c r="N744" s="130"/>
      <c r="P744" s="130"/>
      <c r="Q744" s="129"/>
    </row>
    <row r="745">
      <c r="D745" s="128"/>
      <c r="I745" s="129"/>
      <c r="J745" s="66"/>
      <c r="L745" s="66"/>
      <c r="M745" s="66"/>
      <c r="N745" s="130"/>
      <c r="P745" s="130"/>
      <c r="Q745" s="129"/>
    </row>
    <row r="746">
      <c r="D746" s="128"/>
      <c r="I746" s="129"/>
      <c r="J746" s="66"/>
      <c r="L746" s="66"/>
      <c r="M746" s="66"/>
      <c r="N746" s="130"/>
      <c r="P746" s="130"/>
      <c r="Q746" s="129"/>
    </row>
    <row r="747">
      <c r="D747" s="128"/>
      <c r="I747" s="129"/>
      <c r="J747" s="66"/>
      <c r="L747" s="66"/>
      <c r="M747" s="66"/>
      <c r="N747" s="130"/>
      <c r="P747" s="130"/>
      <c r="Q747" s="129"/>
    </row>
    <row r="748">
      <c r="D748" s="128"/>
      <c r="I748" s="129"/>
      <c r="J748" s="66"/>
      <c r="L748" s="66"/>
      <c r="M748" s="66"/>
      <c r="N748" s="130"/>
      <c r="P748" s="130"/>
      <c r="Q748" s="129"/>
    </row>
    <row r="749">
      <c r="D749" s="128"/>
      <c r="I749" s="129"/>
      <c r="J749" s="66"/>
      <c r="L749" s="66"/>
      <c r="M749" s="66"/>
      <c r="N749" s="130"/>
      <c r="P749" s="130"/>
      <c r="Q749" s="129"/>
    </row>
    <row r="750">
      <c r="D750" s="128"/>
      <c r="I750" s="129"/>
      <c r="J750" s="66"/>
      <c r="L750" s="66"/>
      <c r="M750" s="66"/>
      <c r="N750" s="130"/>
      <c r="P750" s="130"/>
      <c r="Q750" s="129"/>
    </row>
    <row r="751">
      <c r="D751" s="128"/>
      <c r="I751" s="129"/>
      <c r="J751" s="66"/>
      <c r="L751" s="66"/>
      <c r="M751" s="66"/>
      <c r="N751" s="130"/>
      <c r="P751" s="130"/>
      <c r="Q751" s="129"/>
    </row>
    <row r="752">
      <c r="D752" s="128"/>
      <c r="I752" s="129"/>
      <c r="J752" s="66"/>
      <c r="L752" s="66"/>
      <c r="M752" s="66"/>
      <c r="N752" s="130"/>
      <c r="P752" s="130"/>
      <c r="Q752" s="129"/>
    </row>
    <row r="753">
      <c r="D753" s="128"/>
      <c r="I753" s="129"/>
      <c r="J753" s="66"/>
      <c r="L753" s="66"/>
      <c r="M753" s="66"/>
      <c r="N753" s="130"/>
      <c r="P753" s="130"/>
      <c r="Q753" s="129"/>
    </row>
    <row r="754">
      <c r="D754" s="128"/>
      <c r="I754" s="129"/>
      <c r="J754" s="66"/>
      <c r="L754" s="66"/>
      <c r="M754" s="66"/>
      <c r="N754" s="130"/>
      <c r="P754" s="130"/>
      <c r="Q754" s="129"/>
    </row>
    <row r="755">
      <c r="D755" s="128"/>
      <c r="I755" s="129"/>
      <c r="J755" s="66"/>
      <c r="L755" s="66"/>
      <c r="M755" s="66"/>
      <c r="N755" s="130"/>
      <c r="P755" s="130"/>
      <c r="Q755" s="129"/>
    </row>
    <row r="756">
      <c r="D756" s="128"/>
      <c r="I756" s="129"/>
      <c r="J756" s="66"/>
      <c r="L756" s="66"/>
      <c r="M756" s="66"/>
      <c r="N756" s="130"/>
      <c r="P756" s="130"/>
      <c r="Q756" s="129"/>
    </row>
    <row r="757">
      <c r="D757" s="128"/>
      <c r="I757" s="129"/>
      <c r="J757" s="66"/>
      <c r="L757" s="66"/>
      <c r="M757" s="66"/>
      <c r="N757" s="130"/>
      <c r="P757" s="130"/>
      <c r="Q757" s="129"/>
    </row>
    <row r="758">
      <c r="D758" s="128"/>
      <c r="I758" s="129"/>
      <c r="J758" s="66"/>
      <c r="L758" s="66"/>
      <c r="M758" s="66"/>
      <c r="N758" s="130"/>
      <c r="P758" s="130"/>
      <c r="Q758" s="129"/>
    </row>
    <row r="759">
      <c r="D759" s="128"/>
      <c r="I759" s="129"/>
      <c r="J759" s="66"/>
      <c r="L759" s="66"/>
      <c r="M759" s="66"/>
      <c r="N759" s="130"/>
      <c r="P759" s="130"/>
      <c r="Q759" s="129"/>
    </row>
    <row r="760">
      <c r="D760" s="128"/>
      <c r="I760" s="129"/>
      <c r="J760" s="66"/>
      <c r="L760" s="66"/>
      <c r="M760" s="66"/>
      <c r="N760" s="130"/>
      <c r="P760" s="130"/>
      <c r="Q760" s="129"/>
    </row>
    <row r="761">
      <c r="D761" s="128"/>
      <c r="I761" s="129"/>
      <c r="J761" s="66"/>
      <c r="L761" s="66"/>
      <c r="M761" s="66"/>
      <c r="N761" s="130"/>
      <c r="P761" s="130"/>
      <c r="Q761" s="129"/>
    </row>
    <row r="762">
      <c r="D762" s="128"/>
      <c r="I762" s="129"/>
      <c r="J762" s="66"/>
      <c r="L762" s="66"/>
      <c r="M762" s="66"/>
      <c r="N762" s="130"/>
      <c r="P762" s="130"/>
      <c r="Q762" s="129"/>
    </row>
    <row r="763">
      <c r="D763" s="128"/>
      <c r="I763" s="129"/>
      <c r="J763" s="66"/>
      <c r="L763" s="66"/>
      <c r="M763" s="66"/>
      <c r="N763" s="130"/>
      <c r="P763" s="130"/>
      <c r="Q763" s="129"/>
    </row>
    <row r="764">
      <c r="D764" s="128"/>
      <c r="I764" s="129"/>
      <c r="J764" s="66"/>
      <c r="L764" s="66"/>
      <c r="M764" s="66"/>
      <c r="N764" s="130"/>
      <c r="P764" s="130"/>
      <c r="Q764" s="129"/>
    </row>
    <row r="765">
      <c r="D765" s="128"/>
      <c r="I765" s="129"/>
      <c r="J765" s="66"/>
      <c r="L765" s="66"/>
      <c r="M765" s="66"/>
      <c r="N765" s="130"/>
      <c r="P765" s="130"/>
      <c r="Q765" s="129"/>
    </row>
    <row r="766">
      <c r="D766" s="128"/>
      <c r="I766" s="129"/>
      <c r="J766" s="66"/>
      <c r="L766" s="66"/>
      <c r="M766" s="66"/>
      <c r="N766" s="130"/>
      <c r="P766" s="130"/>
      <c r="Q766" s="129"/>
    </row>
    <row r="767">
      <c r="D767" s="128"/>
      <c r="I767" s="129"/>
      <c r="J767" s="66"/>
      <c r="L767" s="66"/>
      <c r="M767" s="66"/>
      <c r="N767" s="130"/>
      <c r="P767" s="130"/>
      <c r="Q767" s="129"/>
    </row>
    <row r="768">
      <c r="D768" s="128"/>
      <c r="I768" s="129"/>
      <c r="J768" s="66"/>
      <c r="L768" s="66"/>
      <c r="M768" s="66"/>
      <c r="N768" s="130"/>
      <c r="P768" s="130"/>
      <c r="Q768" s="129"/>
    </row>
    <row r="769">
      <c r="D769" s="128"/>
      <c r="I769" s="129"/>
      <c r="J769" s="66"/>
      <c r="L769" s="66"/>
      <c r="M769" s="66"/>
      <c r="N769" s="130"/>
      <c r="P769" s="130"/>
      <c r="Q769" s="129"/>
    </row>
    <row r="770">
      <c r="D770" s="128"/>
      <c r="I770" s="129"/>
      <c r="J770" s="66"/>
      <c r="L770" s="66"/>
      <c r="M770" s="66"/>
      <c r="N770" s="130"/>
      <c r="P770" s="130"/>
      <c r="Q770" s="129"/>
    </row>
    <row r="771">
      <c r="D771" s="128"/>
      <c r="I771" s="129"/>
      <c r="J771" s="66"/>
      <c r="L771" s="66"/>
      <c r="M771" s="66"/>
      <c r="N771" s="130"/>
      <c r="P771" s="130"/>
      <c r="Q771" s="129"/>
    </row>
    <row r="772">
      <c r="D772" s="128"/>
      <c r="I772" s="129"/>
      <c r="J772" s="66"/>
      <c r="L772" s="66"/>
      <c r="M772" s="66"/>
      <c r="N772" s="130"/>
      <c r="P772" s="130"/>
      <c r="Q772" s="129"/>
    </row>
    <row r="773">
      <c r="D773" s="128"/>
      <c r="I773" s="129"/>
      <c r="J773" s="66"/>
      <c r="L773" s="66"/>
      <c r="M773" s="66"/>
      <c r="N773" s="130"/>
      <c r="P773" s="130"/>
      <c r="Q773" s="129"/>
    </row>
    <row r="774">
      <c r="D774" s="128"/>
      <c r="I774" s="129"/>
      <c r="J774" s="66"/>
      <c r="L774" s="66"/>
      <c r="M774" s="66"/>
      <c r="N774" s="130"/>
      <c r="P774" s="130"/>
      <c r="Q774" s="129"/>
    </row>
    <row r="775">
      <c r="D775" s="128"/>
      <c r="I775" s="129"/>
      <c r="J775" s="66"/>
      <c r="L775" s="66"/>
      <c r="M775" s="66"/>
      <c r="N775" s="130"/>
      <c r="P775" s="130"/>
      <c r="Q775" s="129"/>
    </row>
    <row r="776">
      <c r="D776" s="128"/>
      <c r="I776" s="129"/>
      <c r="J776" s="66"/>
      <c r="L776" s="66"/>
      <c r="M776" s="66"/>
      <c r="N776" s="130"/>
      <c r="P776" s="130"/>
      <c r="Q776" s="129"/>
    </row>
    <row r="777">
      <c r="D777" s="128"/>
      <c r="I777" s="129"/>
      <c r="J777" s="66"/>
      <c r="L777" s="66"/>
      <c r="M777" s="66"/>
      <c r="N777" s="130"/>
      <c r="P777" s="130"/>
      <c r="Q777" s="129"/>
    </row>
    <row r="778">
      <c r="D778" s="128"/>
      <c r="I778" s="129"/>
      <c r="J778" s="66"/>
      <c r="L778" s="66"/>
      <c r="M778" s="66"/>
      <c r="N778" s="130"/>
      <c r="P778" s="130"/>
      <c r="Q778" s="129"/>
    </row>
    <row r="779">
      <c r="D779" s="128"/>
      <c r="I779" s="129"/>
      <c r="J779" s="66"/>
      <c r="L779" s="66"/>
      <c r="M779" s="66"/>
      <c r="N779" s="130"/>
      <c r="P779" s="130"/>
      <c r="Q779" s="129"/>
    </row>
    <row r="780">
      <c r="D780" s="128"/>
      <c r="I780" s="129"/>
      <c r="J780" s="66"/>
      <c r="L780" s="66"/>
      <c r="M780" s="66"/>
      <c r="N780" s="130"/>
      <c r="P780" s="130"/>
      <c r="Q780" s="129"/>
    </row>
    <row r="781">
      <c r="D781" s="128"/>
      <c r="I781" s="129"/>
      <c r="J781" s="66"/>
      <c r="L781" s="66"/>
      <c r="M781" s="66"/>
      <c r="N781" s="130"/>
      <c r="P781" s="130"/>
      <c r="Q781" s="129"/>
    </row>
    <row r="782">
      <c r="D782" s="128"/>
      <c r="I782" s="129"/>
      <c r="J782" s="66"/>
      <c r="L782" s="66"/>
      <c r="M782" s="66"/>
      <c r="N782" s="130"/>
      <c r="P782" s="130"/>
      <c r="Q782" s="129"/>
    </row>
    <row r="783">
      <c r="D783" s="128"/>
      <c r="I783" s="129"/>
      <c r="J783" s="66"/>
      <c r="L783" s="66"/>
      <c r="M783" s="66"/>
      <c r="N783" s="130"/>
      <c r="P783" s="130"/>
      <c r="Q783" s="129"/>
    </row>
    <row r="784">
      <c r="D784" s="128"/>
      <c r="I784" s="129"/>
      <c r="J784" s="66"/>
      <c r="L784" s="66"/>
      <c r="M784" s="66"/>
      <c r="N784" s="130"/>
      <c r="P784" s="130"/>
      <c r="Q784" s="129"/>
    </row>
    <row r="785">
      <c r="D785" s="128"/>
      <c r="I785" s="129"/>
      <c r="J785" s="66"/>
      <c r="L785" s="66"/>
      <c r="M785" s="66"/>
      <c r="N785" s="130"/>
      <c r="P785" s="130"/>
      <c r="Q785" s="129"/>
    </row>
    <row r="786">
      <c r="D786" s="128"/>
      <c r="I786" s="129"/>
      <c r="J786" s="66"/>
      <c r="L786" s="66"/>
      <c r="M786" s="66"/>
      <c r="N786" s="130"/>
      <c r="P786" s="130"/>
      <c r="Q786" s="129"/>
    </row>
    <row r="787">
      <c r="D787" s="128"/>
      <c r="I787" s="129"/>
      <c r="J787" s="66"/>
      <c r="L787" s="66"/>
      <c r="M787" s="66"/>
      <c r="N787" s="130"/>
      <c r="P787" s="130"/>
      <c r="Q787" s="129"/>
    </row>
    <row r="788">
      <c r="D788" s="128"/>
      <c r="I788" s="129"/>
      <c r="J788" s="66"/>
      <c r="L788" s="66"/>
      <c r="M788" s="66"/>
      <c r="N788" s="130"/>
      <c r="P788" s="130"/>
      <c r="Q788" s="129"/>
    </row>
    <row r="789">
      <c r="D789" s="128"/>
      <c r="I789" s="129"/>
      <c r="J789" s="66"/>
      <c r="L789" s="66"/>
      <c r="M789" s="66"/>
      <c r="N789" s="130"/>
      <c r="P789" s="130"/>
      <c r="Q789" s="129"/>
    </row>
    <row r="790">
      <c r="D790" s="128"/>
      <c r="I790" s="129"/>
      <c r="J790" s="66"/>
      <c r="L790" s="66"/>
      <c r="M790" s="66"/>
      <c r="N790" s="130"/>
      <c r="P790" s="130"/>
      <c r="Q790" s="129"/>
    </row>
    <row r="791">
      <c r="D791" s="128"/>
      <c r="I791" s="129"/>
      <c r="J791" s="66"/>
      <c r="L791" s="66"/>
      <c r="M791" s="66"/>
      <c r="N791" s="130"/>
      <c r="P791" s="130"/>
      <c r="Q791" s="129"/>
    </row>
    <row r="792">
      <c r="D792" s="128"/>
      <c r="I792" s="129"/>
      <c r="J792" s="66"/>
      <c r="L792" s="66"/>
      <c r="M792" s="66"/>
      <c r="N792" s="130"/>
      <c r="P792" s="130"/>
      <c r="Q792" s="129"/>
    </row>
    <row r="793">
      <c r="D793" s="128"/>
      <c r="I793" s="129"/>
      <c r="J793" s="66"/>
      <c r="L793" s="66"/>
      <c r="M793" s="66"/>
      <c r="N793" s="130"/>
      <c r="P793" s="130"/>
      <c r="Q793" s="129"/>
    </row>
    <row r="794">
      <c r="D794" s="128"/>
      <c r="I794" s="129"/>
      <c r="J794" s="66"/>
      <c r="L794" s="66"/>
      <c r="M794" s="66"/>
      <c r="N794" s="130"/>
      <c r="P794" s="130"/>
      <c r="Q794" s="129"/>
    </row>
    <row r="795">
      <c r="D795" s="128"/>
      <c r="I795" s="129"/>
      <c r="J795" s="66"/>
      <c r="L795" s="66"/>
      <c r="M795" s="66"/>
      <c r="N795" s="130"/>
      <c r="P795" s="130"/>
      <c r="Q795" s="129"/>
    </row>
    <row r="796">
      <c r="D796" s="128"/>
      <c r="I796" s="129"/>
      <c r="J796" s="66"/>
      <c r="L796" s="66"/>
      <c r="M796" s="66"/>
      <c r="N796" s="130"/>
      <c r="P796" s="130"/>
      <c r="Q796" s="129"/>
    </row>
    <row r="797">
      <c r="D797" s="128"/>
      <c r="I797" s="129"/>
      <c r="J797" s="66"/>
      <c r="L797" s="66"/>
      <c r="M797" s="66"/>
      <c r="N797" s="130"/>
      <c r="P797" s="130"/>
      <c r="Q797" s="129"/>
    </row>
    <row r="798">
      <c r="D798" s="128"/>
      <c r="I798" s="129"/>
      <c r="J798" s="66"/>
      <c r="L798" s="66"/>
      <c r="M798" s="66"/>
      <c r="N798" s="130"/>
      <c r="P798" s="130"/>
      <c r="Q798" s="129"/>
    </row>
    <row r="799">
      <c r="D799" s="128"/>
      <c r="I799" s="129"/>
      <c r="J799" s="66"/>
      <c r="L799" s="66"/>
      <c r="M799" s="66"/>
      <c r="N799" s="130"/>
      <c r="P799" s="130"/>
      <c r="Q799" s="129"/>
    </row>
    <row r="800">
      <c r="D800" s="128"/>
      <c r="I800" s="129"/>
      <c r="J800" s="66"/>
      <c r="L800" s="66"/>
      <c r="M800" s="66"/>
      <c r="N800" s="130"/>
      <c r="P800" s="130"/>
      <c r="Q800" s="129"/>
    </row>
    <row r="801">
      <c r="D801" s="128"/>
      <c r="I801" s="129"/>
      <c r="J801" s="66"/>
      <c r="L801" s="66"/>
      <c r="M801" s="66"/>
      <c r="N801" s="130"/>
      <c r="P801" s="130"/>
      <c r="Q801" s="129"/>
    </row>
    <row r="802">
      <c r="D802" s="128"/>
      <c r="I802" s="129"/>
      <c r="J802" s="66"/>
      <c r="L802" s="66"/>
      <c r="M802" s="66"/>
      <c r="N802" s="130"/>
      <c r="P802" s="130"/>
      <c r="Q802" s="129"/>
    </row>
    <row r="803">
      <c r="D803" s="128"/>
      <c r="I803" s="129"/>
      <c r="J803" s="66"/>
      <c r="L803" s="66"/>
      <c r="M803" s="66"/>
      <c r="N803" s="130"/>
      <c r="P803" s="130"/>
      <c r="Q803" s="129"/>
    </row>
    <row r="804">
      <c r="D804" s="128"/>
      <c r="I804" s="129"/>
      <c r="J804" s="66"/>
      <c r="L804" s="66"/>
      <c r="M804" s="66"/>
      <c r="N804" s="130"/>
      <c r="P804" s="130"/>
      <c r="Q804" s="129"/>
    </row>
    <row r="805">
      <c r="D805" s="128"/>
      <c r="I805" s="129"/>
      <c r="J805" s="66"/>
      <c r="L805" s="66"/>
      <c r="M805" s="66"/>
      <c r="N805" s="130"/>
      <c r="P805" s="130"/>
      <c r="Q805" s="129"/>
    </row>
    <row r="806">
      <c r="D806" s="128"/>
      <c r="I806" s="129"/>
      <c r="J806" s="66"/>
      <c r="L806" s="66"/>
      <c r="M806" s="66"/>
      <c r="N806" s="130"/>
      <c r="P806" s="130"/>
      <c r="Q806" s="129"/>
    </row>
    <row r="807">
      <c r="D807" s="128"/>
      <c r="I807" s="129"/>
      <c r="J807" s="66"/>
      <c r="L807" s="66"/>
      <c r="M807" s="66"/>
      <c r="N807" s="130"/>
      <c r="P807" s="130"/>
      <c r="Q807" s="129"/>
    </row>
    <row r="808">
      <c r="D808" s="128"/>
      <c r="I808" s="129"/>
      <c r="J808" s="66"/>
      <c r="L808" s="66"/>
      <c r="M808" s="66"/>
      <c r="N808" s="130"/>
      <c r="P808" s="130"/>
      <c r="Q808" s="129"/>
    </row>
    <row r="809">
      <c r="D809" s="128"/>
      <c r="I809" s="129"/>
      <c r="J809" s="66"/>
      <c r="L809" s="66"/>
      <c r="M809" s="66"/>
      <c r="N809" s="130"/>
      <c r="P809" s="130"/>
      <c r="Q809" s="129"/>
    </row>
    <row r="810">
      <c r="D810" s="128"/>
      <c r="I810" s="129"/>
      <c r="J810" s="66"/>
      <c r="L810" s="66"/>
      <c r="M810" s="66"/>
      <c r="N810" s="130"/>
      <c r="P810" s="130"/>
      <c r="Q810" s="129"/>
    </row>
    <row r="811">
      <c r="D811" s="128"/>
      <c r="I811" s="129"/>
      <c r="J811" s="66"/>
      <c r="L811" s="66"/>
      <c r="M811" s="66"/>
      <c r="N811" s="130"/>
      <c r="P811" s="130"/>
      <c r="Q811" s="129"/>
    </row>
    <row r="812">
      <c r="D812" s="128"/>
      <c r="I812" s="129"/>
      <c r="J812" s="66"/>
      <c r="L812" s="66"/>
      <c r="M812" s="66"/>
      <c r="N812" s="130"/>
      <c r="P812" s="130"/>
      <c r="Q812" s="129"/>
    </row>
    <row r="813">
      <c r="D813" s="128"/>
      <c r="I813" s="129"/>
      <c r="J813" s="66"/>
      <c r="L813" s="66"/>
      <c r="M813" s="66"/>
      <c r="N813" s="130"/>
      <c r="P813" s="130"/>
      <c r="Q813" s="129"/>
    </row>
    <row r="814">
      <c r="D814" s="128"/>
      <c r="I814" s="129"/>
      <c r="J814" s="66"/>
      <c r="L814" s="66"/>
      <c r="M814" s="66"/>
      <c r="N814" s="130"/>
      <c r="P814" s="130"/>
      <c r="Q814" s="129"/>
    </row>
    <row r="815">
      <c r="D815" s="128"/>
      <c r="I815" s="129"/>
      <c r="J815" s="66"/>
      <c r="L815" s="66"/>
      <c r="M815" s="66"/>
      <c r="N815" s="130"/>
      <c r="P815" s="130"/>
      <c r="Q815" s="129"/>
    </row>
    <row r="816">
      <c r="D816" s="128"/>
      <c r="I816" s="129"/>
      <c r="J816" s="66"/>
      <c r="L816" s="66"/>
      <c r="M816" s="66"/>
      <c r="N816" s="130"/>
      <c r="P816" s="130"/>
      <c r="Q816" s="129"/>
    </row>
    <row r="817">
      <c r="D817" s="128"/>
      <c r="I817" s="129"/>
      <c r="J817" s="66"/>
      <c r="L817" s="66"/>
      <c r="M817" s="66"/>
      <c r="N817" s="130"/>
      <c r="P817" s="130"/>
      <c r="Q817" s="129"/>
    </row>
    <row r="818">
      <c r="D818" s="128"/>
      <c r="I818" s="129"/>
      <c r="J818" s="66"/>
      <c r="L818" s="66"/>
      <c r="M818" s="66"/>
      <c r="N818" s="130"/>
      <c r="P818" s="130"/>
      <c r="Q818" s="129"/>
    </row>
    <row r="819">
      <c r="D819" s="128"/>
      <c r="I819" s="129"/>
      <c r="J819" s="66"/>
      <c r="L819" s="66"/>
      <c r="M819" s="66"/>
      <c r="N819" s="130"/>
      <c r="P819" s="130"/>
      <c r="Q819" s="129"/>
    </row>
    <row r="820">
      <c r="D820" s="128"/>
      <c r="I820" s="129"/>
      <c r="J820" s="66"/>
      <c r="L820" s="66"/>
      <c r="M820" s="66"/>
      <c r="N820" s="130"/>
      <c r="P820" s="130"/>
      <c r="Q820" s="129"/>
    </row>
    <row r="821">
      <c r="D821" s="128"/>
      <c r="I821" s="129"/>
      <c r="J821" s="66"/>
      <c r="L821" s="66"/>
      <c r="M821" s="66"/>
      <c r="N821" s="130"/>
      <c r="P821" s="130"/>
      <c r="Q821" s="129"/>
    </row>
    <row r="822">
      <c r="D822" s="128"/>
      <c r="I822" s="129"/>
      <c r="J822" s="66"/>
      <c r="L822" s="66"/>
      <c r="M822" s="66"/>
      <c r="N822" s="130"/>
      <c r="P822" s="130"/>
      <c r="Q822" s="129"/>
    </row>
    <row r="823">
      <c r="D823" s="128"/>
      <c r="I823" s="129"/>
      <c r="J823" s="66"/>
      <c r="L823" s="66"/>
      <c r="M823" s="66"/>
      <c r="N823" s="130"/>
      <c r="P823" s="130"/>
      <c r="Q823" s="129"/>
    </row>
    <row r="824">
      <c r="D824" s="128"/>
      <c r="I824" s="129"/>
      <c r="J824" s="66"/>
      <c r="L824" s="66"/>
      <c r="M824" s="66"/>
      <c r="N824" s="130"/>
      <c r="P824" s="130"/>
      <c r="Q824" s="129"/>
    </row>
    <row r="825">
      <c r="D825" s="128"/>
      <c r="I825" s="129"/>
      <c r="J825" s="66"/>
      <c r="L825" s="66"/>
      <c r="M825" s="66"/>
      <c r="N825" s="130"/>
      <c r="P825" s="130"/>
      <c r="Q825" s="129"/>
    </row>
    <row r="826">
      <c r="D826" s="128"/>
      <c r="I826" s="129"/>
      <c r="J826" s="66"/>
      <c r="L826" s="66"/>
      <c r="M826" s="66"/>
      <c r="N826" s="130"/>
      <c r="P826" s="130"/>
      <c r="Q826" s="129"/>
    </row>
    <row r="827">
      <c r="D827" s="128"/>
      <c r="I827" s="129"/>
      <c r="J827" s="66"/>
      <c r="L827" s="66"/>
      <c r="M827" s="66"/>
      <c r="N827" s="130"/>
      <c r="P827" s="130"/>
      <c r="Q827" s="129"/>
    </row>
    <row r="828">
      <c r="D828" s="128"/>
      <c r="I828" s="129"/>
      <c r="J828" s="66"/>
      <c r="L828" s="66"/>
      <c r="M828" s="66"/>
      <c r="N828" s="130"/>
      <c r="P828" s="130"/>
      <c r="Q828" s="129"/>
    </row>
    <row r="829">
      <c r="D829" s="128"/>
      <c r="I829" s="129"/>
      <c r="J829" s="66"/>
      <c r="L829" s="66"/>
      <c r="M829" s="66"/>
      <c r="N829" s="130"/>
      <c r="P829" s="130"/>
      <c r="Q829" s="129"/>
    </row>
    <row r="830">
      <c r="D830" s="128"/>
      <c r="I830" s="129"/>
      <c r="J830" s="66"/>
      <c r="L830" s="66"/>
      <c r="M830" s="66"/>
      <c r="N830" s="130"/>
      <c r="P830" s="130"/>
      <c r="Q830" s="129"/>
    </row>
    <row r="831">
      <c r="D831" s="128"/>
      <c r="I831" s="129"/>
      <c r="J831" s="66"/>
      <c r="L831" s="66"/>
      <c r="M831" s="66"/>
      <c r="N831" s="130"/>
      <c r="P831" s="130"/>
      <c r="Q831" s="129"/>
    </row>
    <row r="832">
      <c r="D832" s="128"/>
      <c r="I832" s="129"/>
      <c r="J832" s="66"/>
      <c r="L832" s="66"/>
      <c r="M832" s="66"/>
      <c r="N832" s="130"/>
      <c r="P832" s="130"/>
      <c r="Q832" s="129"/>
    </row>
    <row r="833">
      <c r="D833" s="128"/>
      <c r="I833" s="129"/>
      <c r="J833" s="66"/>
      <c r="L833" s="66"/>
      <c r="M833" s="66"/>
      <c r="N833" s="130"/>
      <c r="P833" s="130"/>
      <c r="Q833" s="129"/>
    </row>
    <row r="834">
      <c r="D834" s="128"/>
      <c r="I834" s="129"/>
      <c r="J834" s="66"/>
      <c r="L834" s="66"/>
      <c r="M834" s="66"/>
      <c r="N834" s="130"/>
      <c r="P834" s="130"/>
      <c r="Q834" s="129"/>
    </row>
    <row r="835">
      <c r="D835" s="128"/>
      <c r="I835" s="129"/>
      <c r="J835" s="66"/>
      <c r="L835" s="66"/>
      <c r="M835" s="66"/>
      <c r="N835" s="130"/>
      <c r="P835" s="130"/>
      <c r="Q835" s="129"/>
    </row>
    <row r="836">
      <c r="D836" s="128"/>
      <c r="I836" s="129"/>
      <c r="J836" s="66"/>
      <c r="L836" s="66"/>
      <c r="M836" s="66"/>
      <c r="N836" s="130"/>
      <c r="P836" s="130"/>
      <c r="Q836" s="129"/>
    </row>
    <row r="837">
      <c r="D837" s="128"/>
      <c r="I837" s="129"/>
      <c r="J837" s="66"/>
      <c r="L837" s="66"/>
      <c r="M837" s="66"/>
      <c r="N837" s="130"/>
      <c r="P837" s="130"/>
      <c r="Q837" s="129"/>
    </row>
    <row r="838">
      <c r="D838" s="128"/>
      <c r="I838" s="129"/>
      <c r="J838" s="66"/>
      <c r="L838" s="66"/>
      <c r="M838" s="66"/>
      <c r="N838" s="130"/>
      <c r="P838" s="130"/>
      <c r="Q838" s="129"/>
    </row>
    <row r="839">
      <c r="D839" s="128"/>
      <c r="I839" s="129"/>
      <c r="J839" s="66"/>
      <c r="L839" s="66"/>
      <c r="M839" s="66"/>
      <c r="N839" s="130"/>
      <c r="P839" s="130"/>
      <c r="Q839" s="129"/>
    </row>
    <row r="840">
      <c r="D840" s="128"/>
      <c r="I840" s="129"/>
      <c r="J840" s="66"/>
      <c r="L840" s="66"/>
      <c r="M840" s="66"/>
      <c r="N840" s="130"/>
      <c r="P840" s="130"/>
      <c r="Q840" s="129"/>
    </row>
    <row r="841">
      <c r="D841" s="128"/>
      <c r="I841" s="129"/>
      <c r="J841" s="66"/>
      <c r="L841" s="66"/>
      <c r="M841" s="66"/>
      <c r="N841" s="130"/>
      <c r="P841" s="130"/>
      <c r="Q841" s="129"/>
    </row>
    <row r="842">
      <c r="D842" s="128"/>
      <c r="I842" s="129"/>
      <c r="J842" s="66"/>
      <c r="L842" s="66"/>
      <c r="M842" s="66"/>
      <c r="N842" s="130"/>
      <c r="P842" s="130"/>
      <c r="Q842" s="129"/>
    </row>
    <row r="843">
      <c r="D843" s="128"/>
      <c r="I843" s="129"/>
      <c r="J843" s="66"/>
      <c r="L843" s="66"/>
      <c r="M843" s="66"/>
      <c r="N843" s="130"/>
      <c r="P843" s="130"/>
      <c r="Q843" s="129"/>
    </row>
    <row r="844">
      <c r="D844" s="128"/>
      <c r="I844" s="129"/>
      <c r="J844" s="66"/>
      <c r="L844" s="66"/>
      <c r="M844" s="66"/>
      <c r="N844" s="130"/>
      <c r="P844" s="130"/>
      <c r="Q844" s="129"/>
    </row>
    <row r="845">
      <c r="D845" s="128"/>
      <c r="I845" s="129"/>
      <c r="J845" s="66"/>
      <c r="L845" s="66"/>
      <c r="M845" s="66"/>
      <c r="N845" s="130"/>
      <c r="P845" s="130"/>
      <c r="Q845" s="129"/>
    </row>
    <row r="846">
      <c r="D846" s="128"/>
      <c r="I846" s="129"/>
      <c r="J846" s="66"/>
      <c r="L846" s="66"/>
      <c r="M846" s="66"/>
      <c r="N846" s="130"/>
      <c r="P846" s="130"/>
      <c r="Q846" s="129"/>
    </row>
    <row r="847">
      <c r="D847" s="128"/>
      <c r="I847" s="129"/>
      <c r="J847" s="66"/>
      <c r="L847" s="66"/>
      <c r="M847" s="66"/>
      <c r="N847" s="130"/>
      <c r="P847" s="130"/>
      <c r="Q847" s="129"/>
    </row>
    <row r="848">
      <c r="D848" s="128"/>
      <c r="I848" s="129"/>
      <c r="J848" s="66"/>
      <c r="L848" s="66"/>
      <c r="M848" s="66"/>
      <c r="N848" s="130"/>
      <c r="P848" s="130"/>
      <c r="Q848" s="129"/>
    </row>
    <row r="849">
      <c r="D849" s="128"/>
      <c r="I849" s="129"/>
      <c r="J849" s="66"/>
      <c r="L849" s="66"/>
      <c r="M849" s="66"/>
      <c r="N849" s="130"/>
      <c r="P849" s="130"/>
      <c r="Q849" s="129"/>
    </row>
    <row r="850">
      <c r="D850" s="128"/>
      <c r="I850" s="129"/>
      <c r="J850" s="66"/>
      <c r="L850" s="66"/>
      <c r="M850" s="66"/>
      <c r="N850" s="130"/>
      <c r="P850" s="130"/>
      <c r="Q850" s="129"/>
    </row>
    <row r="851">
      <c r="D851" s="128"/>
      <c r="I851" s="129"/>
      <c r="J851" s="66"/>
      <c r="L851" s="66"/>
      <c r="M851" s="66"/>
      <c r="N851" s="130"/>
      <c r="P851" s="130"/>
      <c r="Q851" s="129"/>
    </row>
    <row r="852">
      <c r="D852" s="128"/>
      <c r="I852" s="129"/>
      <c r="J852" s="66"/>
      <c r="L852" s="66"/>
      <c r="M852" s="66"/>
      <c r="N852" s="130"/>
      <c r="P852" s="130"/>
      <c r="Q852" s="129"/>
    </row>
    <row r="853">
      <c r="D853" s="128"/>
      <c r="I853" s="129"/>
      <c r="J853" s="66"/>
      <c r="L853" s="66"/>
      <c r="M853" s="66"/>
      <c r="N853" s="130"/>
      <c r="P853" s="130"/>
      <c r="Q853" s="129"/>
    </row>
    <row r="854">
      <c r="D854" s="128"/>
      <c r="I854" s="129"/>
      <c r="J854" s="66"/>
      <c r="L854" s="66"/>
      <c r="M854" s="66"/>
      <c r="N854" s="130"/>
      <c r="P854" s="130"/>
      <c r="Q854" s="129"/>
    </row>
    <row r="855">
      <c r="D855" s="128"/>
      <c r="I855" s="129"/>
      <c r="J855" s="66"/>
      <c r="L855" s="66"/>
      <c r="M855" s="66"/>
      <c r="N855" s="130"/>
      <c r="P855" s="130"/>
      <c r="Q855" s="129"/>
    </row>
    <row r="856">
      <c r="D856" s="128"/>
      <c r="I856" s="129"/>
      <c r="J856" s="66"/>
      <c r="L856" s="66"/>
      <c r="M856" s="66"/>
      <c r="N856" s="130"/>
      <c r="P856" s="130"/>
      <c r="Q856" s="129"/>
    </row>
    <row r="857">
      <c r="D857" s="128"/>
      <c r="I857" s="129"/>
      <c r="J857" s="66"/>
      <c r="L857" s="66"/>
      <c r="M857" s="66"/>
      <c r="N857" s="130"/>
      <c r="P857" s="130"/>
      <c r="Q857" s="129"/>
    </row>
    <row r="858">
      <c r="D858" s="128"/>
      <c r="I858" s="129"/>
      <c r="J858" s="66"/>
      <c r="L858" s="66"/>
      <c r="M858" s="66"/>
      <c r="N858" s="130"/>
      <c r="P858" s="130"/>
      <c r="Q858" s="129"/>
    </row>
    <row r="859">
      <c r="D859" s="128"/>
      <c r="I859" s="129"/>
      <c r="J859" s="66"/>
      <c r="L859" s="66"/>
      <c r="M859" s="66"/>
      <c r="N859" s="130"/>
      <c r="P859" s="130"/>
      <c r="Q859" s="129"/>
    </row>
    <row r="860">
      <c r="D860" s="128"/>
      <c r="I860" s="129"/>
      <c r="J860" s="66"/>
      <c r="L860" s="66"/>
      <c r="M860" s="66"/>
      <c r="N860" s="130"/>
      <c r="P860" s="130"/>
      <c r="Q860" s="129"/>
    </row>
    <row r="861">
      <c r="D861" s="128"/>
      <c r="I861" s="129"/>
      <c r="J861" s="66"/>
      <c r="L861" s="66"/>
      <c r="M861" s="66"/>
      <c r="N861" s="130"/>
      <c r="P861" s="130"/>
      <c r="Q861" s="129"/>
    </row>
    <row r="862">
      <c r="D862" s="128"/>
      <c r="I862" s="129"/>
      <c r="J862" s="66"/>
      <c r="L862" s="66"/>
      <c r="M862" s="66"/>
      <c r="N862" s="130"/>
      <c r="P862" s="130"/>
      <c r="Q862" s="129"/>
    </row>
    <row r="863">
      <c r="D863" s="128"/>
      <c r="I863" s="129"/>
      <c r="J863" s="66"/>
      <c r="L863" s="66"/>
      <c r="M863" s="66"/>
      <c r="N863" s="130"/>
      <c r="P863" s="130"/>
      <c r="Q863" s="129"/>
    </row>
    <row r="864">
      <c r="D864" s="128"/>
      <c r="I864" s="129"/>
      <c r="J864" s="66"/>
      <c r="L864" s="66"/>
      <c r="M864" s="66"/>
      <c r="N864" s="130"/>
      <c r="P864" s="130"/>
      <c r="Q864" s="129"/>
    </row>
    <row r="865">
      <c r="D865" s="128"/>
      <c r="I865" s="129"/>
      <c r="J865" s="66"/>
      <c r="L865" s="66"/>
      <c r="M865" s="66"/>
      <c r="N865" s="130"/>
      <c r="P865" s="130"/>
      <c r="Q865" s="129"/>
    </row>
    <row r="866">
      <c r="D866" s="128"/>
      <c r="I866" s="129"/>
      <c r="J866" s="66"/>
      <c r="L866" s="66"/>
      <c r="M866" s="66"/>
      <c r="N866" s="130"/>
      <c r="P866" s="130"/>
      <c r="Q866" s="129"/>
    </row>
    <row r="867">
      <c r="D867" s="128"/>
      <c r="I867" s="129"/>
      <c r="J867" s="66"/>
      <c r="L867" s="66"/>
      <c r="M867" s="66"/>
      <c r="N867" s="130"/>
      <c r="P867" s="130"/>
      <c r="Q867" s="129"/>
    </row>
    <row r="868">
      <c r="D868" s="128"/>
      <c r="I868" s="129"/>
      <c r="J868" s="66"/>
      <c r="L868" s="66"/>
      <c r="M868" s="66"/>
      <c r="N868" s="130"/>
      <c r="P868" s="130"/>
      <c r="Q868" s="129"/>
    </row>
    <row r="869">
      <c r="D869" s="128"/>
      <c r="I869" s="129"/>
      <c r="J869" s="66"/>
      <c r="L869" s="66"/>
      <c r="M869" s="66"/>
      <c r="N869" s="130"/>
      <c r="P869" s="130"/>
      <c r="Q869" s="129"/>
    </row>
    <row r="870">
      <c r="D870" s="128"/>
      <c r="I870" s="129"/>
      <c r="J870" s="66"/>
      <c r="L870" s="66"/>
      <c r="M870" s="66"/>
      <c r="N870" s="130"/>
      <c r="P870" s="130"/>
      <c r="Q870" s="129"/>
    </row>
    <row r="871">
      <c r="D871" s="128"/>
      <c r="I871" s="129"/>
      <c r="J871" s="66"/>
      <c r="L871" s="66"/>
      <c r="M871" s="66"/>
      <c r="N871" s="130"/>
      <c r="P871" s="130"/>
      <c r="Q871" s="129"/>
    </row>
    <row r="872">
      <c r="D872" s="128"/>
      <c r="I872" s="129"/>
      <c r="J872" s="66"/>
      <c r="L872" s="66"/>
      <c r="M872" s="66"/>
      <c r="N872" s="130"/>
      <c r="P872" s="130"/>
      <c r="Q872" s="129"/>
    </row>
    <row r="873">
      <c r="D873" s="128"/>
      <c r="I873" s="129"/>
      <c r="J873" s="66"/>
      <c r="L873" s="66"/>
      <c r="M873" s="66"/>
      <c r="N873" s="130"/>
      <c r="P873" s="130"/>
      <c r="Q873" s="129"/>
    </row>
    <row r="874">
      <c r="D874" s="128"/>
      <c r="I874" s="129"/>
      <c r="J874" s="66"/>
      <c r="L874" s="66"/>
      <c r="M874" s="66"/>
      <c r="N874" s="130"/>
      <c r="P874" s="130"/>
      <c r="Q874" s="129"/>
    </row>
    <row r="875">
      <c r="D875" s="128"/>
      <c r="I875" s="129"/>
      <c r="J875" s="66"/>
      <c r="L875" s="66"/>
      <c r="M875" s="66"/>
      <c r="N875" s="130"/>
      <c r="P875" s="130"/>
      <c r="Q875" s="129"/>
    </row>
    <row r="876">
      <c r="D876" s="128"/>
      <c r="I876" s="129"/>
      <c r="J876" s="66"/>
      <c r="L876" s="66"/>
      <c r="M876" s="66"/>
      <c r="N876" s="130"/>
      <c r="P876" s="130"/>
      <c r="Q876" s="129"/>
    </row>
    <row r="877">
      <c r="D877" s="128"/>
      <c r="I877" s="129"/>
      <c r="J877" s="66"/>
      <c r="L877" s="66"/>
      <c r="M877" s="66"/>
      <c r="N877" s="130"/>
      <c r="P877" s="130"/>
      <c r="Q877" s="129"/>
    </row>
    <row r="878">
      <c r="D878" s="128"/>
      <c r="I878" s="129"/>
      <c r="J878" s="66"/>
      <c r="L878" s="66"/>
      <c r="M878" s="66"/>
      <c r="N878" s="130"/>
      <c r="P878" s="130"/>
      <c r="Q878" s="129"/>
    </row>
    <row r="879">
      <c r="D879" s="128"/>
      <c r="I879" s="129"/>
      <c r="J879" s="66"/>
      <c r="L879" s="66"/>
      <c r="M879" s="66"/>
      <c r="N879" s="130"/>
      <c r="P879" s="130"/>
      <c r="Q879" s="129"/>
    </row>
    <row r="880">
      <c r="D880" s="128"/>
      <c r="I880" s="129"/>
      <c r="J880" s="66"/>
      <c r="L880" s="66"/>
      <c r="M880" s="66"/>
      <c r="N880" s="130"/>
      <c r="P880" s="130"/>
      <c r="Q880" s="129"/>
    </row>
    <row r="881">
      <c r="D881" s="128"/>
      <c r="I881" s="129"/>
      <c r="J881" s="66"/>
      <c r="L881" s="66"/>
      <c r="M881" s="66"/>
      <c r="N881" s="130"/>
      <c r="P881" s="130"/>
      <c r="Q881" s="129"/>
    </row>
    <row r="882">
      <c r="D882" s="128"/>
      <c r="I882" s="129"/>
      <c r="J882" s="66"/>
      <c r="L882" s="66"/>
      <c r="M882" s="66"/>
      <c r="N882" s="130"/>
      <c r="P882" s="130"/>
      <c r="Q882" s="129"/>
    </row>
    <row r="883">
      <c r="D883" s="128"/>
      <c r="I883" s="129"/>
      <c r="J883" s="66"/>
      <c r="L883" s="66"/>
      <c r="M883" s="66"/>
      <c r="N883" s="130"/>
      <c r="P883" s="130"/>
      <c r="Q883" s="129"/>
    </row>
    <row r="884">
      <c r="D884" s="128"/>
      <c r="I884" s="129"/>
      <c r="J884" s="66"/>
      <c r="L884" s="66"/>
      <c r="M884" s="66"/>
      <c r="N884" s="130"/>
      <c r="P884" s="130"/>
      <c r="Q884" s="129"/>
    </row>
    <row r="885">
      <c r="D885" s="128"/>
      <c r="I885" s="129"/>
      <c r="J885" s="66"/>
      <c r="L885" s="66"/>
      <c r="M885" s="66"/>
      <c r="N885" s="130"/>
      <c r="P885" s="130"/>
      <c r="Q885" s="129"/>
    </row>
    <row r="886">
      <c r="D886" s="128"/>
      <c r="I886" s="129"/>
      <c r="J886" s="66"/>
      <c r="L886" s="66"/>
      <c r="M886" s="66"/>
      <c r="N886" s="130"/>
      <c r="P886" s="130"/>
      <c r="Q886" s="129"/>
    </row>
    <row r="887">
      <c r="D887" s="128"/>
      <c r="I887" s="129"/>
      <c r="J887" s="66"/>
      <c r="L887" s="66"/>
      <c r="M887" s="66"/>
      <c r="N887" s="130"/>
      <c r="P887" s="130"/>
      <c r="Q887" s="129"/>
    </row>
    <row r="888">
      <c r="D888" s="128"/>
      <c r="I888" s="129"/>
      <c r="J888" s="66"/>
      <c r="L888" s="66"/>
      <c r="M888" s="66"/>
      <c r="N888" s="130"/>
      <c r="P888" s="130"/>
      <c r="Q888" s="129"/>
    </row>
    <row r="889">
      <c r="D889" s="128"/>
      <c r="I889" s="129"/>
      <c r="J889" s="66"/>
      <c r="L889" s="66"/>
      <c r="M889" s="66"/>
      <c r="N889" s="130"/>
      <c r="P889" s="130"/>
      <c r="Q889" s="129"/>
    </row>
    <row r="890">
      <c r="D890" s="128"/>
      <c r="I890" s="129"/>
      <c r="J890" s="66"/>
      <c r="L890" s="66"/>
      <c r="M890" s="66"/>
      <c r="N890" s="130"/>
      <c r="P890" s="130"/>
      <c r="Q890" s="129"/>
    </row>
    <row r="891">
      <c r="D891" s="128"/>
      <c r="I891" s="129"/>
      <c r="J891" s="66"/>
      <c r="L891" s="66"/>
      <c r="M891" s="66"/>
      <c r="N891" s="130"/>
      <c r="P891" s="130"/>
      <c r="Q891" s="129"/>
    </row>
    <row r="892">
      <c r="D892" s="128"/>
      <c r="I892" s="129"/>
      <c r="J892" s="66"/>
      <c r="L892" s="66"/>
      <c r="M892" s="66"/>
      <c r="N892" s="130"/>
      <c r="P892" s="130"/>
      <c r="Q892" s="129"/>
    </row>
    <row r="893">
      <c r="D893" s="128"/>
      <c r="I893" s="129"/>
      <c r="J893" s="66"/>
      <c r="L893" s="66"/>
      <c r="M893" s="66"/>
      <c r="N893" s="130"/>
      <c r="P893" s="130"/>
      <c r="Q893" s="129"/>
    </row>
    <row r="894">
      <c r="D894" s="128"/>
      <c r="I894" s="129"/>
      <c r="J894" s="66"/>
      <c r="L894" s="66"/>
      <c r="M894" s="66"/>
      <c r="N894" s="130"/>
      <c r="P894" s="130"/>
      <c r="Q894" s="129"/>
    </row>
    <row r="895">
      <c r="D895" s="128"/>
      <c r="I895" s="129"/>
      <c r="J895" s="66"/>
      <c r="L895" s="66"/>
      <c r="M895" s="66"/>
      <c r="N895" s="130"/>
      <c r="P895" s="130"/>
      <c r="Q895" s="129"/>
    </row>
    <row r="896">
      <c r="D896" s="128"/>
      <c r="I896" s="129"/>
      <c r="J896" s="66"/>
      <c r="L896" s="66"/>
      <c r="M896" s="66"/>
      <c r="N896" s="130"/>
      <c r="P896" s="130"/>
      <c r="Q896" s="129"/>
    </row>
    <row r="897">
      <c r="D897" s="128"/>
      <c r="I897" s="129"/>
      <c r="J897" s="66"/>
      <c r="L897" s="66"/>
      <c r="M897" s="66"/>
      <c r="N897" s="130"/>
      <c r="P897" s="130"/>
      <c r="Q897" s="129"/>
    </row>
    <row r="898">
      <c r="D898" s="128"/>
      <c r="I898" s="129"/>
      <c r="J898" s="66"/>
      <c r="L898" s="66"/>
      <c r="M898" s="66"/>
      <c r="N898" s="130"/>
      <c r="P898" s="130"/>
      <c r="Q898" s="129"/>
    </row>
    <row r="899">
      <c r="D899" s="128"/>
      <c r="I899" s="129"/>
      <c r="J899" s="66"/>
      <c r="L899" s="66"/>
      <c r="M899" s="66"/>
      <c r="N899" s="130"/>
      <c r="P899" s="130"/>
      <c r="Q899" s="129"/>
    </row>
    <row r="900">
      <c r="D900" s="128"/>
      <c r="I900" s="129"/>
      <c r="J900" s="66"/>
      <c r="L900" s="66"/>
      <c r="M900" s="66"/>
      <c r="N900" s="130"/>
      <c r="P900" s="130"/>
      <c r="Q900" s="129"/>
    </row>
    <row r="901">
      <c r="D901" s="128"/>
      <c r="I901" s="129"/>
      <c r="J901" s="66"/>
      <c r="L901" s="66"/>
      <c r="M901" s="66"/>
      <c r="N901" s="130"/>
      <c r="P901" s="130"/>
      <c r="Q901" s="129"/>
    </row>
    <row r="902">
      <c r="D902" s="128"/>
      <c r="I902" s="129"/>
      <c r="J902" s="66"/>
      <c r="L902" s="66"/>
      <c r="M902" s="66"/>
      <c r="N902" s="130"/>
      <c r="P902" s="130"/>
      <c r="Q902" s="129"/>
    </row>
    <row r="903">
      <c r="D903" s="128"/>
      <c r="I903" s="129"/>
      <c r="J903" s="66"/>
      <c r="L903" s="66"/>
      <c r="M903" s="66"/>
      <c r="N903" s="130"/>
      <c r="P903" s="130"/>
      <c r="Q903" s="129"/>
    </row>
    <row r="904">
      <c r="D904" s="128"/>
      <c r="I904" s="129"/>
      <c r="J904" s="66"/>
      <c r="L904" s="66"/>
      <c r="M904" s="66"/>
      <c r="N904" s="130"/>
      <c r="P904" s="130"/>
      <c r="Q904" s="129"/>
    </row>
    <row r="905">
      <c r="D905" s="128"/>
      <c r="I905" s="129"/>
      <c r="J905" s="66"/>
      <c r="L905" s="66"/>
      <c r="M905" s="66"/>
      <c r="N905" s="130"/>
      <c r="P905" s="130"/>
      <c r="Q905" s="129"/>
    </row>
    <row r="906">
      <c r="D906" s="128"/>
      <c r="I906" s="129"/>
      <c r="J906" s="66"/>
      <c r="L906" s="66"/>
      <c r="M906" s="66"/>
      <c r="N906" s="130"/>
      <c r="P906" s="130"/>
      <c r="Q906" s="129"/>
    </row>
    <row r="907">
      <c r="D907" s="128"/>
      <c r="I907" s="129"/>
      <c r="J907" s="66"/>
      <c r="L907" s="66"/>
      <c r="M907" s="66"/>
      <c r="N907" s="130"/>
      <c r="P907" s="130"/>
      <c r="Q907" s="129"/>
    </row>
    <row r="908">
      <c r="D908" s="128"/>
      <c r="I908" s="129"/>
      <c r="J908" s="66"/>
      <c r="L908" s="66"/>
      <c r="M908" s="66"/>
      <c r="N908" s="130"/>
      <c r="P908" s="130"/>
      <c r="Q908" s="129"/>
    </row>
    <row r="909">
      <c r="D909" s="128"/>
      <c r="I909" s="129"/>
      <c r="J909" s="66"/>
      <c r="L909" s="66"/>
      <c r="M909" s="66"/>
      <c r="N909" s="130"/>
      <c r="P909" s="130"/>
      <c r="Q909" s="129"/>
    </row>
    <row r="910">
      <c r="D910" s="128"/>
      <c r="I910" s="129"/>
      <c r="J910" s="66"/>
      <c r="L910" s="66"/>
      <c r="M910" s="66"/>
      <c r="N910" s="130"/>
      <c r="P910" s="130"/>
      <c r="Q910" s="129"/>
    </row>
    <row r="911">
      <c r="D911" s="128"/>
      <c r="I911" s="129"/>
      <c r="J911" s="66"/>
      <c r="L911" s="66"/>
      <c r="M911" s="66"/>
      <c r="N911" s="130"/>
      <c r="P911" s="130"/>
      <c r="Q911" s="129"/>
    </row>
    <row r="912">
      <c r="D912" s="128"/>
      <c r="I912" s="129"/>
      <c r="J912" s="66"/>
      <c r="L912" s="66"/>
      <c r="M912" s="66"/>
      <c r="N912" s="130"/>
      <c r="P912" s="130"/>
      <c r="Q912" s="129"/>
    </row>
    <row r="913">
      <c r="D913" s="128"/>
      <c r="I913" s="129"/>
      <c r="J913" s="66"/>
      <c r="L913" s="66"/>
      <c r="M913" s="66"/>
      <c r="N913" s="130"/>
      <c r="P913" s="130"/>
      <c r="Q913" s="129"/>
    </row>
    <row r="914">
      <c r="D914" s="128"/>
      <c r="I914" s="129"/>
      <c r="J914" s="66"/>
      <c r="L914" s="66"/>
      <c r="M914" s="66"/>
      <c r="N914" s="130"/>
      <c r="P914" s="130"/>
      <c r="Q914" s="129"/>
    </row>
    <row r="915">
      <c r="D915" s="128"/>
      <c r="I915" s="129"/>
      <c r="J915" s="66"/>
      <c r="L915" s="66"/>
      <c r="M915" s="66"/>
      <c r="N915" s="130"/>
      <c r="P915" s="130"/>
      <c r="Q915" s="129"/>
    </row>
    <row r="916">
      <c r="D916" s="128"/>
      <c r="I916" s="129"/>
      <c r="J916" s="66"/>
      <c r="L916" s="66"/>
      <c r="M916" s="66"/>
      <c r="N916" s="130"/>
      <c r="P916" s="130"/>
      <c r="Q916" s="129"/>
    </row>
    <row r="917">
      <c r="D917" s="128"/>
      <c r="I917" s="129"/>
      <c r="J917" s="66"/>
      <c r="L917" s="66"/>
      <c r="M917" s="66"/>
      <c r="N917" s="130"/>
      <c r="P917" s="130"/>
      <c r="Q917" s="129"/>
    </row>
    <row r="918">
      <c r="D918" s="128"/>
      <c r="I918" s="129"/>
      <c r="J918" s="66"/>
      <c r="L918" s="66"/>
      <c r="M918" s="66"/>
      <c r="N918" s="130"/>
      <c r="P918" s="130"/>
      <c r="Q918" s="129"/>
    </row>
    <row r="919">
      <c r="D919" s="128"/>
      <c r="I919" s="129"/>
      <c r="J919" s="66"/>
      <c r="L919" s="66"/>
      <c r="M919" s="66"/>
      <c r="N919" s="130"/>
      <c r="P919" s="130"/>
      <c r="Q919" s="129"/>
    </row>
    <row r="920">
      <c r="D920" s="128"/>
      <c r="I920" s="129"/>
      <c r="J920" s="66"/>
      <c r="L920" s="66"/>
      <c r="M920" s="66"/>
      <c r="N920" s="130"/>
      <c r="P920" s="130"/>
      <c r="Q920" s="129"/>
    </row>
    <row r="921">
      <c r="D921" s="128"/>
      <c r="I921" s="129"/>
      <c r="J921" s="66"/>
      <c r="L921" s="66"/>
      <c r="M921" s="66"/>
      <c r="N921" s="130"/>
      <c r="P921" s="130"/>
      <c r="Q921" s="129"/>
    </row>
    <row r="922">
      <c r="D922" s="128"/>
      <c r="I922" s="129"/>
      <c r="J922" s="66"/>
      <c r="L922" s="66"/>
      <c r="M922" s="66"/>
      <c r="N922" s="130"/>
      <c r="P922" s="130"/>
      <c r="Q922" s="129"/>
    </row>
    <row r="923">
      <c r="D923" s="128"/>
      <c r="I923" s="129"/>
      <c r="J923" s="66"/>
      <c r="L923" s="66"/>
      <c r="M923" s="66"/>
      <c r="N923" s="130"/>
      <c r="P923" s="130"/>
      <c r="Q923" s="129"/>
    </row>
    <row r="924">
      <c r="D924" s="128"/>
      <c r="I924" s="129"/>
      <c r="J924" s="66"/>
      <c r="L924" s="66"/>
      <c r="M924" s="66"/>
      <c r="N924" s="130"/>
      <c r="P924" s="130"/>
      <c r="Q924" s="129"/>
    </row>
    <row r="925">
      <c r="D925" s="128"/>
      <c r="I925" s="129"/>
      <c r="J925" s="66"/>
      <c r="L925" s="66"/>
      <c r="M925" s="66"/>
      <c r="N925" s="130"/>
      <c r="P925" s="130"/>
      <c r="Q925" s="129"/>
    </row>
    <row r="926">
      <c r="D926" s="128"/>
      <c r="I926" s="129"/>
      <c r="J926" s="66"/>
      <c r="L926" s="66"/>
      <c r="M926" s="66"/>
      <c r="N926" s="130"/>
      <c r="P926" s="130"/>
      <c r="Q926" s="129"/>
    </row>
    <row r="927">
      <c r="D927" s="128"/>
      <c r="I927" s="129"/>
      <c r="J927" s="66"/>
      <c r="L927" s="66"/>
      <c r="M927" s="66"/>
      <c r="N927" s="130"/>
      <c r="P927" s="130"/>
      <c r="Q927" s="129"/>
    </row>
    <row r="928">
      <c r="D928" s="128"/>
      <c r="I928" s="129"/>
      <c r="J928" s="66"/>
      <c r="L928" s="66"/>
      <c r="M928" s="66"/>
      <c r="N928" s="130"/>
      <c r="P928" s="130"/>
      <c r="Q928" s="129"/>
    </row>
    <row r="929">
      <c r="D929" s="128"/>
      <c r="I929" s="129"/>
      <c r="J929" s="66"/>
      <c r="L929" s="66"/>
      <c r="M929" s="66"/>
      <c r="N929" s="130"/>
      <c r="P929" s="130"/>
      <c r="Q929" s="129"/>
    </row>
    <row r="930">
      <c r="D930" s="128"/>
      <c r="I930" s="129"/>
      <c r="J930" s="66"/>
      <c r="L930" s="66"/>
      <c r="M930" s="66"/>
      <c r="N930" s="130"/>
      <c r="P930" s="130"/>
      <c r="Q930" s="129"/>
    </row>
    <row r="931">
      <c r="D931" s="128"/>
      <c r="I931" s="129"/>
      <c r="J931" s="66"/>
      <c r="L931" s="66"/>
      <c r="M931" s="66"/>
      <c r="N931" s="130"/>
      <c r="P931" s="130"/>
      <c r="Q931" s="129"/>
    </row>
    <row r="932">
      <c r="D932" s="128"/>
      <c r="I932" s="129"/>
      <c r="J932" s="66"/>
      <c r="L932" s="66"/>
      <c r="M932" s="66"/>
      <c r="N932" s="130"/>
      <c r="P932" s="130"/>
      <c r="Q932" s="129"/>
    </row>
    <row r="933">
      <c r="D933" s="128"/>
      <c r="I933" s="129"/>
      <c r="J933" s="66"/>
      <c r="L933" s="66"/>
      <c r="M933" s="66"/>
      <c r="N933" s="130"/>
      <c r="P933" s="130"/>
      <c r="Q933" s="129"/>
    </row>
    <row r="934">
      <c r="D934" s="128"/>
      <c r="I934" s="129"/>
      <c r="J934" s="66"/>
      <c r="L934" s="66"/>
      <c r="M934" s="66"/>
      <c r="N934" s="130"/>
      <c r="P934" s="130"/>
      <c r="Q934" s="129"/>
    </row>
    <row r="935">
      <c r="D935" s="128"/>
      <c r="I935" s="129"/>
      <c r="J935" s="66"/>
      <c r="L935" s="66"/>
      <c r="M935" s="66"/>
      <c r="N935" s="130"/>
      <c r="P935" s="130"/>
      <c r="Q935" s="129"/>
    </row>
    <row r="936">
      <c r="D936" s="128"/>
      <c r="I936" s="129"/>
      <c r="J936" s="66"/>
      <c r="L936" s="66"/>
      <c r="M936" s="66"/>
      <c r="N936" s="130"/>
      <c r="P936" s="130"/>
      <c r="Q936" s="129"/>
    </row>
    <row r="937">
      <c r="D937" s="128"/>
      <c r="I937" s="129"/>
      <c r="J937" s="66"/>
      <c r="L937" s="66"/>
      <c r="M937" s="66"/>
      <c r="N937" s="130"/>
      <c r="P937" s="130"/>
      <c r="Q937" s="129"/>
    </row>
    <row r="938">
      <c r="D938" s="128"/>
      <c r="I938" s="129"/>
      <c r="J938" s="66"/>
      <c r="L938" s="66"/>
      <c r="M938" s="66"/>
      <c r="N938" s="130"/>
      <c r="P938" s="130"/>
      <c r="Q938" s="129"/>
    </row>
    <row r="939">
      <c r="D939" s="128"/>
      <c r="I939" s="129"/>
      <c r="J939" s="66"/>
      <c r="L939" s="66"/>
      <c r="M939" s="66"/>
      <c r="N939" s="130"/>
      <c r="P939" s="130"/>
      <c r="Q939" s="129"/>
    </row>
    <row r="940">
      <c r="D940" s="128"/>
      <c r="I940" s="129"/>
      <c r="J940" s="66"/>
      <c r="L940" s="66"/>
      <c r="M940" s="66"/>
      <c r="N940" s="130"/>
      <c r="P940" s="130"/>
      <c r="Q940" s="129"/>
    </row>
    <row r="941">
      <c r="D941" s="128"/>
      <c r="I941" s="129"/>
      <c r="J941" s="66"/>
      <c r="L941" s="66"/>
      <c r="M941" s="66"/>
      <c r="N941" s="130"/>
      <c r="P941" s="130"/>
      <c r="Q941" s="129"/>
    </row>
    <row r="942">
      <c r="D942" s="128"/>
      <c r="I942" s="129"/>
      <c r="J942" s="66"/>
      <c r="L942" s="66"/>
      <c r="M942" s="66"/>
      <c r="N942" s="130"/>
      <c r="P942" s="130"/>
      <c r="Q942" s="129"/>
    </row>
    <row r="943">
      <c r="D943" s="128"/>
      <c r="I943" s="129"/>
      <c r="J943" s="66"/>
      <c r="L943" s="66"/>
      <c r="M943" s="66"/>
      <c r="N943" s="130"/>
      <c r="P943" s="130"/>
      <c r="Q943" s="129"/>
    </row>
    <row r="944">
      <c r="D944" s="128"/>
      <c r="I944" s="129"/>
      <c r="J944" s="66"/>
      <c r="L944" s="66"/>
      <c r="M944" s="66"/>
      <c r="N944" s="130"/>
      <c r="P944" s="130"/>
      <c r="Q944" s="129"/>
    </row>
    <row r="945">
      <c r="D945" s="128"/>
      <c r="I945" s="129"/>
      <c r="J945" s="66"/>
      <c r="L945" s="66"/>
      <c r="M945" s="66"/>
      <c r="N945" s="130"/>
      <c r="P945" s="130"/>
      <c r="Q945" s="129"/>
    </row>
    <row r="946">
      <c r="D946" s="128"/>
      <c r="I946" s="129"/>
      <c r="J946" s="66"/>
      <c r="L946" s="66"/>
      <c r="M946" s="66"/>
      <c r="N946" s="130"/>
      <c r="P946" s="130"/>
      <c r="Q946" s="129"/>
    </row>
    <row r="947">
      <c r="D947" s="128"/>
      <c r="I947" s="129"/>
      <c r="J947" s="66"/>
      <c r="L947" s="66"/>
      <c r="M947" s="66"/>
      <c r="N947" s="130"/>
      <c r="P947" s="130"/>
      <c r="Q947" s="129"/>
    </row>
    <row r="948">
      <c r="D948" s="128"/>
      <c r="I948" s="129"/>
      <c r="J948" s="66"/>
      <c r="L948" s="66"/>
      <c r="M948" s="66"/>
      <c r="N948" s="130"/>
      <c r="P948" s="130"/>
      <c r="Q948" s="129"/>
    </row>
    <row r="949">
      <c r="D949" s="128"/>
      <c r="I949" s="129"/>
      <c r="J949" s="66"/>
      <c r="L949" s="66"/>
      <c r="M949" s="66"/>
      <c r="N949" s="130"/>
      <c r="P949" s="130"/>
      <c r="Q949" s="129"/>
    </row>
    <row r="950">
      <c r="D950" s="128"/>
      <c r="I950" s="129"/>
      <c r="J950" s="66"/>
      <c r="L950" s="66"/>
      <c r="M950" s="66"/>
      <c r="N950" s="130"/>
      <c r="P950" s="130"/>
      <c r="Q950" s="129"/>
    </row>
    <row r="951">
      <c r="D951" s="128"/>
      <c r="I951" s="129"/>
      <c r="J951" s="66"/>
      <c r="L951" s="66"/>
      <c r="M951" s="66"/>
      <c r="N951" s="130"/>
      <c r="P951" s="130"/>
      <c r="Q951" s="129"/>
    </row>
    <row r="952">
      <c r="D952" s="128"/>
      <c r="I952" s="129"/>
      <c r="J952" s="66"/>
      <c r="L952" s="66"/>
      <c r="M952" s="66"/>
      <c r="N952" s="130"/>
      <c r="P952" s="130"/>
      <c r="Q952" s="129"/>
    </row>
    <row r="953">
      <c r="D953" s="128"/>
      <c r="I953" s="129"/>
      <c r="J953" s="66"/>
      <c r="L953" s="66"/>
      <c r="M953" s="66"/>
      <c r="N953" s="130"/>
      <c r="P953" s="130"/>
      <c r="Q953" s="129"/>
    </row>
    <row r="954">
      <c r="D954" s="128"/>
      <c r="I954" s="129"/>
      <c r="J954" s="66"/>
      <c r="L954" s="66"/>
      <c r="M954" s="66"/>
      <c r="N954" s="130"/>
      <c r="P954" s="130"/>
      <c r="Q954" s="129"/>
    </row>
    <row r="955">
      <c r="D955" s="128"/>
      <c r="I955" s="129"/>
      <c r="J955" s="66"/>
      <c r="L955" s="66"/>
      <c r="M955" s="66"/>
      <c r="N955" s="130"/>
      <c r="P955" s="130"/>
      <c r="Q955" s="129"/>
    </row>
    <row r="956">
      <c r="D956" s="128"/>
      <c r="I956" s="129"/>
      <c r="J956" s="66"/>
      <c r="L956" s="66"/>
      <c r="M956" s="66"/>
      <c r="N956" s="130"/>
      <c r="P956" s="130"/>
      <c r="Q956" s="129"/>
    </row>
    <row r="957">
      <c r="D957" s="128"/>
      <c r="I957" s="129"/>
      <c r="J957" s="66"/>
      <c r="L957" s="66"/>
      <c r="M957" s="66"/>
      <c r="N957" s="130"/>
      <c r="P957" s="130"/>
      <c r="Q957" s="129"/>
    </row>
    <row r="958">
      <c r="D958" s="128"/>
      <c r="I958" s="129"/>
      <c r="J958" s="66"/>
      <c r="L958" s="66"/>
      <c r="M958" s="66"/>
      <c r="N958" s="130"/>
      <c r="P958" s="130"/>
      <c r="Q958" s="129"/>
    </row>
    <row r="959">
      <c r="D959" s="128"/>
      <c r="I959" s="129"/>
      <c r="J959" s="66"/>
      <c r="L959" s="66"/>
      <c r="M959" s="66"/>
      <c r="N959" s="130"/>
      <c r="P959" s="130"/>
      <c r="Q959" s="129"/>
    </row>
    <row r="960">
      <c r="D960" s="128"/>
      <c r="I960" s="129"/>
      <c r="J960" s="66"/>
      <c r="L960" s="66"/>
      <c r="M960" s="66"/>
      <c r="N960" s="130"/>
      <c r="P960" s="130"/>
      <c r="Q960" s="129"/>
    </row>
    <row r="961">
      <c r="D961" s="128"/>
      <c r="I961" s="129"/>
      <c r="J961" s="66"/>
      <c r="L961" s="66"/>
      <c r="M961" s="66"/>
      <c r="N961" s="130"/>
      <c r="P961" s="130"/>
      <c r="Q961" s="129"/>
    </row>
    <row r="962">
      <c r="D962" s="128"/>
      <c r="I962" s="129"/>
      <c r="J962" s="66"/>
      <c r="L962" s="66"/>
      <c r="M962" s="66"/>
      <c r="N962" s="130"/>
      <c r="P962" s="130"/>
      <c r="Q962" s="129"/>
    </row>
    <row r="963">
      <c r="D963" s="128"/>
      <c r="I963" s="129"/>
      <c r="J963" s="66"/>
      <c r="L963" s="66"/>
      <c r="M963" s="66"/>
      <c r="N963" s="130"/>
      <c r="P963" s="130"/>
      <c r="Q963" s="129"/>
    </row>
    <row r="964">
      <c r="D964" s="128"/>
      <c r="I964" s="129"/>
      <c r="J964" s="66"/>
      <c r="L964" s="66"/>
      <c r="M964" s="66"/>
      <c r="N964" s="130"/>
      <c r="P964" s="130"/>
      <c r="Q964" s="129"/>
    </row>
    <row r="965">
      <c r="D965" s="128"/>
      <c r="I965" s="129"/>
      <c r="J965" s="66"/>
      <c r="L965" s="66"/>
      <c r="M965" s="66"/>
      <c r="N965" s="130"/>
      <c r="P965" s="130"/>
      <c r="Q965" s="129"/>
    </row>
    <row r="966">
      <c r="D966" s="128"/>
      <c r="I966" s="129"/>
      <c r="J966" s="66"/>
      <c r="L966" s="66"/>
      <c r="M966" s="66"/>
      <c r="N966" s="130"/>
      <c r="P966" s="130"/>
      <c r="Q966" s="129"/>
    </row>
    <row r="967">
      <c r="D967" s="128"/>
      <c r="I967" s="129"/>
      <c r="J967" s="66"/>
      <c r="L967" s="66"/>
      <c r="M967" s="66"/>
      <c r="N967" s="130"/>
      <c r="P967" s="130"/>
      <c r="Q967" s="129"/>
    </row>
    <row r="968">
      <c r="D968" s="128"/>
      <c r="I968" s="129"/>
      <c r="J968" s="66"/>
      <c r="L968" s="66"/>
      <c r="M968" s="66"/>
      <c r="N968" s="130"/>
      <c r="P968" s="130"/>
      <c r="Q968" s="129"/>
    </row>
    <row r="969">
      <c r="D969" s="128"/>
      <c r="I969" s="129"/>
      <c r="J969" s="66"/>
      <c r="L969" s="66"/>
      <c r="M969" s="66"/>
      <c r="N969" s="130"/>
      <c r="P969" s="130"/>
      <c r="Q969" s="129"/>
    </row>
    <row r="970">
      <c r="D970" s="128"/>
      <c r="I970" s="129"/>
      <c r="J970" s="66"/>
      <c r="L970" s="66"/>
      <c r="M970" s="66"/>
      <c r="N970" s="130"/>
      <c r="P970" s="130"/>
      <c r="Q970" s="129"/>
    </row>
    <row r="971">
      <c r="D971" s="128"/>
      <c r="I971" s="129"/>
      <c r="J971" s="66"/>
      <c r="L971" s="66"/>
      <c r="M971" s="66"/>
      <c r="N971" s="130"/>
      <c r="P971" s="130"/>
      <c r="Q971" s="129"/>
    </row>
    <row r="972">
      <c r="D972" s="128"/>
      <c r="I972" s="129"/>
      <c r="J972" s="66"/>
      <c r="L972" s="66"/>
      <c r="M972" s="66"/>
      <c r="N972" s="130"/>
      <c r="P972" s="130"/>
      <c r="Q972" s="129"/>
    </row>
    <row r="973">
      <c r="D973" s="128"/>
      <c r="I973" s="129"/>
      <c r="J973" s="66"/>
      <c r="L973" s="66"/>
      <c r="M973" s="66"/>
      <c r="N973" s="130"/>
      <c r="P973" s="130"/>
      <c r="Q973" s="129"/>
    </row>
    <row r="974">
      <c r="D974" s="128"/>
      <c r="I974" s="129"/>
      <c r="J974" s="66"/>
      <c r="L974" s="66"/>
      <c r="M974" s="66"/>
      <c r="N974" s="130"/>
      <c r="P974" s="130"/>
      <c r="Q974" s="129"/>
    </row>
    <row r="975">
      <c r="D975" s="128"/>
      <c r="I975" s="129"/>
      <c r="J975" s="66"/>
      <c r="L975" s="66"/>
      <c r="M975" s="66"/>
      <c r="N975" s="130"/>
      <c r="P975" s="130"/>
      <c r="Q975" s="129"/>
    </row>
    <row r="976">
      <c r="D976" s="128"/>
      <c r="I976" s="129"/>
      <c r="J976" s="66"/>
      <c r="L976" s="66"/>
      <c r="M976" s="66"/>
      <c r="N976" s="130"/>
      <c r="P976" s="130"/>
      <c r="Q976" s="129"/>
    </row>
    <row r="977">
      <c r="D977" s="128"/>
      <c r="I977" s="129"/>
      <c r="J977" s="66"/>
      <c r="L977" s="66"/>
      <c r="M977" s="66"/>
      <c r="N977" s="130"/>
      <c r="P977" s="130"/>
      <c r="Q977" s="129"/>
    </row>
    <row r="978">
      <c r="D978" s="128"/>
      <c r="I978" s="129"/>
      <c r="J978" s="66"/>
      <c r="L978" s="66"/>
      <c r="M978" s="66"/>
      <c r="N978" s="130"/>
      <c r="P978" s="130"/>
      <c r="Q978" s="129"/>
    </row>
    <row r="979">
      <c r="D979" s="128"/>
      <c r="I979" s="129"/>
      <c r="J979" s="66"/>
      <c r="L979" s="66"/>
      <c r="M979" s="66"/>
      <c r="N979" s="130"/>
      <c r="P979" s="130"/>
      <c r="Q979" s="129"/>
    </row>
    <row r="980">
      <c r="D980" s="128"/>
      <c r="I980" s="129"/>
      <c r="J980" s="66"/>
      <c r="L980" s="66"/>
      <c r="M980" s="66"/>
      <c r="N980" s="130"/>
      <c r="P980" s="130"/>
      <c r="Q980" s="129"/>
    </row>
    <row r="981">
      <c r="D981" s="128"/>
      <c r="I981" s="129"/>
      <c r="J981" s="66"/>
      <c r="L981" s="66"/>
      <c r="M981" s="66"/>
      <c r="N981" s="130"/>
      <c r="P981" s="130"/>
      <c r="Q981" s="129"/>
    </row>
    <row r="982">
      <c r="D982" s="128"/>
      <c r="I982" s="129"/>
      <c r="J982" s="66"/>
      <c r="L982" s="66"/>
      <c r="M982" s="66"/>
      <c r="N982" s="130"/>
      <c r="P982" s="130"/>
      <c r="Q982" s="129"/>
    </row>
    <row r="983">
      <c r="D983" s="128"/>
      <c r="I983" s="129"/>
      <c r="J983" s="66"/>
      <c r="L983" s="66"/>
      <c r="M983" s="66"/>
      <c r="N983" s="130"/>
      <c r="P983" s="130"/>
      <c r="Q983" s="129"/>
    </row>
    <row r="984">
      <c r="D984" s="128"/>
      <c r="I984" s="129"/>
      <c r="J984" s="66"/>
      <c r="L984" s="66"/>
      <c r="M984" s="66"/>
      <c r="N984" s="130"/>
      <c r="P984" s="130"/>
      <c r="Q984" s="129"/>
    </row>
    <row r="985">
      <c r="D985" s="128"/>
      <c r="I985" s="129"/>
      <c r="J985" s="66"/>
      <c r="L985" s="66"/>
      <c r="M985" s="66"/>
      <c r="N985" s="130"/>
      <c r="P985" s="130"/>
      <c r="Q985" s="129"/>
    </row>
    <row r="986">
      <c r="D986" s="128"/>
      <c r="I986" s="129"/>
      <c r="J986" s="66"/>
      <c r="L986" s="66"/>
      <c r="M986" s="66"/>
      <c r="N986" s="130"/>
      <c r="P986" s="130"/>
      <c r="Q986" s="129"/>
    </row>
    <row r="987">
      <c r="D987" s="128"/>
      <c r="I987" s="129"/>
      <c r="J987" s="66"/>
      <c r="L987" s="66"/>
      <c r="M987" s="66"/>
      <c r="N987" s="130"/>
      <c r="P987" s="130"/>
      <c r="Q987" s="129"/>
    </row>
    <row r="988">
      <c r="D988" s="128"/>
      <c r="I988" s="129"/>
      <c r="J988" s="66"/>
      <c r="L988" s="66"/>
      <c r="M988" s="66"/>
      <c r="N988" s="130"/>
      <c r="P988" s="130"/>
      <c r="Q988" s="129"/>
    </row>
    <row r="989">
      <c r="D989" s="128"/>
      <c r="I989" s="129"/>
      <c r="J989" s="66"/>
      <c r="L989" s="66"/>
      <c r="M989" s="66"/>
      <c r="N989" s="130"/>
      <c r="P989" s="130"/>
      <c r="Q989" s="129"/>
    </row>
    <row r="990">
      <c r="D990" s="128"/>
      <c r="I990" s="129"/>
      <c r="J990" s="66"/>
      <c r="L990" s="66"/>
      <c r="M990" s="66"/>
      <c r="N990" s="130"/>
      <c r="P990" s="130"/>
      <c r="Q990" s="129"/>
    </row>
    <row r="991">
      <c r="D991" s="128"/>
      <c r="I991" s="129"/>
      <c r="J991" s="66"/>
      <c r="L991" s="66"/>
      <c r="M991" s="66"/>
      <c r="N991" s="130"/>
      <c r="P991" s="130"/>
      <c r="Q991" s="129"/>
    </row>
    <row r="992">
      <c r="D992" s="128"/>
      <c r="I992" s="129"/>
      <c r="J992" s="66"/>
      <c r="L992" s="66"/>
      <c r="M992" s="66"/>
      <c r="N992" s="130"/>
      <c r="P992" s="130"/>
      <c r="Q992" s="129"/>
    </row>
    <row r="993">
      <c r="D993" s="128"/>
      <c r="I993" s="129"/>
      <c r="J993" s="66"/>
      <c r="L993" s="66"/>
      <c r="M993" s="66"/>
      <c r="N993" s="130"/>
      <c r="P993" s="130"/>
      <c r="Q993" s="129"/>
    </row>
    <row r="994">
      <c r="D994" s="128"/>
      <c r="I994" s="129"/>
      <c r="J994" s="66"/>
      <c r="L994" s="66"/>
      <c r="M994" s="66"/>
      <c r="N994" s="130"/>
      <c r="P994" s="130"/>
      <c r="Q994" s="129"/>
    </row>
    <row r="995">
      <c r="D995" s="128"/>
      <c r="I995" s="129"/>
      <c r="J995" s="66"/>
      <c r="L995" s="66"/>
      <c r="M995" s="66"/>
      <c r="N995" s="130"/>
      <c r="P995" s="130"/>
      <c r="Q995" s="129"/>
    </row>
    <row r="996">
      <c r="D996" s="128"/>
      <c r="I996" s="129"/>
      <c r="J996" s="66"/>
      <c r="L996" s="66"/>
      <c r="M996" s="66"/>
      <c r="N996" s="130"/>
      <c r="P996" s="130"/>
      <c r="Q996" s="129"/>
    </row>
    <row r="997">
      <c r="D997" s="128"/>
      <c r="I997" s="129"/>
      <c r="J997" s="66"/>
      <c r="L997" s="66"/>
      <c r="M997" s="66"/>
      <c r="N997" s="130"/>
      <c r="P997" s="130"/>
      <c r="Q997" s="129"/>
    </row>
    <row r="998">
      <c r="D998" s="128"/>
      <c r="I998" s="129"/>
      <c r="J998" s="66"/>
      <c r="L998" s="66"/>
      <c r="M998" s="66"/>
      <c r="N998" s="130"/>
      <c r="P998" s="130"/>
      <c r="Q998" s="12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1</v>
      </c>
      <c r="B1" s="50" t="s">
        <v>2</v>
      </c>
      <c r="C1" s="50" t="s">
        <v>3</v>
      </c>
      <c r="D1" s="50" t="s">
        <v>4</v>
      </c>
      <c r="E1" s="50" t="s">
        <v>5</v>
      </c>
      <c r="F1" s="50" t="s">
        <v>6</v>
      </c>
      <c r="G1" s="50" t="s">
        <v>7</v>
      </c>
      <c r="H1" s="50" t="s">
        <v>8</v>
      </c>
      <c r="I1" s="50" t="s">
        <v>9</v>
      </c>
      <c r="J1" s="50" t="s">
        <v>10</v>
      </c>
      <c r="K1" s="50" t="s">
        <v>11</v>
      </c>
      <c r="L1" s="50" t="s">
        <v>12</v>
      </c>
      <c r="M1" s="50" t="s">
        <v>13</v>
      </c>
      <c r="N1" s="50" t="s">
        <v>14</v>
      </c>
      <c r="O1" s="50" t="s">
        <v>15</v>
      </c>
      <c r="P1" s="50" t="s">
        <v>16</v>
      </c>
    </row>
    <row r="2">
      <c r="A2" s="50" t="s">
        <v>4540</v>
      </c>
      <c r="B2" s="131"/>
      <c r="C2" s="50" t="s">
        <v>4541</v>
      </c>
      <c r="D2" s="50" t="s">
        <v>4541</v>
      </c>
      <c r="F2" s="50" t="s">
        <v>21</v>
      </c>
      <c r="G2" s="131"/>
      <c r="H2" s="131"/>
      <c r="I2" s="50" t="s">
        <v>59</v>
      </c>
      <c r="J2" s="50" t="s">
        <v>66</v>
      </c>
      <c r="K2" s="131"/>
      <c r="L2" s="131"/>
      <c r="M2" s="50" t="s">
        <v>4542</v>
      </c>
      <c r="N2" s="51">
        <v>-7.2692971E7</v>
      </c>
      <c r="O2" s="51">
        <v>1.127491243E9</v>
      </c>
      <c r="P2" s="132" t="s">
        <v>4543</v>
      </c>
    </row>
    <row r="3">
      <c r="A3" s="50" t="s">
        <v>2515</v>
      </c>
      <c r="C3" s="50" t="s">
        <v>19</v>
      </c>
      <c r="D3" s="50" t="s">
        <v>19</v>
      </c>
      <c r="E3" s="131"/>
      <c r="F3" s="50" t="s">
        <v>21</v>
      </c>
      <c r="G3" s="131"/>
      <c r="H3" s="131"/>
      <c r="I3" s="50" t="s">
        <v>59</v>
      </c>
      <c r="J3" s="50" t="s">
        <v>66</v>
      </c>
      <c r="K3" s="131"/>
      <c r="L3" s="131"/>
      <c r="M3" s="50" t="s">
        <v>4544</v>
      </c>
      <c r="N3" s="51">
        <v>-7.2781271E7</v>
      </c>
      <c r="O3" s="51">
        <v>1.127466016E9</v>
      </c>
      <c r="P3" s="132" t="s">
        <v>4545</v>
      </c>
    </row>
    <row r="4">
      <c r="A4" s="50" t="s">
        <v>2293</v>
      </c>
      <c r="C4" s="50" t="s">
        <v>4546</v>
      </c>
      <c r="D4" s="50" t="s">
        <v>4546</v>
      </c>
      <c r="F4" s="50" t="s">
        <v>21</v>
      </c>
      <c r="G4" s="131"/>
      <c r="H4" s="131"/>
      <c r="I4" s="50" t="s">
        <v>59</v>
      </c>
      <c r="J4" s="50" t="s">
        <v>66</v>
      </c>
      <c r="K4" s="131"/>
      <c r="L4" s="131"/>
      <c r="M4" s="50" t="s">
        <v>4547</v>
      </c>
      <c r="N4" s="51">
        <v>-7.2777983E7</v>
      </c>
      <c r="O4" s="51">
        <v>1.127356596E9</v>
      </c>
      <c r="P4" s="132" t="s">
        <v>4548</v>
      </c>
    </row>
    <row r="5">
      <c r="A5" s="50" t="s">
        <v>1004</v>
      </c>
      <c r="B5" s="50" t="s">
        <v>4549</v>
      </c>
      <c r="C5" s="50" t="s">
        <v>19</v>
      </c>
      <c r="D5" s="50" t="s">
        <v>19</v>
      </c>
      <c r="E5" s="131"/>
      <c r="F5" s="50" t="s">
        <v>21</v>
      </c>
      <c r="G5" s="131"/>
      <c r="H5" s="131"/>
      <c r="I5" s="50" t="s">
        <v>59</v>
      </c>
      <c r="J5" s="50" t="s">
        <v>66</v>
      </c>
      <c r="K5" s="131"/>
      <c r="L5" s="131"/>
      <c r="M5" s="50" t="s">
        <v>4550</v>
      </c>
      <c r="N5" s="51">
        <v>-7.2850075E7</v>
      </c>
      <c r="O5" s="51">
        <v>1.127362677E9</v>
      </c>
      <c r="P5" s="132" t="s">
        <v>4551</v>
      </c>
    </row>
    <row r="6">
      <c r="A6" s="50" t="s">
        <v>4552</v>
      </c>
      <c r="C6" s="50" t="s">
        <v>4546</v>
      </c>
      <c r="D6" s="50" t="s">
        <v>4546</v>
      </c>
      <c r="F6" s="50" t="s">
        <v>21</v>
      </c>
      <c r="G6" s="131"/>
      <c r="H6" s="131"/>
      <c r="I6" s="50" t="s">
        <v>59</v>
      </c>
      <c r="J6" s="50" t="s">
        <v>66</v>
      </c>
      <c r="K6" s="131"/>
      <c r="L6" s="131"/>
      <c r="M6" s="50" t="s">
        <v>4553</v>
      </c>
      <c r="N6" s="51">
        <v>-7277767.0</v>
      </c>
      <c r="O6" s="51">
        <v>1.127079299E9</v>
      </c>
      <c r="P6" s="132" t="s">
        <v>4554</v>
      </c>
    </row>
    <row r="7">
      <c r="A7" s="50" t="s">
        <v>949</v>
      </c>
      <c r="B7" s="131"/>
      <c r="C7" s="50" t="s">
        <v>4546</v>
      </c>
      <c r="D7" s="50" t="s">
        <v>4546</v>
      </c>
      <c r="F7" s="50" t="s">
        <v>21</v>
      </c>
      <c r="G7" s="131"/>
      <c r="H7" s="131"/>
      <c r="I7" s="50" t="s">
        <v>59</v>
      </c>
      <c r="J7" s="50" t="s">
        <v>66</v>
      </c>
      <c r="K7" s="131"/>
      <c r="L7" s="131"/>
      <c r="M7" s="50" t="s">
        <v>4555</v>
      </c>
      <c r="N7" s="51">
        <v>-7266522.0</v>
      </c>
      <c r="O7" s="51">
        <v>1.127510129E9</v>
      </c>
      <c r="P7" s="132" t="s">
        <v>4556</v>
      </c>
    </row>
    <row r="8">
      <c r="A8" s="50" t="s">
        <v>4557</v>
      </c>
      <c r="C8" s="50" t="s">
        <v>4546</v>
      </c>
      <c r="D8" s="50" t="s">
        <v>4546</v>
      </c>
      <c r="F8" s="50" t="s">
        <v>21</v>
      </c>
      <c r="G8" s="131"/>
      <c r="H8" s="131"/>
      <c r="I8" s="50" t="s">
        <v>59</v>
      </c>
      <c r="J8" s="50" t="s">
        <v>66</v>
      </c>
      <c r="K8" s="131"/>
      <c r="L8" s="131"/>
      <c r="M8" s="50" t="s">
        <v>4558</v>
      </c>
      <c r="N8" s="51">
        <v>-7.2975613E7</v>
      </c>
      <c r="O8" s="51">
        <v>1.126586854E9</v>
      </c>
      <c r="P8" s="132" t="s">
        <v>4559</v>
      </c>
    </row>
    <row r="9">
      <c r="A9" s="50" t="s">
        <v>4560</v>
      </c>
      <c r="C9" s="50" t="s">
        <v>19</v>
      </c>
      <c r="D9" s="50" t="s">
        <v>19</v>
      </c>
      <c r="E9" s="131"/>
      <c r="F9" s="50" t="s">
        <v>21</v>
      </c>
      <c r="G9" s="131"/>
      <c r="H9" s="131"/>
      <c r="I9" s="50" t="s">
        <v>59</v>
      </c>
      <c r="J9" s="50" t="s">
        <v>66</v>
      </c>
      <c r="K9" s="131"/>
      <c r="L9" s="131"/>
      <c r="M9" s="50" t="s">
        <v>4561</v>
      </c>
      <c r="N9" s="51">
        <v>-7.2948389E7</v>
      </c>
      <c r="O9" s="51">
        <v>1.126752565E9</v>
      </c>
      <c r="P9" s="132" t="s">
        <v>4562</v>
      </c>
    </row>
    <row r="10">
      <c r="A10" s="50" t="s">
        <v>4563</v>
      </c>
      <c r="C10" s="50" t="s">
        <v>4546</v>
      </c>
      <c r="D10" s="50" t="s">
        <v>4546</v>
      </c>
      <c r="F10" s="50" t="s">
        <v>21</v>
      </c>
      <c r="G10" s="131"/>
      <c r="H10" s="131"/>
      <c r="I10" s="50" t="s">
        <v>59</v>
      </c>
      <c r="J10" s="50" t="s">
        <v>66</v>
      </c>
      <c r="K10" s="131"/>
      <c r="L10" s="131"/>
      <c r="M10" s="50" t="s">
        <v>4564</v>
      </c>
      <c r="N10" s="51">
        <v>-7.2819229E7</v>
      </c>
      <c r="O10" s="51">
        <v>1.127415054E9</v>
      </c>
      <c r="P10" s="132" t="s">
        <v>4565</v>
      </c>
    </row>
    <row r="11">
      <c r="A11" s="50" t="s">
        <v>50</v>
      </c>
      <c r="B11" s="50" t="s">
        <v>4566</v>
      </c>
      <c r="C11" s="50" t="s">
        <v>4546</v>
      </c>
      <c r="D11" s="50" t="s">
        <v>4546</v>
      </c>
      <c r="F11" s="50" t="s">
        <v>21</v>
      </c>
      <c r="G11" s="131"/>
      <c r="H11" s="131"/>
      <c r="I11" s="50" t="s">
        <v>59</v>
      </c>
      <c r="J11" s="50" t="s">
        <v>66</v>
      </c>
      <c r="K11" s="131"/>
      <c r="L11" s="131"/>
      <c r="M11" s="50" t="s">
        <v>4567</v>
      </c>
      <c r="N11" s="51">
        <v>-7.2612075E7</v>
      </c>
      <c r="O11" s="51">
        <v>1.127488144E9</v>
      </c>
      <c r="P11" s="132" t="s">
        <v>4568</v>
      </c>
    </row>
    <row r="12">
      <c r="A12" s="50" t="s">
        <v>1286</v>
      </c>
      <c r="C12" s="50" t="s">
        <v>4546</v>
      </c>
      <c r="D12" s="50" t="s">
        <v>4546</v>
      </c>
      <c r="F12" s="50" t="s">
        <v>21</v>
      </c>
      <c r="G12" s="131"/>
      <c r="H12" s="131"/>
      <c r="I12" s="50" t="s">
        <v>59</v>
      </c>
      <c r="J12" s="50" t="s">
        <v>66</v>
      </c>
      <c r="K12" s="131"/>
      <c r="L12" s="131"/>
      <c r="M12" s="50" t="s">
        <v>4569</v>
      </c>
      <c r="N12" s="51">
        <v>-7.2934399E7</v>
      </c>
      <c r="O12" s="51">
        <v>1.126854477E9</v>
      </c>
      <c r="P12" s="132" t="s">
        <v>4570</v>
      </c>
    </row>
    <row r="13">
      <c r="A13" s="50" t="s">
        <v>959</v>
      </c>
      <c r="B13" s="131"/>
      <c r="C13" s="50" t="s">
        <v>19</v>
      </c>
      <c r="D13" s="50" t="s">
        <v>19</v>
      </c>
      <c r="E13" s="131"/>
      <c r="F13" s="50" t="s">
        <v>21</v>
      </c>
      <c r="G13" s="131"/>
      <c r="H13" s="131"/>
      <c r="I13" s="50" t="s">
        <v>59</v>
      </c>
      <c r="J13" s="50" t="s">
        <v>66</v>
      </c>
      <c r="K13" s="131"/>
      <c r="L13" s="131"/>
      <c r="M13" s="50" t="s">
        <v>4571</v>
      </c>
      <c r="N13" s="51">
        <v>-7.3045468E7</v>
      </c>
      <c r="O13" s="51">
        <v>1.12768486E8</v>
      </c>
      <c r="P13" s="132" t="s">
        <v>4572</v>
      </c>
    </row>
    <row r="14">
      <c r="A14" s="50" t="s">
        <v>4573</v>
      </c>
      <c r="C14" s="50" t="s">
        <v>19</v>
      </c>
      <c r="D14" s="50" t="s">
        <v>19</v>
      </c>
      <c r="E14" s="131"/>
      <c r="F14" s="50" t="s">
        <v>21</v>
      </c>
      <c r="G14" s="131"/>
      <c r="H14" s="131"/>
      <c r="I14" s="50" t="s">
        <v>59</v>
      </c>
      <c r="J14" s="50" t="s">
        <v>66</v>
      </c>
      <c r="K14" s="131"/>
      <c r="L14" s="131"/>
      <c r="M14" s="50" t="s">
        <v>4574</v>
      </c>
      <c r="N14" s="51">
        <v>-7.2908503E7</v>
      </c>
      <c r="O14" s="51">
        <v>1.127321814E9</v>
      </c>
      <c r="P14" s="132" t="s">
        <v>4575</v>
      </c>
    </row>
    <row r="15">
      <c r="A15" s="50" t="s">
        <v>2781</v>
      </c>
      <c r="C15" s="50" t="s">
        <v>4546</v>
      </c>
      <c r="D15" s="50" t="s">
        <v>4546</v>
      </c>
      <c r="F15" s="50" t="s">
        <v>21</v>
      </c>
      <c r="G15" s="131"/>
      <c r="H15" s="131"/>
      <c r="I15" s="50" t="s">
        <v>59</v>
      </c>
      <c r="J15" s="50" t="s">
        <v>66</v>
      </c>
      <c r="K15" s="131"/>
      <c r="L15" s="131"/>
      <c r="M15" s="50" t="s">
        <v>4576</v>
      </c>
      <c r="N15" s="51">
        <v>-7.2689088E7</v>
      </c>
      <c r="O15" s="51">
        <v>1.127385203E9</v>
      </c>
      <c r="P15" s="132" t="s">
        <v>4577</v>
      </c>
    </row>
    <row r="16">
      <c r="A16" s="50" t="s">
        <v>737</v>
      </c>
      <c r="C16" s="50" t="s">
        <v>19</v>
      </c>
      <c r="D16" s="50" t="s">
        <v>19</v>
      </c>
      <c r="E16" s="131"/>
      <c r="F16" s="50" t="s">
        <v>21</v>
      </c>
      <c r="G16" s="131"/>
      <c r="H16" s="131"/>
      <c r="I16" s="50" t="s">
        <v>59</v>
      </c>
      <c r="J16" s="50" t="s">
        <v>66</v>
      </c>
      <c r="K16" s="131"/>
      <c r="L16" s="131"/>
      <c r="M16" s="50" t="s">
        <v>4578</v>
      </c>
      <c r="N16" s="51">
        <v>-7.3225321E7</v>
      </c>
      <c r="O16" s="51">
        <v>1.127423232E9</v>
      </c>
      <c r="P16" s="132" t="s">
        <v>4579</v>
      </c>
    </row>
    <row r="17">
      <c r="A17" s="50" t="s">
        <v>2672</v>
      </c>
      <c r="C17" s="50" t="s">
        <v>4546</v>
      </c>
      <c r="D17" s="50" t="s">
        <v>4546</v>
      </c>
      <c r="F17" s="50" t="s">
        <v>21</v>
      </c>
      <c r="G17" s="131"/>
      <c r="H17" s="131"/>
      <c r="I17" s="50" t="s">
        <v>59</v>
      </c>
      <c r="J17" s="50" t="s">
        <v>66</v>
      </c>
      <c r="K17" s="131"/>
      <c r="L17" s="131"/>
      <c r="M17" s="50" t="s">
        <v>4580</v>
      </c>
      <c r="N17" s="51">
        <v>-7.2582493E7</v>
      </c>
      <c r="O17" s="51">
        <v>1.127295048E9</v>
      </c>
      <c r="P17" s="132" t="s">
        <v>4581</v>
      </c>
    </row>
    <row r="18">
      <c r="A18" s="50" t="s">
        <v>4582</v>
      </c>
      <c r="B18" s="50" t="s">
        <v>4583</v>
      </c>
      <c r="C18" s="50" t="s">
        <v>19</v>
      </c>
      <c r="D18" s="50" t="s">
        <v>19</v>
      </c>
      <c r="E18" s="131"/>
      <c r="F18" s="50" t="s">
        <v>21</v>
      </c>
      <c r="G18" s="131"/>
      <c r="H18" s="131"/>
      <c r="I18" s="50" t="s">
        <v>59</v>
      </c>
      <c r="J18" s="50" t="s">
        <v>66</v>
      </c>
      <c r="K18" s="131"/>
      <c r="L18" s="131"/>
      <c r="M18" s="50" t="s">
        <v>4584</v>
      </c>
      <c r="N18" s="51">
        <v>-7.2828488E7</v>
      </c>
      <c r="O18" s="51">
        <v>1.126949386E9</v>
      </c>
      <c r="P18" s="132" t="s">
        <v>4585</v>
      </c>
    </row>
    <row r="19">
      <c r="A19" s="50" t="s">
        <v>3769</v>
      </c>
      <c r="B19" s="131"/>
      <c r="C19" s="50" t="s">
        <v>19</v>
      </c>
      <c r="D19" s="50" t="s">
        <v>19</v>
      </c>
      <c r="E19" s="131"/>
      <c r="F19" s="50" t="s">
        <v>21</v>
      </c>
      <c r="G19" s="131"/>
      <c r="H19" s="131"/>
      <c r="I19" s="50" t="s">
        <v>59</v>
      </c>
      <c r="J19" s="50" t="s">
        <v>66</v>
      </c>
      <c r="K19" s="131"/>
      <c r="L19" s="131"/>
      <c r="M19" s="50" t="s">
        <v>4586</v>
      </c>
      <c r="N19" s="51">
        <v>-7.2903816E7</v>
      </c>
      <c r="O19" s="51">
        <v>1.127500112E9</v>
      </c>
      <c r="P19" s="132" t="s">
        <v>4587</v>
      </c>
    </row>
    <row r="20">
      <c r="A20" s="50" t="s">
        <v>26</v>
      </c>
      <c r="C20" s="50" t="s">
        <v>4588</v>
      </c>
      <c r="D20" s="50" t="s">
        <v>4588</v>
      </c>
      <c r="F20" s="50" t="s">
        <v>21</v>
      </c>
      <c r="G20" s="131"/>
      <c r="H20" s="131"/>
      <c r="I20" s="50" t="s">
        <v>59</v>
      </c>
      <c r="J20" s="50" t="s">
        <v>66</v>
      </c>
      <c r="K20" s="131"/>
      <c r="L20" s="131"/>
      <c r="M20" s="50" t="s">
        <v>4589</v>
      </c>
      <c r="N20" s="51">
        <v>-7.2858283E7</v>
      </c>
      <c r="O20" s="51">
        <v>1.127331216E9</v>
      </c>
      <c r="P20" s="132" t="s">
        <v>4590</v>
      </c>
    </row>
    <row r="21">
      <c r="A21" s="50" t="s">
        <v>2768</v>
      </c>
      <c r="C21" s="50" t="s">
        <v>4546</v>
      </c>
      <c r="D21" s="50" t="s">
        <v>4546</v>
      </c>
      <c r="F21" s="50" t="s">
        <v>21</v>
      </c>
      <c r="G21" s="131"/>
      <c r="H21" s="131"/>
      <c r="I21" s="50" t="s">
        <v>59</v>
      </c>
      <c r="J21" s="50" t="s">
        <v>66</v>
      </c>
      <c r="K21" s="131"/>
      <c r="L21" s="131"/>
      <c r="M21" s="50" t="s">
        <v>4591</v>
      </c>
      <c r="N21" s="51">
        <v>-7.2862409E7</v>
      </c>
      <c r="O21" s="51">
        <v>1.127561595E9</v>
      </c>
      <c r="P21" s="132" t="s">
        <v>4592</v>
      </c>
    </row>
    <row r="22">
      <c r="A22" s="50" t="s">
        <v>3284</v>
      </c>
      <c r="C22" s="50" t="s">
        <v>4546</v>
      </c>
      <c r="D22" s="50" t="s">
        <v>4546</v>
      </c>
      <c r="F22" s="50" t="s">
        <v>21</v>
      </c>
      <c r="G22" s="131"/>
      <c r="H22" s="131"/>
      <c r="I22" s="50" t="s">
        <v>59</v>
      </c>
      <c r="J22" s="50" t="s">
        <v>66</v>
      </c>
      <c r="K22" s="131"/>
      <c r="L22" s="131"/>
      <c r="M22" s="50" t="s">
        <v>4593</v>
      </c>
      <c r="N22" s="51">
        <v>-7.2808387E7</v>
      </c>
      <c r="O22" s="51">
        <v>1.126968022E9</v>
      </c>
      <c r="P22" s="132" t="s">
        <v>4594</v>
      </c>
    </row>
    <row r="23">
      <c r="A23" s="50" t="s">
        <v>3369</v>
      </c>
      <c r="C23" s="50" t="s">
        <v>19</v>
      </c>
      <c r="D23" s="50" t="s">
        <v>19</v>
      </c>
      <c r="E23" s="131"/>
      <c r="F23" s="50" t="s">
        <v>21</v>
      </c>
      <c r="G23" s="131"/>
      <c r="H23" s="131"/>
      <c r="I23" s="50" t="s">
        <v>59</v>
      </c>
      <c r="J23" s="50" t="s">
        <v>66</v>
      </c>
      <c r="K23" s="131"/>
      <c r="L23" s="131"/>
      <c r="M23" s="50" t="s">
        <v>4595</v>
      </c>
      <c r="N23" s="51">
        <v>-7.2564304E7</v>
      </c>
      <c r="O23" s="51">
        <v>1.127434309E9</v>
      </c>
      <c r="P23" s="132" t="s">
        <v>4596</v>
      </c>
    </row>
    <row r="24">
      <c r="A24" s="50" t="s">
        <v>224</v>
      </c>
      <c r="C24" s="50" t="s">
        <v>4546</v>
      </c>
      <c r="D24" s="50" t="s">
        <v>4546</v>
      </c>
      <c r="F24" s="50" t="s">
        <v>21</v>
      </c>
      <c r="G24" s="131"/>
      <c r="H24" s="131"/>
      <c r="I24" s="50" t="s">
        <v>59</v>
      </c>
      <c r="J24" s="50" t="s">
        <v>66</v>
      </c>
      <c r="K24" s="131"/>
      <c r="L24" s="131"/>
      <c r="M24" s="50" t="s">
        <v>4597</v>
      </c>
      <c r="N24" s="51">
        <v>-7.2587001E7</v>
      </c>
      <c r="O24" s="51">
        <v>1.127828312E9</v>
      </c>
      <c r="P24" s="132" t="s">
        <v>4598</v>
      </c>
    </row>
    <row r="25">
      <c r="A25" s="50" t="s">
        <v>1217</v>
      </c>
      <c r="B25" s="50" t="s">
        <v>4599</v>
      </c>
      <c r="C25" s="50" t="s">
        <v>4546</v>
      </c>
      <c r="D25" s="50" t="s">
        <v>4546</v>
      </c>
      <c r="F25" s="50" t="s">
        <v>21</v>
      </c>
      <c r="G25" s="131"/>
      <c r="H25" s="131"/>
      <c r="I25" s="50" t="s">
        <v>59</v>
      </c>
      <c r="J25" s="50" t="s">
        <v>66</v>
      </c>
      <c r="K25" s="131"/>
      <c r="L25" s="131"/>
      <c r="M25" s="50" t="s">
        <v>4600</v>
      </c>
      <c r="N25" s="51">
        <v>-7.2579476E7</v>
      </c>
      <c r="O25" s="51">
        <v>1.127573536E9</v>
      </c>
      <c r="P25" s="132" t="s">
        <v>4601</v>
      </c>
    </row>
    <row r="26">
      <c r="A26" s="50" t="s">
        <v>4602</v>
      </c>
      <c r="B26" s="50" t="s">
        <v>4603</v>
      </c>
      <c r="C26" s="50" t="s">
        <v>4604</v>
      </c>
      <c r="D26" s="50" t="s">
        <v>4604</v>
      </c>
      <c r="F26" s="50" t="s">
        <v>21</v>
      </c>
      <c r="G26" s="131"/>
      <c r="H26" s="131"/>
      <c r="I26" s="50" t="s">
        <v>59</v>
      </c>
      <c r="J26" s="50" t="s">
        <v>66</v>
      </c>
      <c r="K26" s="131"/>
      <c r="L26" s="131"/>
      <c r="M26" s="50" t="s">
        <v>4605</v>
      </c>
      <c r="N26" s="51">
        <v>-7.2603778E7</v>
      </c>
      <c r="O26" s="51">
        <v>1.127510049E9</v>
      </c>
      <c r="P26" s="132" t="s">
        <v>4606</v>
      </c>
    </row>
    <row r="27">
      <c r="A27" s="50" t="s">
        <v>4607</v>
      </c>
      <c r="B27" s="131"/>
      <c r="C27" s="50" t="s">
        <v>19</v>
      </c>
      <c r="D27" s="50" t="s">
        <v>19</v>
      </c>
      <c r="E27" s="131"/>
      <c r="F27" s="50" t="s">
        <v>21</v>
      </c>
      <c r="G27" s="131"/>
      <c r="H27" s="131"/>
      <c r="I27" s="50" t="s">
        <v>59</v>
      </c>
      <c r="J27" s="50" t="s">
        <v>66</v>
      </c>
      <c r="K27" s="131"/>
      <c r="L27" s="131"/>
      <c r="M27" s="50" t="s">
        <v>4608</v>
      </c>
      <c r="N27" s="51">
        <v>-7304145.0</v>
      </c>
      <c r="O27" s="51">
        <v>1.127944034E9</v>
      </c>
      <c r="P27" s="132" t="s">
        <v>4609</v>
      </c>
    </row>
    <row r="28">
      <c r="A28" s="50" t="s">
        <v>3661</v>
      </c>
      <c r="C28" s="50" t="s">
        <v>4546</v>
      </c>
      <c r="D28" s="50" t="s">
        <v>4546</v>
      </c>
      <c r="F28" s="50" t="s">
        <v>21</v>
      </c>
      <c r="G28" s="131"/>
      <c r="H28" s="131"/>
      <c r="I28" s="50" t="s">
        <v>59</v>
      </c>
      <c r="J28" s="50" t="s">
        <v>66</v>
      </c>
      <c r="K28" s="131"/>
      <c r="L28" s="131"/>
      <c r="M28" s="50" t="s">
        <v>4610</v>
      </c>
      <c r="N28" s="51">
        <v>-7.3314452E7</v>
      </c>
      <c r="O28" s="51">
        <v>1.127181276E9</v>
      </c>
      <c r="P28" s="132" t="s">
        <v>4611</v>
      </c>
    </row>
    <row r="29">
      <c r="A29" s="50" t="s">
        <v>4612</v>
      </c>
      <c r="C29" s="50" t="s">
        <v>19</v>
      </c>
      <c r="D29" s="50" t="s">
        <v>19</v>
      </c>
      <c r="E29" s="131"/>
      <c r="F29" s="50" t="s">
        <v>21</v>
      </c>
      <c r="G29" s="131"/>
      <c r="H29" s="131"/>
      <c r="I29" s="50" t="s">
        <v>59</v>
      </c>
      <c r="J29" s="50" t="s">
        <v>66</v>
      </c>
      <c r="K29" s="131"/>
      <c r="L29" s="131"/>
      <c r="M29" s="50" t="s">
        <v>4613</v>
      </c>
      <c r="N29" s="131"/>
      <c r="O29" s="131"/>
      <c r="P29" s="132" t="s">
        <v>4614</v>
      </c>
    </row>
    <row r="30">
      <c r="A30" s="50" t="s">
        <v>1505</v>
      </c>
      <c r="C30" s="50" t="s">
        <v>4546</v>
      </c>
      <c r="D30" s="50" t="s">
        <v>4546</v>
      </c>
      <c r="F30" s="50" t="s">
        <v>21</v>
      </c>
      <c r="G30" s="131"/>
      <c r="H30" s="131"/>
      <c r="I30" s="50" t="s">
        <v>59</v>
      </c>
      <c r="J30" s="50" t="s">
        <v>66</v>
      </c>
      <c r="K30" s="131"/>
      <c r="L30" s="131"/>
      <c r="M30" s="50" t="s">
        <v>4615</v>
      </c>
      <c r="N30" s="51">
        <v>-7.3029544E7</v>
      </c>
      <c r="O30" s="51">
        <v>1.127319984E9</v>
      </c>
      <c r="P30" s="132" t="s">
        <v>4616</v>
      </c>
    </row>
    <row r="31">
      <c r="A31" s="50" t="s">
        <v>4617</v>
      </c>
      <c r="C31" s="50" t="s">
        <v>19</v>
      </c>
      <c r="D31" s="50" t="s">
        <v>19</v>
      </c>
      <c r="E31" s="131"/>
      <c r="F31" s="50" t="s">
        <v>21</v>
      </c>
      <c r="G31" s="131"/>
      <c r="H31" s="131"/>
      <c r="I31" s="50" t="s">
        <v>59</v>
      </c>
      <c r="J31" s="50" t="s">
        <v>66</v>
      </c>
      <c r="K31" s="131"/>
      <c r="L31" s="131"/>
      <c r="M31" s="50" t="s">
        <v>4618</v>
      </c>
      <c r="N31" s="51">
        <v>-7.2921617E7</v>
      </c>
      <c r="O31" s="51">
        <v>1.127153273E9</v>
      </c>
      <c r="P31" s="132" t="s">
        <v>4619</v>
      </c>
    </row>
    <row r="32">
      <c r="A32" s="50" t="s">
        <v>538</v>
      </c>
      <c r="C32" s="50" t="s">
        <v>4620</v>
      </c>
      <c r="D32" s="50" t="s">
        <v>4620</v>
      </c>
      <c r="F32" s="50" t="s">
        <v>21</v>
      </c>
      <c r="G32" s="131"/>
      <c r="H32" s="131"/>
      <c r="I32" s="50" t="s">
        <v>59</v>
      </c>
      <c r="J32" s="50" t="s">
        <v>66</v>
      </c>
      <c r="K32" s="131"/>
      <c r="L32" s="131"/>
      <c r="M32" s="50" t="s">
        <v>4621</v>
      </c>
      <c r="N32" s="51">
        <v>-7288463.0</v>
      </c>
      <c r="O32" s="51">
        <v>1.12731333E8</v>
      </c>
      <c r="P32" s="132" t="s">
        <v>4622</v>
      </c>
    </row>
    <row r="33">
      <c r="A33" s="50" t="s">
        <v>4623</v>
      </c>
      <c r="C33" s="50" t="s">
        <v>4546</v>
      </c>
      <c r="D33" s="50" t="s">
        <v>4546</v>
      </c>
      <c r="F33" s="50" t="s">
        <v>21</v>
      </c>
      <c r="G33" s="131"/>
      <c r="H33" s="131"/>
      <c r="I33" s="50" t="s">
        <v>59</v>
      </c>
      <c r="J33" s="50" t="s">
        <v>66</v>
      </c>
      <c r="K33" s="131"/>
      <c r="L33" s="131"/>
      <c r="M33" s="50" t="s">
        <v>4624</v>
      </c>
      <c r="N33" s="51">
        <v>-7.3227956E7</v>
      </c>
      <c r="O33" s="51">
        <v>1.12780423E8</v>
      </c>
      <c r="P33" s="132" t="s">
        <v>4625</v>
      </c>
    </row>
    <row r="34">
      <c r="A34" s="50" t="s">
        <v>4626</v>
      </c>
      <c r="C34" s="50" t="s">
        <v>19</v>
      </c>
      <c r="D34" s="50" t="s">
        <v>19</v>
      </c>
      <c r="E34" s="131"/>
      <c r="F34" s="50" t="s">
        <v>21</v>
      </c>
      <c r="G34" s="131"/>
      <c r="H34" s="131"/>
      <c r="I34" s="50" t="s">
        <v>59</v>
      </c>
      <c r="J34" s="50" t="s">
        <v>66</v>
      </c>
      <c r="K34" s="131"/>
      <c r="L34" s="131"/>
      <c r="M34" s="50" t="s">
        <v>4627</v>
      </c>
      <c r="N34" s="51">
        <v>-7.2888502E7</v>
      </c>
      <c r="O34" s="51">
        <v>1.127529441E9</v>
      </c>
      <c r="P34" s="132" t="s">
        <v>4628</v>
      </c>
    </row>
    <row r="35">
      <c r="A35" s="50" t="s">
        <v>4629</v>
      </c>
      <c r="C35" s="50" t="s">
        <v>19</v>
      </c>
      <c r="D35" s="50" t="s">
        <v>19</v>
      </c>
      <c r="E35" s="131"/>
      <c r="F35" s="50" t="s">
        <v>21</v>
      </c>
      <c r="G35" s="131"/>
      <c r="H35" s="131"/>
      <c r="I35" s="50" t="s">
        <v>59</v>
      </c>
      <c r="J35" s="50" t="s">
        <v>66</v>
      </c>
      <c r="K35" s="131"/>
      <c r="L35" s="131"/>
      <c r="M35" s="50" t="s">
        <v>4630</v>
      </c>
      <c r="N35" s="51">
        <v>-7.3375527E7</v>
      </c>
      <c r="O35" s="51">
        <v>1.127204565E9</v>
      </c>
      <c r="P35" s="132" t="s">
        <v>4631</v>
      </c>
    </row>
    <row r="36">
      <c r="A36" s="50" t="s">
        <v>1399</v>
      </c>
      <c r="C36" s="50" t="s">
        <v>19</v>
      </c>
      <c r="D36" s="50" t="s">
        <v>19</v>
      </c>
      <c r="E36" s="131"/>
      <c r="F36" s="50" t="s">
        <v>21</v>
      </c>
      <c r="G36" s="131"/>
      <c r="H36" s="131"/>
      <c r="I36" s="50" t="s">
        <v>59</v>
      </c>
      <c r="J36" s="50" t="s">
        <v>66</v>
      </c>
      <c r="K36" s="131"/>
      <c r="L36" s="131"/>
      <c r="M36" s="50" t="s">
        <v>4632</v>
      </c>
      <c r="N36" s="51">
        <v>-7.2790442E7</v>
      </c>
      <c r="O36" s="51">
        <v>1.127373881E9</v>
      </c>
      <c r="P36" s="132" t="s">
        <v>4633</v>
      </c>
    </row>
    <row r="37">
      <c r="A37" s="50" t="s">
        <v>4634</v>
      </c>
      <c r="C37" s="50" t="s">
        <v>19</v>
      </c>
      <c r="D37" s="50" t="s">
        <v>19</v>
      </c>
      <c r="E37" s="131"/>
      <c r="F37" s="50" t="s">
        <v>21</v>
      </c>
      <c r="G37" s="131"/>
      <c r="H37" s="131"/>
      <c r="I37" s="50" t="s">
        <v>59</v>
      </c>
      <c r="J37" s="50" t="s">
        <v>66</v>
      </c>
      <c r="K37" s="131"/>
      <c r="L37" s="131"/>
      <c r="M37" s="50" t="s">
        <v>4635</v>
      </c>
      <c r="N37" s="51">
        <v>-7.3235333E7</v>
      </c>
      <c r="O37" s="51">
        <v>1.127430632E9</v>
      </c>
      <c r="P37" s="132" t="s">
        <v>4636</v>
      </c>
    </row>
    <row r="38">
      <c r="A38" s="50" t="s">
        <v>4637</v>
      </c>
      <c r="B38" s="131"/>
      <c r="C38" s="50" t="s">
        <v>19</v>
      </c>
      <c r="D38" s="50" t="s">
        <v>19</v>
      </c>
      <c r="E38" s="131"/>
      <c r="F38" s="50" t="s">
        <v>21</v>
      </c>
      <c r="G38" s="131"/>
      <c r="H38" s="131"/>
      <c r="I38" s="50" t="s">
        <v>59</v>
      </c>
      <c r="J38" s="50" t="s">
        <v>66</v>
      </c>
      <c r="K38" s="131"/>
      <c r="L38" s="131"/>
      <c r="M38" s="50" t="s">
        <v>4638</v>
      </c>
      <c r="N38" s="51">
        <v>-7.2922611E7</v>
      </c>
      <c r="O38" s="51">
        <v>1.127153526E9</v>
      </c>
      <c r="P38" s="132" t="s">
        <v>4639</v>
      </c>
    </row>
    <row r="39">
      <c r="A39" s="50" t="s">
        <v>4640</v>
      </c>
      <c r="C39" s="50" t="s">
        <v>4546</v>
      </c>
      <c r="D39" s="50" t="s">
        <v>4546</v>
      </c>
      <c r="E39" s="133">
        <v>15.0</v>
      </c>
      <c r="F39" s="50" t="s">
        <v>21</v>
      </c>
      <c r="G39" s="131"/>
      <c r="H39" s="134">
        <v>46269.0</v>
      </c>
      <c r="I39" s="50" t="s">
        <v>59</v>
      </c>
      <c r="J39" s="50" t="s">
        <v>66</v>
      </c>
      <c r="K39" s="131"/>
      <c r="L39" s="131"/>
      <c r="M39" s="50" t="s">
        <v>4641</v>
      </c>
      <c r="N39" s="51">
        <v>-7258356.0</v>
      </c>
      <c r="O39" s="51">
        <v>1.127487797E9</v>
      </c>
      <c r="P39" s="132" t="s">
        <v>4642</v>
      </c>
    </row>
    <row r="40">
      <c r="A40" s="50" t="s">
        <v>4643</v>
      </c>
      <c r="C40" s="50" t="s">
        <v>4546</v>
      </c>
      <c r="D40" s="50" t="s">
        <v>4546</v>
      </c>
      <c r="F40" s="50" t="s">
        <v>21</v>
      </c>
      <c r="G40" s="131"/>
      <c r="H40" s="131"/>
      <c r="I40" s="50" t="s">
        <v>59</v>
      </c>
      <c r="J40" s="50" t="s">
        <v>66</v>
      </c>
      <c r="K40" s="131"/>
      <c r="L40" s="131"/>
      <c r="M40" s="50" t="s">
        <v>4644</v>
      </c>
      <c r="N40" s="51">
        <v>-7.2655585E7</v>
      </c>
      <c r="O40" s="51">
        <v>1.12738032E8</v>
      </c>
      <c r="P40" s="132" t="s">
        <v>4645</v>
      </c>
    </row>
    <row r="41">
      <c r="A41" s="50" t="s">
        <v>4646</v>
      </c>
      <c r="C41" s="50" t="s">
        <v>19</v>
      </c>
      <c r="D41" s="50" t="s">
        <v>19</v>
      </c>
      <c r="E41" s="131"/>
      <c r="F41" s="50" t="s">
        <v>21</v>
      </c>
      <c r="G41" s="131"/>
      <c r="H41" s="131"/>
      <c r="I41" s="50" t="s">
        <v>59</v>
      </c>
      <c r="J41" s="50" t="s">
        <v>66</v>
      </c>
      <c r="K41" s="131"/>
      <c r="L41" s="131"/>
      <c r="M41" s="50" t="s">
        <v>4647</v>
      </c>
      <c r="N41" s="51">
        <v>-7.2693766E7</v>
      </c>
      <c r="O41" s="51">
        <v>1.127737631E9</v>
      </c>
      <c r="P41" s="132" t="s">
        <v>4648</v>
      </c>
    </row>
    <row r="42">
      <c r="A42" s="50" t="s">
        <v>4649</v>
      </c>
      <c r="C42" s="50" t="s">
        <v>4541</v>
      </c>
      <c r="D42" s="50" t="s">
        <v>4541</v>
      </c>
      <c r="F42" s="50" t="s">
        <v>21</v>
      </c>
      <c r="G42" s="131"/>
      <c r="H42" s="131"/>
      <c r="I42" s="50" t="s">
        <v>59</v>
      </c>
      <c r="J42" s="50" t="s">
        <v>66</v>
      </c>
      <c r="K42" s="131"/>
      <c r="L42" s="131"/>
      <c r="M42" s="50" t="s">
        <v>4650</v>
      </c>
      <c r="N42" s="51">
        <v>-7.2785081E7</v>
      </c>
      <c r="O42" s="51">
        <v>1.128079088E9</v>
      </c>
      <c r="P42" s="132" t="s">
        <v>4651</v>
      </c>
    </row>
    <row r="43">
      <c r="A43" s="50" t="s">
        <v>3953</v>
      </c>
      <c r="C43" s="50" t="s">
        <v>4546</v>
      </c>
      <c r="D43" s="50" t="s">
        <v>4546</v>
      </c>
      <c r="F43" s="50" t="s">
        <v>21</v>
      </c>
      <c r="G43" s="131"/>
      <c r="H43" s="131"/>
      <c r="I43" s="50" t="s">
        <v>59</v>
      </c>
      <c r="J43" s="50" t="s">
        <v>66</v>
      </c>
      <c r="K43" s="131"/>
      <c r="L43" s="131"/>
      <c r="M43" s="50" t="s">
        <v>4652</v>
      </c>
      <c r="N43" s="51">
        <v>-7.2672692E7</v>
      </c>
      <c r="O43" s="51">
        <v>1.127457654E9</v>
      </c>
      <c r="P43" s="132" t="s">
        <v>4653</v>
      </c>
    </row>
    <row r="44">
      <c r="A44" s="50" t="s">
        <v>4654</v>
      </c>
      <c r="C44" s="50" t="s">
        <v>4546</v>
      </c>
      <c r="D44" s="50" t="s">
        <v>4546</v>
      </c>
      <c r="F44" s="50" t="s">
        <v>21</v>
      </c>
      <c r="G44" s="131"/>
      <c r="H44" s="131"/>
      <c r="I44" s="50" t="s">
        <v>59</v>
      </c>
      <c r="J44" s="50" t="s">
        <v>66</v>
      </c>
      <c r="K44" s="131"/>
      <c r="L44" s="131"/>
      <c r="M44" s="50" t="s">
        <v>4655</v>
      </c>
      <c r="N44" s="51">
        <v>-7.2374956E7</v>
      </c>
      <c r="O44" s="51">
        <v>1.127206849E9</v>
      </c>
      <c r="P44" s="132" t="s">
        <v>4656</v>
      </c>
    </row>
    <row r="45">
      <c r="A45" s="50" t="s">
        <v>4657</v>
      </c>
      <c r="C45" s="50" t="s">
        <v>19</v>
      </c>
      <c r="D45" s="50" t="s">
        <v>19</v>
      </c>
      <c r="E45" s="131"/>
      <c r="F45" s="50" t="s">
        <v>21</v>
      </c>
      <c r="G45" s="131"/>
      <c r="H45" s="131"/>
      <c r="I45" s="50" t="s">
        <v>59</v>
      </c>
      <c r="J45" s="50" t="s">
        <v>66</v>
      </c>
      <c r="K45" s="131"/>
      <c r="L45" s="131"/>
      <c r="M45" s="50" t="s">
        <v>4658</v>
      </c>
      <c r="N45" s="51">
        <v>-7.2677313E7</v>
      </c>
      <c r="O45" s="51">
        <v>1.127339446E9</v>
      </c>
      <c r="P45" s="132" t="s">
        <v>4659</v>
      </c>
    </row>
    <row r="46">
      <c r="A46" s="50" t="s">
        <v>4660</v>
      </c>
      <c r="C46" s="50" t="s">
        <v>4546</v>
      </c>
      <c r="D46" s="50" t="s">
        <v>4546</v>
      </c>
      <c r="F46" s="50" t="s">
        <v>21</v>
      </c>
      <c r="G46" s="131"/>
      <c r="H46" s="131"/>
      <c r="I46" s="50" t="s">
        <v>59</v>
      </c>
      <c r="J46" s="50" t="s">
        <v>66</v>
      </c>
      <c r="K46" s="131"/>
      <c r="L46" s="131"/>
      <c r="M46" s="50" t="s">
        <v>4661</v>
      </c>
      <c r="N46" s="51">
        <v>-7.3351601E7</v>
      </c>
      <c r="O46" s="51">
        <v>1.126993355E9</v>
      </c>
      <c r="P46" s="132" t="s">
        <v>4662</v>
      </c>
    </row>
    <row r="47">
      <c r="A47" s="50" t="s">
        <v>3622</v>
      </c>
      <c r="C47" s="50" t="s">
        <v>19</v>
      </c>
      <c r="D47" s="50" t="s">
        <v>19</v>
      </c>
      <c r="E47" s="131"/>
      <c r="F47" s="50" t="s">
        <v>21</v>
      </c>
      <c r="G47" s="131"/>
      <c r="H47" s="131"/>
      <c r="I47" s="50" t="s">
        <v>59</v>
      </c>
      <c r="J47" s="50" t="s">
        <v>66</v>
      </c>
      <c r="K47" s="131"/>
      <c r="L47" s="131"/>
      <c r="M47" s="50" t="s">
        <v>4663</v>
      </c>
      <c r="N47" s="51">
        <v>-7288892.0</v>
      </c>
      <c r="O47" s="51">
        <v>1.12734595E8</v>
      </c>
      <c r="P47" s="132" t="s">
        <v>4664</v>
      </c>
    </row>
    <row r="48">
      <c r="A48" s="50" t="s">
        <v>2113</v>
      </c>
      <c r="C48" s="50" t="s">
        <v>4620</v>
      </c>
      <c r="D48" s="50" t="s">
        <v>4620</v>
      </c>
      <c r="F48" s="50" t="s">
        <v>21</v>
      </c>
      <c r="G48" s="131"/>
      <c r="H48" s="131"/>
      <c r="I48" s="50" t="s">
        <v>59</v>
      </c>
      <c r="J48" s="50" t="s">
        <v>66</v>
      </c>
      <c r="K48" s="131"/>
      <c r="L48" s="131"/>
      <c r="M48" s="50" t="s">
        <v>4665</v>
      </c>
      <c r="N48" s="51">
        <v>-7.2725651E7</v>
      </c>
      <c r="O48" s="51">
        <v>1.12773655E8</v>
      </c>
      <c r="P48" s="132" t="s">
        <v>4666</v>
      </c>
    </row>
    <row r="49">
      <c r="A49" s="50" t="s">
        <v>2108</v>
      </c>
      <c r="C49" s="50" t="s">
        <v>4546</v>
      </c>
      <c r="D49" s="50" t="s">
        <v>4546</v>
      </c>
      <c r="F49" s="50" t="s">
        <v>21</v>
      </c>
      <c r="G49" s="131"/>
      <c r="H49" s="131"/>
      <c r="I49" s="50" t="s">
        <v>59</v>
      </c>
      <c r="J49" s="50" t="s">
        <v>66</v>
      </c>
      <c r="K49" s="131"/>
      <c r="L49" s="131"/>
      <c r="M49" s="50" t="s">
        <v>4613</v>
      </c>
      <c r="N49" s="131"/>
      <c r="O49" s="131"/>
      <c r="P49" s="132" t="s">
        <v>4667</v>
      </c>
    </row>
    <row r="50">
      <c r="A50" s="50" t="s">
        <v>2559</v>
      </c>
      <c r="C50" s="50" t="s">
        <v>4541</v>
      </c>
      <c r="D50" s="50" t="s">
        <v>4541</v>
      </c>
      <c r="F50" s="50" t="s">
        <v>21</v>
      </c>
      <c r="G50" s="131"/>
      <c r="H50" s="131"/>
      <c r="I50" s="50" t="s">
        <v>59</v>
      </c>
      <c r="J50" s="50" t="s">
        <v>66</v>
      </c>
      <c r="K50" s="131"/>
      <c r="L50" s="131"/>
      <c r="M50" s="50" t="s">
        <v>4668</v>
      </c>
      <c r="N50" s="51">
        <v>-7.2629966E7</v>
      </c>
      <c r="O50" s="51">
        <v>1.127645719E9</v>
      </c>
      <c r="P50" s="132" t="s">
        <v>4669</v>
      </c>
    </row>
    <row r="51">
      <c r="A51" s="50" t="s">
        <v>4670</v>
      </c>
      <c r="C51" s="50" t="s">
        <v>19</v>
      </c>
      <c r="D51" s="50" t="s">
        <v>19</v>
      </c>
      <c r="E51" s="131"/>
      <c r="F51" s="50" t="s">
        <v>21</v>
      </c>
      <c r="G51" s="131"/>
      <c r="H51" s="131"/>
      <c r="I51" s="50" t="s">
        <v>59</v>
      </c>
      <c r="J51" s="50" t="s">
        <v>66</v>
      </c>
      <c r="K51" s="131"/>
      <c r="L51" s="131"/>
      <c r="M51" s="50" t="s">
        <v>4671</v>
      </c>
      <c r="N51" s="51">
        <v>-7.3129104E7</v>
      </c>
      <c r="O51" s="51">
        <v>1.12789429E8</v>
      </c>
      <c r="P51" s="132" t="s">
        <v>4672</v>
      </c>
    </row>
    <row r="52">
      <c r="A52" s="50" t="s">
        <v>1545</v>
      </c>
      <c r="B52" s="50" t="s">
        <v>4673</v>
      </c>
      <c r="C52" s="50" t="s">
        <v>19</v>
      </c>
      <c r="D52" s="50" t="s">
        <v>19</v>
      </c>
      <c r="E52" s="131"/>
      <c r="F52" s="50" t="s">
        <v>21</v>
      </c>
      <c r="G52" s="131"/>
      <c r="H52" s="131"/>
      <c r="I52" s="50" t="s">
        <v>59</v>
      </c>
      <c r="J52" s="50" t="s">
        <v>66</v>
      </c>
      <c r="K52" s="131"/>
      <c r="L52" s="131"/>
      <c r="M52" s="50" t="s">
        <v>4674</v>
      </c>
      <c r="N52" s="51">
        <v>-7.3423267E7</v>
      </c>
      <c r="O52" s="51">
        <v>1.12724097E8</v>
      </c>
      <c r="P52" s="132" t="s">
        <v>4675</v>
      </c>
    </row>
    <row r="53">
      <c r="A53" s="50" t="s">
        <v>4676</v>
      </c>
      <c r="C53" s="50" t="s">
        <v>4546</v>
      </c>
      <c r="D53" s="50" t="s">
        <v>4546</v>
      </c>
      <c r="E53" s="133">
        <v>14.0</v>
      </c>
      <c r="F53" s="50" t="s">
        <v>21</v>
      </c>
      <c r="G53" s="131"/>
      <c r="H53" s="134">
        <v>46207.0</v>
      </c>
      <c r="I53" s="50" t="s">
        <v>59</v>
      </c>
      <c r="J53" s="50" t="s">
        <v>66</v>
      </c>
      <c r="K53" s="131"/>
      <c r="L53" s="131"/>
      <c r="M53" s="50" t="s">
        <v>4613</v>
      </c>
      <c r="N53" s="131"/>
      <c r="O53" s="131"/>
      <c r="P53" s="132" t="s">
        <v>4677</v>
      </c>
    </row>
    <row r="54">
      <c r="A54" s="50" t="s">
        <v>4678</v>
      </c>
      <c r="C54" s="50" t="s">
        <v>4546</v>
      </c>
      <c r="D54" s="50" t="s">
        <v>4546</v>
      </c>
      <c r="F54" s="50" t="s">
        <v>21</v>
      </c>
      <c r="G54" s="131"/>
      <c r="H54" s="131"/>
      <c r="I54" s="50" t="s">
        <v>59</v>
      </c>
      <c r="J54" s="50" t="s">
        <v>66</v>
      </c>
      <c r="K54" s="131"/>
      <c r="L54" s="131"/>
      <c r="M54" s="50" t="s">
        <v>4679</v>
      </c>
      <c r="N54" s="51">
        <v>-7.2848579E7</v>
      </c>
      <c r="O54" s="51">
        <v>1.12735288E8</v>
      </c>
      <c r="P54" s="132" t="s">
        <v>4680</v>
      </c>
    </row>
    <row r="55">
      <c r="A55" s="50" t="s">
        <v>1863</v>
      </c>
      <c r="C55" s="50" t="s">
        <v>19</v>
      </c>
      <c r="D55" s="50" t="s">
        <v>19</v>
      </c>
      <c r="E55" s="131"/>
      <c r="F55" s="50" t="s">
        <v>21</v>
      </c>
      <c r="G55" s="131"/>
      <c r="H55" s="131"/>
      <c r="I55" s="50" t="s">
        <v>59</v>
      </c>
      <c r="J55" s="50" t="s">
        <v>66</v>
      </c>
      <c r="K55" s="131"/>
      <c r="L55" s="131"/>
      <c r="M55" s="50" t="s">
        <v>4681</v>
      </c>
      <c r="N55" s="51">
        <v>-7.3204521E7</v>
      </c>
      <c r="O55" s="51">
        <v>1.127806905E9</v>
      </c>
      <c r="P55" s="132" t="s">
        <v>4682</v>
      </c>
    </row>
    <row r="56">
      <c r="A56" s="50" t="s">
        <v>1272</v>
      </c>
      <c r="C56" s="50" t="s">
        <v>19</v>
      </c>
      <c r="D56" s="50" t="s">
        <v>19</v>
      </c>
      <c r="E56" s="131"/>
      <c r="F56" s="50" t="s">
        <v>21</v>
      </c>
      <c r="G56" s="131"/>
      <c r="H56" s="131"/>
      <c r="I56" s="50" t="s">
        <v>59</v>
      </c>
      <c r="J56" s="50" t="s">
        <v>66</v>
      </c>
      <c r="K56" s="131"/>
      <c r="L56" s="131"/>
      <c r="M56" s="50" t="s">
        <v>4683</v>
      </c>
      <c r="N56" s="51">
        <v>-7.2800527E7</v>
      </c>
      <c r="O56" s="51">
        <v>1.127814105E9</v>
      </c>
      <c r="P56" s="132" t="s">
        <v>4684</v>
      </c>
    </row>
    <row r="57">
      <c r="A57" s="50" t="s">
        <v>1646</v>
      </c>
      <c r="C57" s="50" t="s">
        <v>19</v>
      </c>
      <c r="D57" s="50" t="s">
        <v>19</v>
      </c>
      <c r="E57" s="131"/>
      <c r="F57" s="50" t="s">
        <v>21</v>
      </c>
      <c r="G57" s="131"/>
      <c r="H57" s="131"/>
      <c r="I57" s="50" t="s">
        <v>59</v>
      </c>
      <c r="J57" s="50" t="s">
        <v>66</v>
      </c>
      <c r="K57" s="131"/>
      <c r="L57" s="131"/>
      <c r="M57" s="50" t="s">
        <v>4685</v>
      </c>
      <c r="N57" s="51">
        <v>-7.2873325E7</v>
      </c>
      <c r="O57" s="51">
        <v>1.12655854E8</v>
      </c>
      <c r="P57" s="132" t="s">
        <v>4686</v>
      </c>
    </row>
    <row r="58">
      <c r="A58" s="50" t="s">
        <v>2027</v>
      </c>
      <c r="B58" s="131"/>
      <c r="C58" s="50" t="s">
        <v>19</v>
      </c>
      <c r="D58" s="50" t="s">
        <v>19</v>
      </c>
      <c r="E58" s="131"/>
      <c r="F58" s="50" t="s">
        <v>21</v>
      </c>
      <c r="G58" s="131"/>
      <c r="H58" s="131"/>
      <c r="I58" s="50" t="s">
        <v>59</v>
      </c>
      <c r="J58" s="50" t="s">
        <v>66</v>
      </c>
      <c r="K58" s="131"/>
      <c r="L58" s="131"/>
      <c r="M58" s="50" t="s">
        <v>4687</v>
      </c>
      <c r="N58" s="51">
        <v>-7.2745876E7</v>
      </c>
      <c r="O58" s="51">
        <v>1.127500753E9</v>
      </c>
      <c r="P58" s="132" t="s">
        <v>4688</v>
      </c>
    </row>
    <row r="59">
      <c r="A59" s="50" t="s">
        <v>4689</v>
      </c>
      <c r="C59" s="50" t="s">
        <v>4546</v>
      </c>
      <c r="D59" s="50" t="s">
        <v>4546</v>
      </c>
      <c r="F59" s="50" t="s">
        <v>21</v>
      </c>
      <c r="G59" s="131"/>
      <c r="H59" s="131"/>
      <c r="I59" s="50" t="s">
        <v>59</v>
      </c>
      <c r="J59" s="50" t="s">
        <v>66</v>
      </c>
      <c r="K59" s="131"/>
      <c r="L59" s="131"/>
      <c r="M59" s="50" t="s">
        <v>4690</v>
      </c>
      <c r="N59" s="51">
        <v>-7.2644572E7</v>
      </c>
      <c r="O59" s="51">
        <v>1.127416518E9</v>
      </c>
      <c r="P59" s="132" t="s">
        <v>4691</v>
      </c>
    </row>
    <row r="60">
      <c r="A60" s="50" t="s">
        <v>3230</v>
      </c>
      <c r="C60" s="50" t="s">
        <v>4546</v>
      </c>
      <c r="D60" s="50" t="s">
        <v>4546</v>
      </c>
      <c r="F60" s="50" t="s">
        <v>21</v>
      </c>
      <c r="G60" s="131"/>
      <c r="H60" s="131"/>
      <c r="I60" s="50" t="s">
        <v>59</v>
      </c>
      <c r="J60" s="50" t="s">
        <v>66</v>
      </c>
      <c r="K60" s="131"/>
      <c r="L60" s="131"/>
      <c r="M60" s="50" t="s">
        <v>4692</v>
      </c>
      <c r="N60" s="51">
        <v>-7.2755699E7</v>
      </c>
      <c r="O60" s="51">
        <v>1.127460441E9</v>
      </c>
      <c r="P60" s="132" t="s">
        <v>4693</v>
      </c>
    </row>
    <row r="61">
      <c r="A61" s="50" t="s">
        <v>4694</v>
      </c>
      <c r="C61" s="50" t="s">
        <v>4546</v>
      </c>
      <c r="D61" s="50" t="s">
        <v>4546</v>
      </c>
      <c r="F61" s="50" t="s">
        <v>21</v>
      </c>
      <c r="G61" s="131"/>
      <c r="H61" s="131"/>
      <c r="I61" s="50" t="s">
        <v>59</v>
      </c>
      <c r="J61" s="50" t="s">
        <v>66</v>
      </c>
      <c r="K61" s="131"/>
      <c r="L61" s="131"/>
      <c r="M61" s="50" t="s">
        <v>4613</v>
      </c>
      <c r="N61" s="131"/>
      <c r="O61" s="131"/>
      <c r="P61" s="132" t="s">
        <v>4695</v>
      </c>
    </row>
    <row r="62">
      <c r="A62" s="50" t="s">
        <v>4696</v>
      </c>
      <c r="C62" s="50" t="s">
        <v>4546</v>
      </c>
      <c r="D62" s="50" t="s">
        <v>4546</v>
      </c>
      <c r="F62" s="50" t="s">
        <v>21</v>
      </c>
      <c r="G62" s="131"/>
      <c r="H62" s="131"/>
      <c r="I62" s="50" t="s">
        <v>59</v>
      </c>
      <c r="J62" s="50" t="s">
        <v>66</v>
      </c>
      <c r="K62" s="131"/>
      <c r="L62" s="131"/>
      <c r="M62" s="50" t="s">
        <v>4697</v>
      </c>
      <c r="N62" s="51">
        <v>-7.2927885E7</v>
      </c>
      <c r="O62" s="51">
        <v>1.127342035E9</v>
      </c>
      <c r="P62" s="132" t="s">
        <v>4698</v>
      </c>
    </row>
    <row r="63">
      <c r="A63" s="50" t="s">
        <v>3617</v>
      </c>
      <c r="C63" s="50" t="s">
        <v>19</v>
      </c>
      <c r="D63" s="50" t="s">
        <v>19</v>
      </c>
      <c r="E63" s="131"/>
      <c r="F63" s="50" t="s">
        <v>21</v>
      </c>
      <c r="G63" s="131"/>
      <c r="H63" s="131"/>
      <c r="I63" s="50" t="s">
        <v>59</v>
      </c>
      <c r="J63" s="50" t="s">
        <v>66</v>
      </c>
      <c r="K63" s="131"/>
      <c r="L63" s="131"/>
      <c r="M63" s="50" t="s">
        <v>4613</v>
      </c>
      <c r="N63" s="131"/>
      <c r="O63" s="131"/>
      <c r="P63" s="132" t="s">
        <v>4699</v>
      </c>
    </row>
    <row r="64">
      <c r="A64" s="50" t="s">
        <v>2234</v>
      </c>
      <c r="C64" s="50" t="s">
        <v>4546</v>
      </c>
      <c r="D64" s="50" t="s">
        <v>4546</v>
      </c>
      <c r="F64" s="50" t="s">
        <v>21</v>
      </c>
      <c r="G64" s="131"/>
      <c r="H64" s="131"/>
      <c r="I64" s="50" t="s">
        <v>59</v>
      </c>
      <c r="J64" s="50" t="s">
        <v>66</v>
      </c>
      <c r="K64" s="131"/>
      <c r="L64" s="131"/>
      <c r="M64" s="50" t="s">
        <v>4700</v>
      </c>
      <c r="N64" s="51">
        <v>-7291607.0</v>
      </c>
      <c r="O64" s="51">
        <v>1.127296129E9</v>
      </c>
      <c r="P64" s="132" t="s">
        <v>4701</v>
      </c>
    </row>
    <row r="65">
      <c r="A65" s="50" t="s">
        <v>4702</v>
      </c>
      <c r="C65" s="50" t="s">
        <v>4546</v>
      </c>
      <c r="D65" s="50" t="s">
        <v>4546</v>
      </c>
      <c r="F65" s="50" t="s">
        <v>21</v>
      </c>
      <c r="G65" s="131"/>
      <c r="H65" s="131"/>
      <c r="I65" s="50" t="s">
        <v>59</v>
      </c>
      <c r="J65" s="50" t="s">
        <v>66</v>
      </c>
      <c r="K65" s="131"/>
      <c r="L65" s="131"/>
      <c r="M65" s="50" t="s">
        <v>4703</v>
      </c>
      <c r="N65" s="51">
        <v>-7.2860678E7</v>
      </c>
      <c r="O65" s="51">
        <v>1.127345952E9</v>
      </c>
      <c r="P65" s="132" t="s">
        <v>4704</v>
      </c>
    </row>
    <row r="66">
      <c r="A66" s="50" t="s">
        <v>4705</v>
      </c>
      <c r="C66" s="50" t="s">
        <v>4546</v>
      </c>
      <c r="D66" s="50" t="s">
        <v>4546</v>
      </c>
      <c r="F66" s="50" t="s">
        <v>21</v>
      </c>
      <c r="G66" s="131"/>
      <c r="H66" s="131"/>
      <c r="I66" s="50" t="s">
        <v>59</v>
      </c>
      <c r="J66" s="50" t="s">
        <v>66</v>
      </c>
      <c r="K66" s="131"/>
      <c r="L66" s="131"/>
      <c r="M66" s="50" t="s">
        <v>4706</v>
      </c>
      <c r="N66" s="51">
        <v>-7.2834071E7</v>
      </c>
      <c r="O66" s="51">
        <v>1.127463577E9</v>
      </c>
      <c r="P66" s="132" t="s">
        <v>4707</v>
      </c>
    </row>
    <row r="67">
      <c r="A67" s="50" t="s">
        <v>4708</v>
      </c>
      <c r="C67" s="50" t="s">
        <v>4546</v>
      </c>
      <c r="D67" s="50" t="s">
        <v>4546</v>
      </c>
      <c r="F67" s="50" t="s">
        <v>21</v>
      </c>
      <c r="G67" s="131"/>
      <c r="H67" s="131"/>
      <c r="I67" s="50" t="s">
        <v>59</v>
      </c>
      <c r="J67" s="50" t="s">
        <v>66</v>
      </c>
      <c r="K67" s="131"/>
      <c r="L67" s="131"/>
      <c r="M67" s="50" t="s">
        <v>4709</v>
      </c>
      <c r="N67" s="51">
        <v>-7289975.0</v>
      </c>
      <c r="O67" s="51">
        <v>1.127882303E9</v>
      </c>
      <c r="P67" s="132" t="s">
        <v>4710</v>
      </c>
    </row>
    <row r="68">
      <c r="A68" s="50" t="s">
        <v>4711</v>
      </c>
      <c r="C68" s="50" t="s">
        <v>4546</v>
      </c>
      <c r="D68" s="50" t="s">
        <v>4546</v>
      </c>
      <c r="F68" s="50" t="s">
        <v>21</v>
      </c>
      <c r="G68" s="131"/>
      <c r="H68" s="131"/>
      <c r="I68" s="50" t="s">
        <v>59</v>
      </c>
      <c r="J68" s="50" t="s">
        <v>66</v>
      </c>
      <c r="K68" s="131"/>
      <c r="L68" s="131"/>
      <c r="M68" s="50" t="s">
        <v>4712</v>
      </c>
      <c r="N68" s="51">
        <v>-7.2722449E7</v>
      </c>
      <c r="O68" s="51">
        <v>1.127475207E9</v>
      </c>
      <c r="P68" s="132" t="s">
        <v>4713</v>
      </c>
    </row>
    <row r="69">
      <c r="A69" s="50" t="s">
        <v>4714</v>
      </c>
      <c r="C69" s="50" t="s">
        <v>4546</v>
      </c>
      <c r="D69" s="50" t="s">
        <v>4546</v>
      </c>
      <c r="F69" s="50" t="s">
        <v>21</v>
      </c>
      <c r="G69" s="131"/>
      <c r="H69" s="131"/>
      <c r="I69" s="50" t="s">
        <v>59</v>
      </c>
      <c r="J69" s="50" t="s">
        <v>66</v>
      </c>
      <c r="K69" s="131"/>
      <c r="L69" s="131"/>
      <c r="M69" s="50" t="s">
        <v>4715</v>
      </c>
      <c r="N69" s="51">
        <v>-7.2673827E7</v>
      </c>
      <c r="O69" s="51">
        <v>1.127712047E9</v>
      </c>
      <c r="P69" s="132" t="s">
        <v>4716</v>
      </c>
    </row>
    <row r="70">
      <c r="A70" s="50" t="s">
        <v>4717</v>
      </c>
      <c r="C70" s="50" t="s">
        <v>4546</v>
      </c>
      <c r="D70" s="50" t="s">
        <v>4546</v>
      </c>
      <c r="F70" s="50" t="s">
        <v>21</v>
      </c>
      <c r="G70" s="131"/>
      <c r="H70" s="131"/>
      <c r="I70" s="50" t="s">
        <v>59</v>
      </c>
      <c r="J70" s="50" t="s">
        <v>66</v>
      </c>
      <c r="K70" s="131"/>
      <c r="L70" s="131"/>
      <c r="M70" s="50" t="s">
        <v>4613</v>
      </c>
      <c r="N70" s="131"/>
      <c r="O70" s="131"/>
      <c r="P70" s="132" t="s">
        <v>4718</v>
      </c>
    </row>
    <row r="71">
      <c r="A71" s="50" t="s">
        <v>2729</v>
      </c>
      <c r="C71" s="50" t="s">
        <v>4546</v>
      </c>
      <c r="D71" s="50" t="s">
        <v>4546</v>
      </c>
      <c r="F71" s="50" t="s">
        <v>21</v>
      </c>
      <c r="G71" s="131"/>
      <c r="H71" s="131"/>
      <c r="I71" s="50" t="s">
        <v>59</v>
      </c>
      <c r="J71" s="50" t="s">
        <v>66</v>
      </c>
      <c r="K71" s="131"/>
      <c r="L71" s="131"/>
      <c r="M71" s="50" t="s">
        <v>4719</v>
      </c>
      <c r="N71" s="51">
        <v>-7290993.0</v>
      </c>
      <c r="O71" s="51">
        <v>1.127350497E9</v>
      </c>
      <c r="P71" s="132" t="s">
        <v>4720</v>
      </c>
    </row>
    <row r="72">
      <c r="A72" s="50" t="s">
        <v>1108</v>
      </c>
      <c r="C72" s="50" t="s">
        <v>4546</v>
      </c>
      <c r="D72" s="50" t="s">
        <v>4546</v>
      </c>
      <c r="F72" s="50" t="s">
        <v>21</v>
      </c>
      <c r="G72" s="131"/>
      <c r="H72" s="131"/>
      <c r="I72" s="50" t="s">
        <v>59</v>
      </c>
      <c r="J72" s="50" t="s">
        <v>66</v>
      </c>
      <c r="K72" s="131"/>
      <c r="L72" s="131"/>
      <c r="M72" s="50" t="s">
        <v>4721</v>
      </c>
      <c r="N72" s="51">
        <v>-7.2914316E7</v>
      </c>
      <c r="O72" s="51">
        <v>1.126856682E9</v>
      </c>
      <c r="P72" s="132" t="s">
        <v>4722</v>
      </c>
    </row>
    <row r="73">
      <c r="A73" s="50" t="s">
        <v>472</v>
      </c>
      <c r="C73" s="50" t="s">
        <v>4546</v>
      </c>
      <c r="D73" s="50" t="s">
        <v>4546</v>
      </c>
      <c r="F73" s="50" t="s">
        <v>21</v>
      </c>
      <c r="G73" s="131"/>
      <c r="H73" s="131"/>
      <c r="I73" s="50" t="s">
        <v>59</v>
      </c>
      <c r="J73" s="50" t="s">
        <v>66</v>
      </c>
      <c r="K73" s="131"/>
      <c r="L73" s="131"/>
      <c r="M73" s="50" t="s">
        <v>4723</v>
      </c>
      <c r="N73" s="51">
        <v>-7.2891827E7</v>
      </c>
      <c r="O73" s="51">
        <v>1.127370669E9</v>
      </c>
      <c r="P73" s="132" t="s">
        <v>4724</v>
      </c>
    </row>
    <row r="74">
      <c r="A74" s="50" t="s">
        <v>4725</v>
      </c>
      <c r="C74" s="50" t="s">
        <v>19</v>
      </c>
      <c r="D74" s="50" t="s">
        <v>19</v>
      </c>
      <c r="E74" s="131"/>
      <c r="F74" s="50" t="s">
        <v>21</v>
      </c>
      <c r="G74" s="131"/>
      <c r="H74" s="131"/>
      <c r="I74" s="50" t="s">
        <v>59</v>
      </c>
      <c r="J74" s="50" t="s">
        <v>66</v>
      </c>
      <c r="K74" s="131"/>
      <c r="L74" s="131"/>
      <c r="M74" s="50" t="s">
        <v>4726</v>
      </c>
      <c r="N74" s="51">
        <v>-7.2704953E7</v>
      </c>
      <c r="O74" s="51">
        <v>1.127609238E9</v>
      </c>
      <c r="P74" s="132" t="s">
        <v>4727</v>
      </c>
    </row>
    <row r="75">
      <c r="A75" s="50" t="s">
        <v>2651</v>
      </c>
      <c r="C75" s="50" t="s">
        <v>4546</v>
      </c>
      <c r="D75" s="50" t="s">
        <v>4546</v>
      </c>
      <c r="F75" s="50" t="s">
        <v>21</v>
      </c>
      <c r="G75" s="131"/>
      <c r="H75" s="131"/>
      <c r="I75" s="50" t="s">
        <v>59</v>
      </c>
      <c r="J75" s="50" t="s">
        <v>66</v>
      </c>
      <c r="K75" s="131"/>
      <c r="L75" s="131"/>
      <c r="M75" s="50" t="s">
        <v>4728</v>
      </c>
      <c r="N75" s="51">
        <v>-7288321.0</v>
      </c>
      <c r="O75" s="51">
        <v>1.127088618E9</v>
      </c>
      <c r="P75" s="132" t="s">
        <v>4729</v>
      </c>
    </row>
    <row r="76">
      <c r="A76" s="50" t="s">
        <v>625</v>
      </c>
      <c r="C76" s="50" t="s">
        <v>4546</v>
      </c>
      <c r="D76" s="50" t="s">
        <v>4546</v>
      </c>
      <c r="F76" s="50" t="s">
        <v>21</v>
      </c>
      <c r="G76" s="131"/>
      <c r="H76" s="131"/>
      <c r="I76" s="50" t="s">
        <v>59</v>
      </c>
      <c r="J76" s="50" t="s">
        <v>66</v>
      </c>
      <c r="K76" s="131"/>
      <c r="L76" s="131"/>
      <c r="M76" s="50" t="s">
        <v>4730</v>
      </c>
      <c r="N76" s="51">
        <v>-7.2748483E7</v>
      </c>
      <c r="O76" s="51">
        <v>1.126598294E9</v>
      </c>
      <c r="P76" s="132" t="s">
        <v>4731</v>
      </c>
    </row>
    <row r="77">
      <c r="A77" s="50" t="s">
        <v>2374</v>
      </c>
      <c r="C77" s="50" t="s">
        <v>19</v>
      </c>
      <c r="D77" s="50" t="s">
        <v>19</v>
      </c>
      <c r="E77" s="131"/>
      <c r="F77" s="50" t="s">
        <v>21</v>
      </c>
      <c r="G77" s="131"/>
      <c r="H77" s="131"/>
      <c r="I77" s="50" t="s">
        <v>59</v>
      </c>
      <c r="J77" s="50" t="s">
        <v>66</v>
      </c>
      <c r="K77" s="131"/>
      <c r="L77" s="131"/>
      <c r="M77" s="50" t="s">
        <v>4613</v>
      </c>
      <c r="N77" s="131"/>
      <c r="O77" s="131"/>
      <c r="P77" s="132" t="s">
        <v>4732</v>
      </c>
    </row>
    <row r="78">
      <c r="A78" s="50" t="s">
        <v>4733</v>
      </c>
      <c r="C78" s="50" t="s">
        <v>4546</v>
      </c>
      <c r="D78" s="50" t="s">
        <v>4546</v>
      </c>
      <c r="F78" s="50" t="s">
        <v>21</v>
      </c>
      <c r="G78" s="131"/>
      <c r="H78" s="131"/>
      <c r="I78" s="50" t="s">
        <v>59</v>
      </c>
      <c r="J78" s="50" t="s">
        <v>66</v>
      </c>
      <c r="K78" s="131"/>
      <c r="L78" s="131"/>
      <c r="M78" s="50" t="s">
        <v>4734</v>
      </c>
      <c r="N78" s="51">
        <v>-7.2890628E7</v>
      </c>
      <c r="O78" s="51">
        <v>1.127345523E9</v>
      </c>
      <c r="P78" s="132" t="s">
        <v>4735</v>
      </c>
    </row>
    <row r="79">
      <c r="A79" s="50" t="s">
        <v>4736</v>
      </c>
      <c r="B79" s="131"/>
      <c r="C79" s="50" t="s">
        <v>19</v>
      </c>
      <c r="D79" s="50" t="s">
        <v>19</v>
      </c>
      <c r="E79" s="131"/>
      <c r="F79" s="50" t="s">
        <v>21</v>
      </c>
      <c r="G79" s="131"/>
      <c r="H79" s="131"/>
      <c r="I79" s="50" t="s">
        <v>59</v>
      </c>
      <c r="J79" s="50" t="s">
        <v>66</v>
      </c>
      <c r="K79" s="131"/>
      <c r="L79" s="131"/>
      <c r="M79" s="50" t="s">
        <v>4613</v>
      </c>
      <c r="N79" s="131"/>
      <c r="O79" s="131"/>
      <c r="P79" s="132" t="s">
        <v>4737</v>
      </c>
    </row>
    <row r="80">
      <c r="A80" s="50" t="s">
        <v>4738</v>
      </c>
      <c r="C80" s="50" t="s">
        <v>19</v>
      </c>
      <c r="D80" s="50" t="s">
        <v>19</v>
      </c>
      <c r="E80" s="131"/>
      <c r="F80" s="50" t="s">
        <v>21</v>
      </c>
      <c r="G80" s="131"/>
      <c r="H80" s="131"/>
      <c r="I80" s="50" t="s">
        <v>59</v>
      </c>
      <c r="J80" s="50" t="s">
        <v>66</v>
      </c>
      <c r="K80" s="131"/>
      <c r="L80" s="131"/>
      <c r="M80" s="50" t="s">
        <v>4739</v>
      </c>
      <c r="N80" s="51">
        <v>-7.2900085E7</v>
      </c>
      <c r="O80" s="51">
        <v>1.127770857E9</v>
      </c>
      <c r="P80" s="132" t="s">
        <v>4740</v>
      </c>
    </row>
    <row r="81">
      <c r="A81" s="50" t="s">
        <v>4741</v>
      </c>
      <c r="C81" s="50" t="s">
        <v>19</v>
      </c>
      <c r="D81" s="50" t="s">
        <v>19</v>
      </c>
      <c r="E81" s="131"/>
      <c r="F81" s="50" t="s">
        <v>21</v>
      </c>
      <c r="G81" s="131"/>
      <c r="H81" s="131"/>
      <c r="I81" s="50" t="s">
        <v>59</v>
      </c>
      <c r="J81" s="50" t="s">
        <v>66</v>
      </c>
      <c r="K81" s="131"/>
      <c r="L81" s="131"/>
      <c r="M81" s="50" t="s">
        <v>4742</v>
      </c>
      <c r="N81" s="51">
        <v>-7.2656872E7</v>
      </c>
      <c r="O81" s="51">
        <v>1.127523443E9</v>
      </c>
      <c r="P81" s="132" t="s">
        <v>4743</v>
      </c>
    </row>
    <row r="82">
      <c r="A82" s="50" t="s">
        <v>187</v>
      </c>
      <c r="C82" s="50" t="s">
        <v>19</v>
      </c>
      <c r="D82" s="50" t="s">
        <v>19</v>
      </c>
      <c r="E82" s="131"/>
      <c r="F82" s="50" t="s">
        <v>21</v>
      </c>
      <c r="G82" s="131"/>
      <c r="H82" s="131"/>
      <c r="I82" s="50" t="s">
        <v>59</v>
      </c>
      <c r="J82" s="50" t="s">
        <v>66</v>
      </c>
      <c r="K82" s="131"/>
      <c r="L82" s="131"/>
      <c r="M82" s="50" t="s">
        <v>4744</v>
      </c>
      <c r="N82" s="51">
        <v>-7.2638032E7</v>
      </c>
      <c r="O82" s="51">
        <v>1.127173132E9</v>
      </c>
      <c r="P82" s="132" t="s">
        <v>4745</v>
      </c>
    </row>
    <row r="83">
      <c r="A83" s="50" t="s">
        <v>4746</v>
      </c>
      <c r="C83" s="50" t="s">
        <v>4546</v>
      </c>
      <c r="D83" s="50" t="s">
        <v>4546</v>
      </c>
      <c r="F83" s="50" t="s">
        <v>21</v>
      </c>
      <c r="G83" s="131"/>
      <c r="H83" s="131"/>
      <c r="I83" s="50" t="s">
        <v>59</v>
      </c>
      <c r="J83" s="50" t="s">
        <v>66</v>
      </c>
      <c r="K83" s="131"/>
      <c r="L83" s="131"/>
      <c r="M83" s="50" t="s">
        <v>4747</v>
      </c>
      <c r="N83" s="51">
        <v>-7.2654984E7</v>
      </c>
      <c r="O83" s="51">
        <v>1.127424313E9</v>
      </c>
      <c r="P83" s="132" t="s">
        <v>4748</v>
      </c>
    </row>
    <row r="84">
      <c r="A84" s="50" t="s">
        <v>4749</v>
      </c>
      <c r="C84" s="50" t="s">
        <v>19</v>
      </c>
      <c r="D84" s="50" t="s">
        <v>19</v>
      </c>
      <c r="E84" s="131"/>
      <c r="F84" s="50" t="s">
        <v>21</v>
      </c>
      <c r="G84" s="131"/>
      <c r="H84" s="131"/>
      <c r="I84" s="50" t="s">
        <v>59</v>
      </c>
      <c r="J84" s="50" t="s">
        <v>66</v>
      </c>
      <c r="K84" s="131"/>
      <c r="L84" s="131"/>
      <c r="M84" s="50" t="s">
        <v>4613</v>
      </c>
      <c r="N84" s="131"/>
      <c r="O84" s="131"/>
      <c r="P84" s="132" t="s">
        <v>4750</v>
      </c>
    </row>
    <row r="85">
      <c r="A85" s="50" t="s">
        <v>807</v>
      </c>
      <c r="C85" s="50" t="s">
        <v>19</v>
      </c>
      <c r="D85" s="50" t="s">
        <v>19</v>
      </c>
      <c r="E85" s="133">
        <v>2.0</v>
      </c>
      <c r="F85" s="50" t="s">
        <v>21</v>
      </c>
      <c r="G85" s="131"/>
      <c r="H85" s="50" t="s">
        <v>314</v>
      </c>
      <c r="I85" s="50" t="s">
        <v>59</v>
      </c>
      <c r="J85" s="50" t="s">
        <v>66</v>
      </c>
      <c r="K85" s="131"/>
      <c r="L85" s="131"/>
      <c r="M85" s="50" t="s">
        <v>4751</v>
      </c>
      <c r="N85" s="51">
        <v>-7.2613916E7</v>
      </c>
      <c r="O85" s="51">
        <v>1.127479164E9</v>
      </c>
      <c r="P85" s="132" t="s">
        <v>4752</v>
      </c>
    </row>
    <row r="86">
      <c r="A86" s="50" t="s">
        <v>4753</v>
      </c>
      <c r="C86" s="50" t="s">
        <v>19</v>
      </c>
      <c r="D86" s="50" t="s">
        <v>19</v>
      </c>
      <c r="E86" s="131"/>
      <c r="F86" s="50" t="s">
        <v>21</v>
      </c>
      <c r="G86" s="131"/>
      <c r="H86" s="131"/>
      <c r="I86" s="50" t="s">
        <v>59</v>
      </c>
      <c r="J86" s="50" t="s">
        <v>66</v>
      </c>
      <c r="K86" s="131"/>
      <c r="L86" s="131"/>
      <c r="M86" s="50" t="s">
        <v>4754</v>
      </c>
      <c r="N86" s="51">
        <v>-7.2639248E7</v>
      </c>
      <c r="O86" s="51">
        <v>1.12742266E8</v>
      </c>
      <c r="P86" s="132" t="s">
        <v>4755</v>
      </c>
    </row>
    <row r="87">
      <c r="A87" s="50" t="s">
        <v>4756</v>
      </c>
      <c r="B87" s="50" t="s">
        <v>4757</v>
      </c>
      <c r="C87" s="50" t="s">
        <v>4541</v>
      </c>
      <c r="D87" s="50" t="s">
        <v>4541</v>
      </c>
      <c r="F87" s="50" t="s">
        <v>21</v>
      </c>
      <c r="G87" s="131"/>
      <c r="H87" s="131"/>
      <c r="I87" s="50" t="s">
        <v>59</v>
      </c>
      <c r="J87" s="50" t="s">
        <v>66</v>
      </c>
      <c r="K87" s="131"/>
      <c r="L87" s="131"/>
      <c r="M87" s="50" t="s">
        <v>4758</v>
      </c>
      <c r="N87" s="51">
        <v>-7.3055842E7</v>
      </c>
      <c r="O87" s="51">
        <v>1.12780706E8</v>
      </c>
      <c r="P87" s="132" t="s">
        <v>4759</v>
      </c>
    </row>
    <row r="88">
      <c r="A88" s="50" t="s">
        <v>4760</v>
      </c>
      <c r="C88" s="50" t="s">
        <v>19</v>
      </c>
      <c r="D88" s="50" t="s">
        <v>19</v>
      </c>
      <c r="E88" s="131"/>
      <c r="F88" s="50" t="s">
        <v>21</v>
      </c>
      <c r="G88" s="131"/>
      <c r="H88" s="131"/>
      <c r="I88" s="50" t="s">
        <v>59</v>
      </c>
      <c r="J88" s="50" t="s">
        <v>66</v>
      </c>
      <c r="K88" s="131"/>
      <c r="L88" s="131"/>
      <c r="M88" s="50" t="s">
        <v>4761</v>
      </c>
      <c r="N88" s="51">
        <v>-7.2618041E7</v>
      </c>
      <c r="O88" s="51">
        <v>1.127503141E9</v>
      </c>
      <c r="P88" s="132" t="s">
        <v>4762</v>
      </c>
    </row>
    <row r="89">
      <c r="A89" s="50" t="s">
        <v>1678</v>
      </c>
      <c r="B89" s="50" t="s">
        <v>4763</v>
      </c>
      <c r="C89" s="50" t="s">
        <v>19</v>
      </c>
      <c r="D89" s="50" t="s">
        <v>19</v>
      </c>
      <c r="E89" s="131"/>
      <c r="F89" s="50" t="s">
        <v>21</v>
      </c>
      <c r="G89" s="131"/>
      <c r="H89" s="131"/>
      <c r="I89" s="50" t="s">
        <v>59</v>
      </c>
      <c r="J89" s="50" t="s">
        <v>66</v>
      </c>
      <c r="K89" s="131"/>
      <c r="L89" s="131"/>
      <c r="M89" s="50" t="s">
        <v>4764</v>
      </c>
      <c r="N89" s="51">
        <v>-7.2702897E7</v>
      </c>
      <c r="O89" s="51">
        <v>1.127986384E9</v>
      </c>
      <c r="P89" s="132" t="s">
        <v>4765</v>
      </c>
    </row>
    <row r="90">
      <c r="A90" s="50" t="s">
        <v>4766</v>
      </c>
      <c r="C90" s="50" t="s">
        <v>4546</v>
      </c>
      <c r="D90" s="50" t="s">
        <v>4546</v>
      </c>
      <c r="F90" s="50" t="s">
        <v>21</v>
      </c>
      <c r="G90" s="131"/>
      <c r="H90" s="131"/>
      <c r="I90" s="50" t="s">
        <v>59</v>
      </c>
      <c r="J90" s="50" t="s">
        <v>66</v>
      </c>
      <c r="K90" s="131"/>
      <c r="L90" s="131"/>
      <c r="M90" s="50" t="s">
        <v>4613</v>
      </c>
      <c r="N90" s="131"/>
      <c r="O90" s="131"/>
      <c r="P90" s="132" t="s">
        <v>4767</v>
      </c>
    </row>
    <row r="91">
      <c r="A91" s="50" t="s">
        <v>4768</v>
      </c>
      <c r="C91" s="50" t="s">
        <v>4546</v>
      </c>
      <c r="D91" s="50" t="s">
        <v>4546</v>
      </c>
      <c r="F91" s="50" t="s">
        <v>21</v>
      </c>
      <c r="G91" s="131"/>
      <c r="H91" s="131"/>
      <c r="I91" s="50" t="s">
        <v>59</v>
      </c>
      <c r="J91" s="50" t="s">
        <v>66</v>
      </c>
      <c r="K91" s="131"/>
      <c r="L91" s="131"/>
      <c r="M91" s="50" t="s">
        <v>4769</v>
      </c>
      <c r="N91" s="51">
        <v>-7.2651675E7</v>
      </c>
      <c r="O91" s="51">
        <v>1.127426011E9</v>
      </c>
      <c r="P91" s="132" t="s">
        <v>4770</v>
      </c>
    </row>
    <row r="92">
      <c r="A92" s="50" t="s">
        <v>4771</v>
      </c>
      <c r="C92" s="50" t="s">
        <v>19</v>
      </c>
      <c r="D92" s="50" t="s">
        <v>19</v>
      </c>
      <c r="E92" s="131"/>
      <c r="F92" s="50" t="s">
        <v>21</v>
      </c>
      <c r="G92" s="131"/>
      <c r="H92" s="131"/>
      <c r="I92" s="50" t="s">
        <v>59</v>
      </c>
      <c r="J92" s="50" t="s">
        <v>66</v>
      </c>
      <c r="K92" s="131"/>
      <c r="L92" s="131"/>
      <c r="M92" s="50" t="s">
        <v>4772</v>
      </c>
      <c r="N92" s="51">
        <v>-7.2736181E7</v>
      </c>
      <c r="O92" s="51">
        <v>1.127505119E9</v>
      </c>
      <c r="P92" s="132" t="s">
        <v>4773</v>
      </c>
    </row>
    <row r="93">
      <c r="A93" s="50" t="s">
        <v>4774</v>
      </c>
      <c r="B93" s="131"/>
      <c r="C93" s="50" t="s">
        <v>4546</v>
      </c>
      <c r="D93" s="50" t="s">
        <v>4546</v>
      </c>
      <c r="F93" s="50" t="s">
        <v>21</v>
      </c>
      <c r="G93" s="131"/>
      <c r="H93" s="131"/>
      <c r="I93" s="50" t="s">
        <v>59</v>
      </c>
      <c r="J93" s="50" t="s">
        <v>66</v>
      </c>
      <c r="K93" s="131"/>
      <c r="L93" s="131"/>
      <c r="M93" s="50" t="s">
        <v>4775</v>
      </c>
      <c r="N93" s="51">
        <v>-7308779.0</v>
      </c>
      <c r="O93" s="51">
        <v>1.12721091E8</v>
      </c>
      <c r="P93" s="132" t="s">
        <v>4776</v>
      </c>
    </row>
    <row r="94">
      <c r="A94" s="50" t="s">
        <v>4777</v>
      </c>
      <c r="C94" s="50" t="s">
        <v>4546</v>
      </c>
      <c r="D94" s="50" t="s">
        <v>4546</v>
      </c>
      <c r="F94" s="50" t="s">
        <v>21</v>
      </c>
      <c r="G94" s="131"/>
      <c r="H94" s="131"/>
      <c r="I94" s="50" t="s">
        <v>59</v>
      </c>
      <c r="J94" s="50" t="s">
        <v>66</v>
      </c>
      <c r="K94" s="131"/>
      <c r="L94" s="131"/>
      <c r="M94" s="50" t="s">
        <v>4778</v>
      </c>
      <c r="N94" s="51">
        <v>-732156.0</v>
      </c>
      <c r="O94" s="51">
        <v>1.127462699E9</v>
      </c>
      <c r="P94" s="132" t="s">
        <v>4779</v>
      </c>
    </row>
    <row r="95">
      <c r="A95" s="50" t="s">
        <v>4780</v>
      </c>
      <c r="C95" s="50" t="s">
        <v>4546</v>
      </c>
      <c r="D95" s="50" t="s">
        <v>4546</v>
      </c>
      <c r="F95" s="50" t="s">
        <v>21</v>
      </c>
      <c r="G95" s="131"/>
      <c r="H95" s="131"/>
      <c r="I95" s="50" t="s">
        <v>59</v>
      </c>
      <c r="J95" s="50" t="s">
        <v>66</v>
      </c>
      <c r="K95" s="131"/>
      <c r="L95" s="131"/>
      <c r="M95" s="50" t="s">
        <v>4613</v>
      </c>
      <c r="N95" s="131"/>
      <c r="O95" s="131"/>
      <c r="P95" s="132" t="s">
        <v>4781</v>
      </c>
    </row>
    <row r="96">
      <c r="A96" s="50" t="s">
        <v>2896</v>
      </c>
      <c r="B96" s="131"/>
      <c r="C96" s="50" t="s">
        <v>19</v>
      </c>
      <c r="D96" s="50" t="s">
        <v>19</v>
      </c>
      <c r="E96" s="131"/>
      <c r="F96" s="50" t="s">
        <v>21</v>
      </c>
      <c r="G96" s="131"/>
      <c r="H96" s="131"/>
      <c r="I96" s="50" t="s">
        <v>59</v>
      </c>
      <c r="J96" s="50" t="s">
        <v>66</v>
      </c>
      <c r="K96" s="131"/>
      <c r="L96" s="131"/>
      <c r="M96" s="50" t="s">
        <v>4782</v>
      </c>
      <c r="N96" s="51">
        <v>-7.2945429E7</v>
      </c>
      <c r="O96" s="51">
        <v>1.12768385E8</v>
      </c>
      <c r="P96" s="132" t="s">
        <v>4783</v>
      </c>
    </row>
    <row r="97">
      <c r="A97" s="50" t="s">
        <v>4784</v>
      </c>
      <c r="C97" s="50" t="s">
        <v>19</v>
      </c>
      <c r="D97" s="50" t="s">
        <v>19</v>
      </c>
      <c r="E97" s="131"/>
      <c r="F97" s="50" t="s">
        <v>21</v>
      </c>
      <c r="G97" s="131"/>
      <c r="H97" s="131"/>
      <c r="I97" s="50" t="s">
        <v>59</v>
      </c>
      <c r="J97" s="50" t="s">
        <v>66</v>
      </c>
      <c r="K97" s="131"/>
      <c r="L97" s="131"/>
      <c r="M97" s="50" t="s">
        <v>4785</v>
      </c>
      <c r="N97" s="51">
        <v>-7.2590613E7</v>
      </c>
      <c r="O97" s="51">
        <v>1.127821549E9</v>
      </c>
      <c r="P97" s="132" t="s">
        <v>4786</v>
      </c>
    </row>
    <row r="98">
      <c r="A98" s="50" t="s">
        <v>3613</v>
      </c>
      <c r="C98" s="50" t="s">
        <v>19</v>
      </c>
      <c r="D98" s="50" t="s">
        <v>19</v>
      </c>
      <c r="E98" s="131"/>
      <c r="F98" s="50" t="s">
        <v>21</v>
      </c>
      <c r="G98" s="131"/>
      <c r="H98" s="131"/>
      <c r="I98" s="50" t="s">
        <v>59</v>
      </c>
      <c r="J98" s="50" t="s">
        <v>66</v>
      </c>
      <c r="K98" s="131"/>
      <c r="L98" s="131"/>
      <c r="M98" s="50" t="s">
        <v>4787</v>
      </c>
      <c r="N98" s="51">
        <v>-7.2592726E7</v>
      </c>
      <c r="O98" s="51">
        <v>1.127497086E9</v>
      </c>
      <c r="P98" s="132" t="s">
        <v>4788</v>
      </c>
    </row>
    <row r="99">
      <c r="A99" s="50" t="s">
        <v>4789</v>
      </c>
      <c r="C99" s="50" t="s">
        <v>19</v>
      </c>
      <c r="D99" s="50" t="s">
        <v>19</v>
      </c>
      <c r="E99" s="131"/>
      <c r="F99" s="50" t="s">
        <v>21</v>
      </c>
      <c r="G99" s="131"/>
      <c r="H99" s="131"/>
      <c r="I99" s="50" t="s">
        <v>59</v>
      </c>
      <c r="J99" s="50" t="s">
        <v>66</v>
      </c>
      <c r="K99" s="131"/>
      <c r="L99" s="131"/>
      <c r="M99" s="50" t="s">
        <v>4790</v>
      </c>
      <c r="N99" s="51">
        <v>-7.2885102E7</v>
      </c>
      <c r="O99" s="51">
        <v>1.127005553E9</v>
      </c>
      <c r="P99" s="132" t="s">
        <v>4791</v>
      </c>
    </row>
    <row r="100">
      <c r="A100" s="50" t="s">
        <v>3153</v>
      </c>
      <c r="C100" s="50" t="s">
        <v>4546</v>
      </c>
      <c r="D100" s="50" t="s">
        <v>4546</v>
      </c>
      <c r="F100" s="50" t="s">
        <v>21</v>
      </c>
      <c r="G100" s="131"/>
      <c r="H100" s="131"/>
      <c r="I100" s="50" t="s">
        <v>59</v>
      </c>
      <c r="J100" s="50" t="s">
        <v>66</v>
      </c>
      <c r="K100" s="131"/>
      <c r="L100" s="131"/>
      <c r="M100" s="50" t="s">
        <v>4613</v>
      </c>
      <c r="N100" s="131"/>
      <c r="O100" s="131"/>
      <c r="P100" s="132" t="s">
        <v>4792</v>
      </c>
    </row>
    <row r="101">
      <c r="A101" s="50" t="s">
        <v>4793</v>
      </c>
      <c r="C101" s="50" t="s">
        <v>19</v>
      </c>
      <c r="D101" s="50" t="s">
        <v>19</v>
      </c>
      <c r="E101" s="131"/>
      <c r="F101" s="50" t="s">
        <v>21</v>
      </c>
      <c r="G101" s="131"/>
      <c r="H101" s="131"/>
      <c r="I101" s="50" t="s">
        <v>59</v>
      </c>
      <c r="J101" s="50" t="s">
        <v>66</v>
      </c>
      <c r="K101" s="131"/>
      <c r="L101" s="131"/>
      <c r="M101" s="50" t="s">
        <v>4613</v>
      </c>
      <c r="N101" s="131"/>
      <c r="O101" s="131"/>
      <c r="P101" s="132" t="s">
        <v>4794</v>
      </c>
    </row>
    <row r="102">
      <c r="A102" s="50" t="s">
        <v>2682</v>
      </c>
      <c r="C102" s="50" t="s">
        <v>4546</v>
      </c>
      <c r="D102" s="50" t="s">
        <v>4546</v>
      </c>
      <c r="F102" s="50" t="s">
        <v>21</v>
      </c>
      <c r="G102" s="131"/>
      <c r="H102" s="131"/>
      <c r="I102" s="50" t="s">
        <v>59</v>
      </c>
      <c r="J102" s="50" t="s">
        <v>66</v>
      </c>
      <c r="K102" s="131"/>
      <c r="L102" s="131"/>
      <c r="M102" s="50" t="s">
        <v>4795</v>
      </c>
      <c r="N102" s="51">
        <v>-7.2943175E7</v>
      </c>
      <c r="O102" s="51">
        <v>1.127410265E9</v>
      </c>
      <c r="P102" s="132" t="s">
        <v>4796</v>
      </c>
    </row>
    <row r="103">
      <c r="A103" s="50" t="s">
        <v>4797</v>
      </c>
      <c r="C103" s="50" t="s">
        <v>19</v>
      </c>
      <c r="D103" s="50" t="s">
        <v>19</v>
      </c>
      <c r="E103" s="131"/>
      <c r="F103" s="50" t="s">
        <v>21</v>
      </c>
      <c r="G103" s="131"/>
      <c r="H103" s="131"/>
      <c r="I103" s="50" t="s">
        <v>59</v>
      </c>
      <c r="J103" s="50" t="s">
        <v>66</v>
      </c>
      <c r="K103" s="131"/>
      <c r="L103" s="131"/>
      <c r="M103" s="50" t="s">
        <v>4613</v>
      </c>
      <c r="N103" s="131"/>
      <c r="O103" s="131"/>
      <c r="P103" s="132" t="s">
        <v>4798</v>
      </c>
    </row>
    <row r="104">
      <c r="A104" s="50" t="s">
        <v>4799</v>
      </c>
      <c r="C104" s="50" t="s">
        <v>19</v>
      </c>
      <c r="D104" s="50" t="s">
        <v>19</v>
      </c>
      <c r="E104" s="131"/>
      <c r="F104" s="50" t="s">
        <v>21</v>
      </c>
      <c r="G104" s="131"/>
      <c r="H104" s="131"/>
      <c r="I104" s="50" t="s">
        <v>59</v>
      </c>
      <c r="J104" s="50" t="s">
        <v>66</v>
      </c>
      <c r="K104" s="131"/>
      <c r="L104" s="131"/>
      <c r="M104" s="50" t="s">
        <v>4800</v>
      </c>
      <c r="N104" s="51">
        <v>-7.2901885E7</v>
      </c>
      <c r="O104" s="51">
        <v>1.127885638E9</v>
      </c>
      <c r="P104" s="132" t="s">
        <v>4801</v>
      </c>
    </row>
    <row r="105">
      <c r="A105" s="50" t="s">
        <v>4802</v>
      </c>
      <c r="C105" s="50" t="s">
        <v>19</v>
      </c>
      <c r="D105" s="50" t="s">
        <v>19</v>
      </c>
      <c r="E105" s="131"/>
      <c r="F105" s="50" t="s">
        <v>21</v>
      </c>
      <c r="G105" s="131"/>
      <c r="H105" s="131"/>
      <c r="I105" s="50" t="s">
        <v>59</v>
      </c>
      <c r="J105" s="50" t="s">
        <v>66</v>
      </c>
      <c r="K105" s="131"/>
      <c r="L105" s="131"/>
      <c r="M105" s="50" t="s">
        <v>4803</v>
      </c>
      <c r="N105" s="51">
        <v>-7.2371665E7</v>
      </c>
      <c r="O105" s="51">
        <v>1.127366854E9</v>
      </c>
      <c r="P105" s="132" t="s">
        <v>4804</v>
      </c>
    </row>
    <row r="106">
      <c r="A106" s="50" t="s">
        <v>3462</v>
      </c>
      <c r="C106" s="50" t="s">
        <v>4546</v>
      </c>
      <c r="D106" s="50" t="s">
        <v>4546</v>
      </c>
      <c r="F106" s="50" t="s">
        <v>21</v>
      </c>
      <c r="G106" s="131"/>
      <c r="H106" s="131"/>
      <c r="I106" s="50" t="s">
        <v>59</v>
      </c>
      <c r="J106" s="50" t="s">
        <v>66</v>
      </c>
      <c r="K106" s="131"/>
      <c r="L106" s="131"/>
      <c r="M106" s="50" t="s">
        <v>4805</v>
      </c>
      <c r="N106" s="51">
        <v>-7.2729095E7</v>
      </c>
      <c r="O106" s="51">
        <v>1.127477386E9</v>
      </c>
      <c r="P106" s="132" t="s">
        <v>4806</v>
      </c>
    </row>
    <row r="107">
      <c r="A107" s="50" t="s">
        <v>1698</v>
      </c>
      <c r="C107" s="50" t="s">
        <v>19</v>
      </c>
      <c r="D107" s="50" t="s">
        <v>19</v>
      </c>
      <c r="E107" s="131"/>
      <c r="F107" s="50" t="s">
        <v>21</v>
      </c>
      <c r="G107" s="131"/>
      <c r="H107" s="131"/>
      <c r="I107" s="50" t="s">
        <v>59</v>
      </c>
      <c r="J107" s="50" t="s">
        <v>66</v>
      </c>
      <c r="K107" s="131"/>
      <c r="L107" s="131"/>
      <c r="M107" s="50" t="s">
        <v>4807</v>
      </c>
      <c r="N107" s="51">
        <v>-7.2896458E7</v>
      </c>
      <c r="O107" s="51">
        <v>1.127348815E9</v>
      </c>
      <c r="P107" s="132" t="s">
        <v>4808</v>
      </c>
    </row>
    <row r="108">
      <c r="A108" s="50" t="s">
        <v>4809</v>
      </c>
      <c r="C108" s="50" t="s">
        <v>4546</v>
      </c>
      <c r="D108" s="50" t="s">
        <v>4546</v>
      </c>
      <c r="F108" s="50" t="s">
        <v>21</v>
      </c>
      <c r="G108" s="131"/>
      <c r="H108" s="131"/>
      <c r="I108" s="50" t="s">
        <v>59</v>
      </c>
      <c r="J108" s="50" t="s">
        <v>66</v>
      </c>
      <c r="K108" s="131"/>
      <c r="L108" s="131"/>
      <c r="M108" s="50" t="s">
        <v>4810</v>
      </c>
      <c r="N108" s="51">
        <v>-73296.0</v>
      </c>
      <c r="O108" s="51">
        <v>1.127874017E9</v>
      </c>
      <c r="P108" s="132" t="s">
        <v>4811</v>
      </c>
    </row>
    <row r="109">
      <c r="A109" s="50" t="s">
        <v>1222</v>
      </c>
      <c r="C109" s="50" t="s">
        <v>19</v>
      </c>
      <c r="D109" s="50" t="s">
        <v>19</v>
      </c>
      <c r="E109" s="131"/>
      <c r="F109" s="50" t="s">
        <v>21</v>
      </c>
      <c r="G109" s="131"/>
      <c r="H109" s="131"/>
      <c r="I109" s="50" t="s">
        <v>59</v>
      </c>
      <c r="J109" s="50" t="s">
        <v>66</v>
      </c>
      <c r="K109" s="131"/>
      <c r="L109" s="131"/>
      <c r="M109" s="50" t="s">
        <v>4812</v>
      </c>
      <c r="N109" s="51">
        <v>-7.3236547E7</v>
      </c>
      <c r="O109" s="51">
        <v>1.12741669E8</v>
      </c>
      <c r="P109" s="132" t="s">
        <v>4813</v>
      </c>
    </row>
    <row r="110">
      <c r="A110" s="50" t="s">
        <v>4814</v>
      </c>
      <c r="B110" s="50" t="s">
        <v>4815</v>
      </c>
      <c r="C110" s="50" t="s">
        <v>19</v>
      </c>
      <c r="D110" s="50" t="s">
        <v>19</v>
      </c>
      <c r="E110" s="131"/>
      <c r="F110" s="50" t="s">
        <v>21</v>
      </c>
      <c r="G110" s="131"/>
      <c r="H110" s="131"/>
      <c r="I110" s="50" t="s">
        <v>59</v>
      </c>
      <c r="J110" s="50" t="s">
        <v>66</v>
      </c>
      <c r="K110" s="131"/>
      <c r="L110" s="131"/>
      <c r="M110" s="50" t="s">
        <v>4816</v>
      </c>
      <c r="N110" s="51">
        <v>-7295938.0</v>
      </c>
      <c r="O110" s="51">
        <v>1.126760177E9</v>
      </c>
      <c r="P110" s="132" t="s">
        <v>4817</v>
      </c>
    </row>
    <row r="111">
      <c r="A111" s="50" t="s">
        <v>4818</v>
      </c>
      <c r="C111" s="50" t="s">
        <v>4546</v>
      </c>
      <c r="D111" s="50" t="s">
        <v>4546</v>
      </c>
      <c r="F111" s="50" t="s">
        <v>21</v>
      </c>
      <c r="G111" s="131"/>
      <c r="H111" s="131"/>
      <c r="I111" s="50" t="s">
        <v>59</v>
      </c>
      <c r="J111" s="50" t="s">
        <v>66</v>
      </c>
      <c r="K111" s="131"/>
      <c r="L111" s="131"/>
      <c r="M111" s="50" t="s">
        <v>4613</v>
      </c>
      <c r="N111" s="131"/>
      <c r="O111" s="131"/>
      <c r="P111" s="132" t="s">
        <v>4819</v>
      </c>
    </row>
    <row r="112">
      <c r="A112" s="50" t="s">
        <v>3965</v>
      </c>
      <c r="C112" s="50" t="s">
        <v>19</v>
      </c>
      <c r="D112" s="50" t="s">
        <v>19</v>
      </c>
      <c r="E112" s="131"/>
      <c r="F112" s="50" t="s">
        <v>21</v>
      </c>
      <c r="G112" s="131"/>
      <c r="H112" s="131"/>
      <c r="I112" s="50" t="s">
        <v>59</v>
      </c>
      <c r="J112" s="50" t="s">
        <v>66</v>
      </c>
      <c r="K112" s="131"/>
      <c r="L112" s="131"/>
      <c r="M112" s="50" t="s">
        <v>4613</v>
      </c>
      <c r="N112" s="131"/>
      <c r="O112" s="131"/>
      <c r="P112" s="132" t="s">
        <v>4820</v>
      </c>
    </row>
    <row r="113">
      <c r="A113" s="50" t="s">
        <v>4821</v>
      </c>
      <c r="C113" s="50" t="s">
        <v>4541</v>
      </c>
      <c r="D113" s="50" t="s">
        <v>4541</v>
      </c>
      <c r="F113" s="50" t="s">
        <v>21</v>
      </c>
      <c r="G113" s="131"/>
      <c r="H113" s="131"/>
      <c r="I113" s="50" t="s">
        <v>59</v>
      </c>
      <c r="J113" s="50" t="s">
        <v>66</v>
      </c>
      <c r="K113" s="131"/>
      <c r="L113" s="131"/>
      <c r="M113" s="50" t="s">
        <v>4822</v>
      </c>
      <c r="N113" s="51">
        <v>-7.2638516E7</v>
      </c>
      <c r="O113" s="51">
        <v>1.127433775E9</v>
      </c>
      <c r="P113" s="132" t="s">
        <v>4823</v>
      </c>
    </row>
    <row r="114">
      <c r="A114" s="50" t="s">
        <v>4824</v>
      </c>
      <c r="C114" s="50" t="s">
        <v>4546</v>
      </c>
      <c r="D114" s="50" t="s">
        <v>4546</v>
      </c>
      <c r="F114" s="50" t="s">
        <v>21</v>
      </c>
      <c r="G114" s="131"/>
      <c r="H114" s="131"/>
      <c r="I114" s="50" t="s">
        <v>59</v>
      </c>
      <c r="J114" s="50" t="s">
        <v>66</v>
      </c>
      <c r="K114" s="131"/>
      <c r="L114" s="131"/>
      <c r="M114" s="50" t="s">
        <v>4613</v>
      </c>
      <c r="N114" s="131"/>
      <c r="O114" s="131"/>
      <c r="P114" s="132" t="s">
        <v>4825</v>
      </c>
    </row>
    <row r="115">
      <c r="A115" s="50" t="s">
        <v>4826</v>
      </c>
      <c r="C115" s="50" t="s">
        <v>19</v>
      </c>
      <c r="D115" s="50" t="s">
        <v>19</v>
      </c>
      <c r="E115" s="131"/>
      <c r="F115" s="50" t="s">
        <v>21</v>
      </c>
      <c r="G115" s="131"/>
      <c r="H115" s="131"/>
      <c r="I115" s="50" t="s">
        <v>59</v>
      </c>
      <c r="J115" s="50" t="s">
        <v>66</v>
      </c>
      <c r="K115" s="131"/>
      <c r="L115" s="131"/>
      <c r="M115" s="50" t="s">
        <v>4827</v>
      </c>
      <c r="N115" s="51">
        <v>-7.2671004E7</v>
      </c>
      <c r="O115" s="51">
        <v>1.127706514E9</v>
      </c>
      <c r="P115" s="132" t="s">
        <v>4828</v>
      </c>
    </row>
    <row r="116">
      <c r="A116" s="50" t="s">
        <v>1495</v>
      </c>
      <c r="C116" s="50" t="s">
        <v>4829</v>
      </c>
      <c r="D116" s="50" t="s">
        <v>4829</v>
      </c>
      <c r="E116" s="133">
        <v>140.0</v>
      </c>
      <c r="F116" s="50" t="s">
        <v>21</v>
      </c>
      <c r="G116" s="131"/>
      <c r="H116" s="134">
        <v>46146.0</v>
      </c>
      <c r="I116" s="50" t="s">
        <v>59</v>
      </c>
      <c r="J116" s="50" t="s">
        <v>66</v>
      </c>
      <c r="K116" s="131"/>
      <c r="L116" s="131"/>
      <c r="M116" s="50" t="s">
        <v>4613</v>
      </c>
      <c r="N116" s="131"/>
      <c r="O116" s="131"/>
      <c r="P116" s="132" t="s">
        <v>4830</v>
      </c>
    </row>
    <row r="117">
      <c r="A117" s="50" t="s">
        <v>146</v>
      </c>
      <c r="C117" s="50" t="s">
        <v>4831</v>
      </c>
      <c r="D117" s="50" t="s">
        <v>4831</v>
      </c>
      <c r="F117" s="50" t="s">
        <v>21</v>
      </c>
      <c r="G117" s="131"/>
      <c r="H117" s="131"/>
      <c r="I117" s="50" t="s">
        <v>59</v>
      </c>
      <c r="J117" s="50" t="s">
        <v>66</v>
      </c>
      <c r="K117" s="131"/>
      <c r="L117" s="131"/>
      <c r="M117" s="50" t="s">
        <v>4832</v>
      </c>
      <c r="N117" s="51">
        <v>-7.2601075E7</v>
      </c>
      <c r="O117" s="51">
        <v>1.127442245E9</v>
      </c>
      <c r="P117" s="132" t="s">
        <v>4833</v>
      </c>
    </row>
    <row r="118">
      <c r="A118" s="50" t="s">
        <v>2300</v>
      </c>
      <c r="C118" s="50" t="s">
        <v>4834</v>
      </c>
      <c r="D118" s="50" t="s">
        <v>4834</v>
      </c>
      <c r="F118" s="50" t="s">
        <v>21</v>
      </c>
      <c r="G118" s="131"/>
      <c r="H118" s="131"/>
      <c r="I118" s="50" t="s">
        <v>59</v>
      </c>
      <c r="J118" s="50" t="s">
        <v>66</v>
      </c>
      <c r="K118" s="131"/>
      <c r="L118" s="131"/>
      <c r="M118" s="50" t="s">
        <v>4835</v>
      </c>
      <c r="N118" s="51">
        <v>-7.2560633E7</v>
      </c>
      <c r="O118" s="51">
        <v>1.127315719E9</v>
      </c>
      <c r="P118" s="132" t="s">
        <v>4836</v>
      </c>
    </row>
    <row r="119">
      <c r="A119" s="50" t="s">
        <v>1718</v>
      </c>
      <c r="C119" s="50" t="s">
        <v>4837</v>
      </c>
      <c r="D119" s="50" t="s">
        <v>4837</v>
      </c>
      <c r="F119" s="50" t="s">
        <v>21</v>
      </c>
      <c r="G119" s="131"/>
      <c r="H119" s="131"/>
      <c r="I119" s="50" t="s">
        <v>59</v>
      </c>
      <c r="J119" s="50" t="s">
        <v>66</v>
      </c>
      <c r="K119" s="131"/>
      <c r="L119" s="131"/>
      <c r="M119" s="50" t="s">
        <v>4838</v>
      </c>
      <c r="N119" s="51">
        <v>-7.2705095E7</v>
      </c>
      <c r="O119" s="51">
        <v>1.127199703E9</v>
      </c>
      <c r="P119" s="132" t="s">
        <v>4839</v>
      </c>
    </row>
    <row r="120">
      <c r="A120" s="50" t="s">
        <v>1581</v>
      </c>
      <c r="C120" s="50" t="s">
        <v>4840</v>
      </c>
      <c r="D120" s="50" t="s">
        <v>4840</v>
      </c>
      <c r="F120" s="50" t="s">
        <v>21</v>
      </c>
      <c r="G120" s="131"/>
      <c r="H120" s="131"/>
      <c r="I120" s="50" t="s">
        <v>59</v>
      </c>
      <c r="J120" s="50" t="s">
        <v>66</v>
      </c>
      <c r="K120" s="131"/>
      <c r="L120" s="131"/>
      <c r="M120" s="50" t="s">
        <v>4841</v>
      </c>
      <c r="N120" s="51">
        <v>-7.2918496E7</v>
      </c>
      <c r="O120" s="51">
        <v>1.127401047E9</v>
      </c>
      <c r="P120" s="132" t="s">
        <v>4842</v>
      </c>
    </row>
    <row r="121">
      <c r="A121" s="50" t="s">
        <v>1036</v>
      </c>
      <c r="C121" s="50" t="s">
        <v>4843</v>
      </c>
      <c r="D121" s="50" t="s">
        <v>4843</v>
      </c>
      <c r="F121" s="50" t="s">
        <v>21</v>
      </c>
      <c r="G121" s="131"/>
      <c r="H121" s="131"/>
      <c r="I121" s="50" t="s">
        <v>59</v>
      </c>
      <c r="J121" s="50" t="s">
        <v>66</v>
      </c>
      <c r="K121" s="131"/>
      <c r="L121" s="131"/>
      <c r="M121" s="50" t="s">
        <v>4613</v>
      </c>
      <c r="N121" s="131"/>
      <c r="O121" s="131"/>
      <c r="P121" s="132" t="s">
        <v>4844</v>
      </c>
    </row>
    <row r="122">
      <c r="A122" s="50" t="s">
        <v>1908</v>
      </c>
      <c r="B122" s="50" t="s">
        <v>4845</v>
      </c>
      <c r="C122" s="50" t="s">
        <v>4846</v>
      </c>
      <c r="D122" s="50" t="s">
        <v>4846</v>
      </c>
      <c r="F122" s="50" t="s">
        <v>21</v>
      </c>
      <c r="G122" s="131"/>
      <c r="H122" s="131"/>
      <c r="I122" s="50" t="s">
        <v>59</v>
      </c>
      <c r="J122" s="50" t="s">
        <v>66</v>
      </c>
      <c r="K122" s="131"/>
      <c r="L122" s="131"/>
      <c r="M122" s="50" t="s">
        <v>4613</v>
      </c>
      <c r="N122" s="131"/>
      <c r="O122" s="131"/>
      <c r="P122" s="132" t="s">
        <v>4847</v>
      </c>
    </row>
    <row r="123">
      <c r="A123" s="50" t="s">
        <v>4848</v>
      </c>
      <c r="C123" s="50" t="s">
        <v>4849</v>
      </c>
      <c r="D123" s="50" t="s">
        <v>4849</v>
      </c>
      <c r="E123" s="131"/>
      <c r="F123" s="50" t="s">
        <v>21</v>
      </c>
      <c r="G123" s="131"/>
      <c r="H123" s="131"/>
      <c r="I123" s="50" t="s">
        <v>59</v>
      </c>
      <c r="J123" s="50" t="s">
        <v>66</v>
      </c>
      <c r="K123" s="131"/>
      <c r="L123" s="131"/>
      <c r="M123" s="50" t="s">
        <v>4850</v>
      </c>
      <c r="N123" s="51">
        <v>-7.2565683E7</v>
      </c>
      <c r="O123" s="51">
        <v>1.127508648E9</v>
      </c>
      <c r="P123" s="132" t="s">
        <v>4851</v>
      </c>
    </row>
    <row r="124">
      <c r="A124" s="50" t="s">
        <v>4852</v>
      </c>
      <c r="C124" s="50" t="s">
        <v>4853</v>
      </c>
      <c r="D124" s="50" t="s">
        <v>4853</v>
      </c>
      <c r="F124" s="50" t="s">
        <v>21</v>
      </c>
      <c r="G124" s="131"/>
      <c r="H124" s="131"/>
      <c r="I124" s="50" t="s">
        <v>59</v>
      </c>
      <c r="J124" s="50" t="s">
        <v>66</v>
      </c>
      <c r="K124" s="131"/>
      <c r="L124" s="131"/>
      <c r="M124" s="50" t="s">
        <v>4854</v>
      </c>
      <c r="N124" s="51">
        <v>-7.2697603E7</v>
      </c>
      <c r="O124" s="51">
        <v>1.127467382E9</v>
      </c>
      <c r="P124" s="132" t="s">
        <v>4855</v>
      </c>
    </row>
    <row r="125">
      <c r="A125" s="50" t="s">
        <v>3123</v>
      </c>
      <c r="C125" s="50" t="s">
        <v>4840</v>
      </c>
      <c r="D125" s="50" t="s">
        <v>4840</v>
      </c>
      <c r="E125" s="133">
        <v>35.0</v>
      </c>
      <c r="F125" s="50" t="s">
        <v>21</v>
      </c>
      <c r="G125" s="131"/>
      <c r="H125" s="134">
        <v>46146.0</v>
      </c>
      <c r="I125" s="50" t="s">
        <v>59</v>
      </c>
      <c r="J125" s="50" t="s">
        <v>66</v>
      </c>
      <c r="K125" s="131"/>
      <c r="L125" s="131"/>
      <c r="M125" s="50" t="s">
        <v>4613</v>
      </c>
      <c r="N125" s="131"/>
      <c r="O125" s="131"/>
      <c r="P125" s="132" t="s">
        <v>4856</v>
      </c>
    </row>
    <row r="126">
      <c r="A126" s="50" t="s">
        <v>2795</v>
      </c>
      <c r="C126" s="50" t="s">
        <v>4846</v>
      </c>
      <c r="D126" s="50" t="s">
        <v>4846</v>
      </c>
      <c r="F126" s="50" t="s">
        <v>21</v>
      </c>
      <c r="G126" s="131"/>
      <c r="H126" s="131"/>
      <c r="I126" s="50" t="s">
        <v>59</v>
      </c>
      <c r="J126" s="50" t="s">
        <v>66</v>
      </c>
      <c r="K126" s="131"/>
      <c r="L126" s="131"/>
      <c r="M126" s="50" t="s">
        <v>4613</v>
      </c>
      <c r="N126" s="131"/>
      <c r="O126" s="131"/>
      <c r="P126" s="132" t="s">
        <v>4857</v>
      </c>
    </row>
    <row r="127">
      <c r="A127" s="50" t="s">
        <v>3715</v>
      </c>
      <c r="C127" s="50" t="s">
        <v>4829</v>
      </c>
      <c r="D127" s="50" t="s">
        <v>4829</v>
      </c>
      <c r="E127" s="133">
        <v>672.0</v>
      </c>
      <c r="F127" s="50" t="s">
        <v>21</v>
      </c>
      <c r="G127" s="131"/>
      <c r="H127" s="134">
        <v>46085.0</v>
      </c>
      <c r="I127" s="50" t="s">
        <v>59</v>
      </c>
      <c r="J127" s="50" t="s">
        <v>66</v>
      </c>
      <c r="K127" s="131"/>
      <c r="L127" s="131"/>
      <c r="M127" s="50" t="s">
        <v>4613</v>
      </c>
      <c r="N127" s="131"/>
      <c r="O127" s="131"/>
      <c r="P127" s="132" t="s">
        <v>4858</v>
      </c>
    </row>
    <row r="128">
      <c r="A128" s="50" t="s">
        <v>3454</v>
      </c>
      <c r="C128" s="50" t="s">
        <v>4541</v>
      </c>
      <c r="D128" s="50" t="s">
        <v>4541</v>
      </c>
      <c r="E128" s="133">
        <v>119.0</v>
      </c>
      <c r="F128" s="50" t="s">
        <v>21</v>
      </c>
      <c r="G128" s="131"/>
      <c r="H128" s="134">
        <v>46177.0</v>
      </c>
      <c r="I128" s="50" t="s">
        <v>59</v>
      </c>
      <c r="J128" s="50" t="s">
        <v>66</v>
      </c>
      <c r="K128" s="131"/>
      <c r="L128" s="131"/>
      <c r="M128" s="50" t="s">
        <v>4859</v>
      </c>
      <c r="N128" s="51">
        <v>-7.2667434E7</v>
      </c>
      <c r="O128" s="51">
        <v>1.127423959E9</v>
      </c>
      <c r="P128" s="132" t="s">
        <v>4860</v>
      </c>
    </row>
    <row r="129">
      <c r="A129" s="50" t="s">
        <v>1363</v>
      </c>
      <c r="C129" s="50" t="s">
        <v>4829</v>
      </c>
      <c r="D129" s="50" t="s">
        <v>4829</v>
      </c>
      <c r="E129" s="133">
        <v>103.0</v>
      </c>
      <c r="F129" s="50" t="s">
        <v>21</v>
      </c>
      <c r="G129" s="131"/>
      <c r="H129" s="134">
        <v>46238.0</v>
      </c>
      <c r="I129" s="50" t="s">
        <v>59</v>
      </c>
      <c r="J129" s="50" t="s">
        <v>66</v>
      </c>
      <c r="K129" s="131"/>
      <c r="L129" s="131"/>
      <c r="M129" s="50" t="s">
        <v>4613</v>
      </c>
      <c r="N129" s="131"/>
      <c r="O129" s="131"/>
      <c r="P129" s="132" t="s">
        <v>4861</v>
      </c>
    </row>
    <row r="130">
      <c r="A130" s="50" t="s">
        <v>1976</v>
      </c>
      <c r="C130" s="50" t="s">
        <v>4862</v>
      </c>
      <c r="D130" s="50" t="s">
        <v>4862</v>
      </c>
      <c r="F130" s="50" t="s">
        <v>21</v>
      </c>
      <c r="G130" s="131"/>
      <c r="H130" s="131"/>
      <c r="I130" s="50" t="s">
        <v>59</v>
      </c>
      <c r="J130" s="50" t="s">
        <v>66</v>
      </c>
      <c r="K130" s="131"/>
      <c r="L130" s="131"/>
      <c r="M130" s="50" t="s">
        <v>4863</v>
      </c>
      <c r="N130" s="51">
        <v>-7232525.0</v>
      </c>
      <c r="O130" s="51">
        <v>1.12741133E8</v>
      </c>
      <c r="P130" s="132" t="s">
        <v>4864</v>
      </c>
    </row>
    <row r="131">
      <c r="A131" s="50" t="s">
        <v>1212</v>
      </c>
      <c r="C131" s="50" t="s">
        <v>4846</v>
      </c>
      <c r="D131" s="50" t="s">
        <v>4846</v>
      </c>
      <c r="F131" s="50" t="s">
        <v>21</v>
      </c>
      <c r="G131" s="131"/>
      <c r="H131" s="131"/>
      <c r="I131" s="50" t="s">
        <v>59</v>
      </c>
      <c r="J131" s="50" t="s">
        <v>66</v>
      </c>
      <c r="K131" s="131"/>
      <c r="L131" s="131"/>
      <c r="M131" s="50" t="s">
        <v>4865</v>
      </c>
      <c r="N131" s="51">
        <v>-7.2598405E7</v>
      </c>
      <c r="O131" s="51">
        <v>1.127368492E9</v>
      </c>
      <c r="P131" s="132" t="s">
        <v>4866</v>
      </c>
    </row>
    <row r="132">
      <c r="A132" s="50" t="s">
        <v>3596</v>
      </c>
      <c r="C132" s="50" t="s">
        <v>4829</v>
      </c>
      <c r="D132" s="50" t="s">
        <v>4829</v>
      </c>
      <c r="E132" s="133">
        <v>3.0</v>
      </c>
      <c r="F132" s="50" t="s">
        <v>21</v>
      </c>
      <c r="G132" s="131"/>
      <c r="H132" s="134">
        <v>46085.0</v>
      </c>
      <c r="I132" s="50" t="s">
        <v>59</v>
      </c>
      <c r="J132" s="50" t="s">
        <v>66</v>
      </c>
      <c r="K132" s="131"/>
      <c r="L132" s="131"/>
      <c r="M132" s="50" t="s">
        <v>4867</v>
      </c>
      <c r="N132" s="51">
        <v>-7.2624706E7</v>
      </c>
      <c r="O132" s="51">
        <v>1.127447097E9</v>
      </c>
      <c r="P132" s="132" t="s">
        <v>4868</v>
      </c>
    </row>
    <row r="133">
      <c r="A133" s="50" t="s">
        <v>4869</v>
      </c>
      <c r="C133" s="50" t="s">
        <v>4853</v>
      </c>
      <c r="D133" s="50" t="s">
        <v>4853</v>
      </c>
      <c r="F133" s="50" t="s">
        <v>21</v>
      </c>
      <c r="G133" s="131"/>
      <c r="H133" s="131"/>
      <c r="I133" s="50" t="s">
        <v>59</v>
      </c>
      <c r="J133" s="50" t="s">
        <v>66</v>
      </c>
      <c r="K133" s="131"/>
      <c r="L133" s="131"/>
      <c r="M133" s="50" t="s">
        <v>4613</v>
      </c>
      <c r="N133" s="131"/>
      <c r="O133" s="131"/>
      <c r="P133" s="132" t="s">
        <v>4870</v>
      </c>
    </row>
    <row r="134">
      <c r="A134" s="50" t="s">
        <v>4871</v>
      </c>
      <c r="B134" s="50" t="s">
        <v>4872</v>
      </c>
      <c r="C134" s="50" t="s">
        <v>4846</v>
      </c>
      <c r="D134" s="50" t="s">
        <v>4846</v>
      </c>
      <c r="F134" s="50" t="s">
        <v>21</v>
      </c>
      <c r="G134" s="131"/>
      <c r="H134" s="131"/>
      <c r="I134" s="50" t="s">
        <v>59</v>
      </c>
      <c r="J134" s="50" t="s">
        <v>66</v>
      </c>
      <c r="K134" s="131"/>
      <c r="L134" s="131"/>
      <c r="M134" s="50" t="s">
        <v>4873</v>
      </c>
      <c r="N134" s="51">
        <v>-7.2512658E7</v>
      </c>
      <c r="O134" s="51">
        <v>1.127364891E9</v>
      </c>
      <c r="P134" s="132" t="s">
        <v>4874</v>
      </c>
    </row>
    <row r="135">
      <c r="A135" s="50" t="s">
        <v>4875</v>
      </c>
      <c r="C135" s="50" t="s">
        <v>4829</v>
      </c>
      <c r="D135" s="50" t="s">
        <v>4829</v>
      </c>
      <c r="F135" s="50" t="s">
        <v>21</v>
      </c>
      <c r="G135" s="131"/>
      <c r="H135" s="131"/>
      <c r="I135" s="50" t="s">
        <v>59</v>
      </c>
      <c r="J135" s="50" t="s">
        <v>66</v>
      </c>
      <c r="K135" s="131"/>
      <c r="L135" s="131"/>
      <c r="M135" s="50" t="s">
        <v>4876</v>
      </c>
      <c r="N135" s="51">
        <v>-7.2673172E7</v>
      </c>
      <c r="O135" s="51">
        <v>1.127561795E9</v>
      </c>
      <c r="P135" s="132" t="s">
        <v>4877</v>
      </c>
    </row>
    <row r="136">
      <c r="A136" s="50" t="s">
        <v>4878</v>
      </c>
      <c r="C136" s="50" t="s">
        <v>4829</v>
      </c>
      <c r="D136" s="50" t="s">
        <v>4829</v>
      </c>
      <c r="E136" s="133">
        <v>19.0</v>
      </c>
      <c r="F136" s="50" t="s">
        <v>21</v>
      </c>
      <c r="G136" s="131"/>
      <c r="H136" s="134">
        <v>46269.0</v>
      </c>
      <c r="I136" s="50" t="s">
        <v>59</v>
      </c>
      <c r="J136" s="50" t="s">
        <v>66</v>
      </c>
      <c r="K136" s="131"/>
      <c r="L136" s="131"/>
      <c r="M136" s="50" t="s">
        <v>4879</v>
      </c>
      <c r="N136" s="51">
        <v>-7.2627234E7</v>
      </c>
      <c r="O136" s="51">
        <v>1.127854336E9</v>
      </c>
      <c r="P136" s="132" t="s">
        <v>4880</v>
      </c>
    </row>
    <row r="137">
      <c r="A137" s="50" t="s">
        <v>3631</v>
      </c>
      <c r="C137" s="50" t="s">
        <v>4829</v>
      </c>
      <c r="D137" s="50" t="s">
        <v>4829</v>
      </c>
      <c r="E137" s="133">
        <v>24.0</v>
      </c>
      <c r="F137" s="50" t="s">
        <v>21</v>
      </c>
      <c r="G137" s="131"/>
      <c r="H137" s="134">
        <v>46057.0</v>
      </c>
      <c r="I137" s="50" t="s">
        <v>59</v>
      </c>
      <c r="J137" s="50" t="s">
        <v>66</v>
      </c>
      <c r="K137" s="131"/>
      <c r="L137" s="131"/>
      <c r="M137" s="50" t="s">
        <v>4881</v>
      </c>
      <c r="N137" s="51">
        <v>-7.3094548E7</v>
      </c>
      <c r="O137" s="51">
        <v>1.127196133E9</v>
      </c>
      <c r="P137" s="132" t="s">
        <v>4882</v>
      </c>
    </row>
    <row r="138">
      <c r="A138" s="50" t="s">
        <v>4883</v>
      </c>
      <c r="C138" s="50" t="s">
        <v>4541</v>
      </c>
      <c r="D138" s="50" t="s">
        <v>4541</v>
      </c>
      <c r="E138" s="133">
        <v>23.0</v>
      </c>
      <c r="F138" s="50" t="s">
        <v>21</v>
      </c>
      <c r="G138" s="131"/>
      <c r="H138" s="134">
        <v>46237.0</v>
      </c>
      <c r="I138" s="50" t="s">
        <v>59</v>
      </c>
      <c r="J138" s="50" t="s">
        <v>66</v>
      </c>
      <c r="K138" s="131"/>
      <c r="L138" s="131"/>
      <c r="M138" s="50" t="s">
        <v>4884</v>
      </c>
      <c r="N138" s="51">
        <v>-7314035.0</v>
      </c>
      <c r="O138" s="51">
        <v>1.126974162E9</v>
      </c>
      <c r="P138" s="132" t="s">
        <v>4885</v>
      </c>
    </row>
    <row r="139">
      <c r="A139" s="50" t="s">
        <v>3735</v>
      </c>
      <c r="B139" s="50" t="s">
        <v>4886</v>
      </c>
      <c r="C139" s="50" t="s">
        <v>4853</v>
      </c>
      <c r="D139" s="50" t="s">
        <v>4853</v>
      </c>
      <c r="F139" s="50" t="s">
        <v>21</v>
      </c>
      <c r="G139" s="131"/>
      <c r="H139" s="131"/>
      <c r="I139" s="50" t="s">
        <v>59</v>
      </c>
      <c r="J139" s="50" t="s">
        <v>66</v>
      </c>
      <c r="K139" s="131"/>
      <c r="L139" s="131"/>
      <c r="M139" s="50" t="s">
        <v>4887</v>
      </c>
      <c r="N139" s="51">
        <v>-7.3032388E7</v>
      </c>
      <c r="O139" s="51">
        <v>1.127490363E9</v>
      </c>
      <c r="P139" s="132" t="s">
        <v>4888</v>
      </c>
    </row>
    <row r="140">
      <c r="A140" s="50" t="s">
        <v>4889</v>
      </c>
      <c r="C140" s="50" t="s">
        <v>4829</v>
      </c>
      <c r="D140" s="50" t="s">
        <v>4829</v>
      </c>
      <c r="E140" s="133">
        <v>10.0</v>
      </c>
      <c r="F140" s="50" t="s">
        <v>21</v>
      </c>
      <c r="G140" s="131"/>
      <c r="H140" s="134">
        <v>46085.0</v>
      </c>
      <c r="I140" s="50" t="s">
        <v>59</v>
      </c>
      <c r="J140" s="50" t="s">
        <v>66</v>
      </c>
      <c r="K140" s="131"/>
      <c r="L140" s="131"/>
      <c r="M140" s="50" t="s">
        <v>4890</v>
      </c>
      <c r="N140" s="51">
        <v>-7.2747433E7</v>
      </c>
      <c r="O140" s="51">
        <v>1.127415447E9</v>
      </c>
      <c r="P140" s="132" t="s">
        <v>4891</v>
      </c>
    </row>
    <row r="141">
      <c r="A141" s="50" t="s">
        <v>1621</v>
      </c>
      <c r="C141" s="50" t="s">
        <v>4829</v>
      </c>
      <c r="D141" s="50" t="s">
        <v>4829</v>
      </c>
      <c r="F141" s="50" t="s">
        <v>21</v>
      </c>
      <c r="G141" s="131"/>
      <c r="H141" s="131"/>
      <c r="I141" s="50" t="s">
        <v>59</v>
      </c>
      <c r="J141" s="50" t="s">
        <v>66</v>
      </c>
      <c r="K141" s="131"/>
      <c r="L141" s="131"/>
      <c r="M141" s="50" t="s">
        <v>4613</v>
      </c>
      <c r="N141" s="131"/>
      <c r="O141" s="131"/>
      <c r="P141" s="132" t="s">
        <v>4892</v>
      </c>
    </row>
    <row r="142">
      <c r="A142" s="50" t="s">
        <v>4893</v>
      </c>
      <c r="C142" s="50" t="s">
        <v>4853</v>
      </c>
      <c r="D142" s="50" t="s">
        <v>4853</v>
      </c>
      <c r="F142" s="50" t="s">
        <v>21</v>
      </c>
      <c r="G142" s="131"/>
      <c r="H142" s="131"/>
      <c r="I142" s="50" t="s">
        <v>59</v>
      </c>
      <c r="J142" s="50" t="s">
        <v>66</v>
      </c>
      <c r="K142" s="131"/>
      <c r="L142" s="131"/>
      <c r="M142" s="50" t="s">
        <v>4894</v>
      </c>
      <c r="N142" s="51">
        <v>-7.3230457E7</v>
      </c>
      <c r="O142" s="51">
        <v>1.127812178E9</v>
      </c>
      <c r="P142" s="132" t="s">
        <v>4895</v>
      </c>
    </row>
    <row r="143">
      <c r="A143" s="50" t="s">
        <v>4896</v>
      </c>
      <c r="C143" s="50" t="s">
        <v>4897</v>
      </c>
      <c r="D143" s="50" t="s">
        <v>4897</v>
      </c>
      <c r="F143" s="50" t="s">
        <v>21</v>
      </c>
      <c r="G143" s="131"/>
      <c r="H143" s="131"/>
      <c r="I143" s="50" t="s">
        <v>59</v>
      </c>
      <c r="J143" s="50" t="s">
        <v>66</v>
      </c>
      <c r="K143" s="131"/>
      <c r="L143" s="131"/>
      <c r="M143" s="50" t="s">
        <v>4613</v>
      </c>
      <c r="N143" s="131"/>
      <c r="O143" s="131"/>
      <c r="P143" s="132" t="s">
        <v>4898</v>
      </c>
    </row>
    <row r="144">
      <c r="A144" s="50" t="s">
        <v>4899</v>
      </c>
      <c r="B144" s="50" t="s">
        <v>21</v>
      </c>
      <c r="C144" s="131"/>
      <c r="D144" s="50" t="s">
        <v>4829</v>
      </c>
      <c r="E144" s="50" t="s">
        <v>4829</v>
      </c>
      <c r="G144" s="50" t="s">
        <v>21</v>
      </c>
      <c r="H144" s="131"/>
      <c r="I144" s="131"/>
      <c r="J144" s="50" t="s">
        <v>59</v>
      </c>
      <c r="K144" s="50" t="s">
        <v>66</v>
      </c>
      <c r="L144" s="131"/>
      <c r="M144" s="131"/>
      <c r="N144" s="50" t="s">
        <v>4900</v>
      </c>
      <c r="O144" s="51">
        <v>-7252782.0</v>
      </c>
      <c r="P144" s="135" t="s">
        <v>4901</v>
      </c>
      <c r="Q144" s="132" t="s">
        <v>4902</v>
      </c>
    </row>
    <row r="145">
      <c r="A145" s="50" t="s">
        <v>3466</v>
      </c>
      <c r="C145" s="50" t="s">
        <v>4829</v>
      </c>
      <c r="D145" s="50" t="s">
        <v>4829</v>
      </c>
      <c r="F145" s="50" t="s">
        <v>21</v>
      </c>
      <c r="G145" s="131"/>
      <c r="H145" s="131"/>
      <c r="I145" s="50" t="s">
        <v>59</v>
      </c>
      <c r="J145" s="50" t="s">
        <v>66</v>
      </c>
      <c r="K145" s="131"/>
      <c r="L145" s="131"/>
      <c r="M145" s="50" t="s">
        <v>4613</v>
      </c>
      <c r="N145" s="131"/>
      <c r="O145" s="131"/>
      <c r="P145" s="132" t="s">
        <v>4903</v>
      </c>
    </row>
    <row r="146">
      <c r="A146" s="50" t="s">
        <v>4904</v>
      </c>
      <c r="C146" s="50" t="s">
        <v>4853</v>
      </c>
      <c r="D146" s="50" t="s">
        <v>4853</v>
      </c>
      <c r="F146" s="50" t="s">
        <v>21</v>
      </c>
      <c r="G146" s="131"/>
      <c r="H146" s="131"/>
      <c r="I146" s="50" t="s">
        <v>59</v>
      </c>
      <c r="J146" s="50" t="s">
        <v>66</v>
      </c>
      <c r="K146" s="131"/>
      <c r="L146" s="131"/>
      <c r="M146" s="50" t="s">
        <v>4613</v>
      </c>
      <c r="N146" s="131"/>
      <c r="O146" s="131"/>
      <c r="P146" s="132" t="s">
        <v>4905</v>
      </c>
    </row>
    <row r="147">
      <c r="A147" s="50" t="s">
        <v>4906</v>
      </c>
      <c r="C147" s="50" t="s">
        <v>4541</v>
      </c>
      <c r="D147" s="50" t="s">
        <v>4541</v>
      </c>
      <c r="F147" s="50" t="s">
        <v>21</v>
      </c>
      <c r="G147" s="131"/>
      <c r="H147" s="131"/>
      <c r="I147" s="50" t="s">
        <v>59</v>
      </c>
      <c r="J147" s="50" t="s">
        <v>66</v>
      </c>
      <c r="K147" s="131"/>
      <c r="L147" s="131"/>
      <c r="M147" s="50" t="s">
        <v>4907</v>
      </c>
      <c r="N147" s="51">
        <v>-7.2870201E7</v>
      </c>
      <c r="O147" s="51">
        <v>1.127805159E9</v>
      </c>
      <c r="P147" s="132" t="s">
        <v>4908</v>
      </c>
    </row>
    <row r="148">
      <c r="A148" s="50" t="s">
        <v>4909</v>
      </c>
      <c r="C148" s="50" t="s">
        <v>4910</v>
      </c>
      <c r="D148" s="50" t="s">
        <v>4910</v>
      </c>
      <c r="F148" s="50" t="s">
        <v>21</v>
      </c>
      <c r="G148" s="131"/>
      <c r="H148" s="131"/>
      <c r="I148" s="50" t="s">
        <v>59</v>
      </c>
      <c r="J148" s="50" t="s">
        <v>66</v>
      </c>
      <c r="K148" s="131"/>
      <c r="L148" s="131"/>
      <c r="M148" s="50" t="s">
        <v>4613</v>
      </c>
      <c r="N148" s="131"/>
      <c r="O148" s="131"/>
      <c r="P148" s="132" t="s">
        <v>4911</v>
      </c>
    </row>
    <row r="149">
      <c r="A149" s="50" t="s">
        <v>3204</v>
      </c>
      <c r="C149" s="50" t="s">
        <v>4840</v>
      </c>
      <c r="D149" s="50" t="s">
        <v>4840</v>
      </c>
      <c r="F149" s="50" t="s">
        <v>21</v>
      </c>
      <c r="G149" s="131"/>
      <c r="H149" s="131"/>
      <c r="I149" s="50" t="s">
        <v>59</v>
      </c>
      <c r="J149" s="50" t="s">
        <v>66</v>
      </c>
      <c r="K149" s="131"/>
      <c r="L149" s="131"/>
      <c r="M149" s="50" t="s">
        <v>4613</v>
      </c>
      <c r="N149" s="131"/>
      <c r="O149" s="131"/>
      <c r="P149" s="132" t="s">
        <v>4912</v>
      </c>
    </row>
    <row r="150">
      <c r="A150" s="50" t="s">
        <v>4913</v>
      </c>
      <c r="C150" s="50" t="s">
        <v>4829</v>
      </c>
      <c r="D150" s="50" t="s">
        <v>4829</v>
      </c>
      <c r="E150" s="133">
        <v>17.0</v>
      </c>
      <c r="F150" s="50" t="s">
        <v>21</v>
      </c>
      <c r="G150" s="131"/>
      <c r="H150" s="134">
        <v>46116.0</v>
      </c>
      <c r="I150" s="50" t="s">
        <v>59</v>
      </c>
      <c r="J150" s="50" t="s">
        <v>66</v>
      </c>
      <c r="K150" s="131"/>
      <c r="L150" s="131"/>
      <c r="M150" s="50" t="s">
        <v>4914</v>
      </c>
      <c r="N150" s="51">
        <v>-7.3007976E7</v>
      </c>
      <c r="O150" s="51">
        <v>1.127799566E9</v>
      </c>
      <c r="P150" s="132" t="s">
        <v>4915</v>
      </c>
    </row>
    <row r="151">
      <c r="A151" s="50" t="s">
        <v>329</v>
      </c>
      <c r="C151" s="50" t="s">
        <v>4849</v>
      </c>
      <c r="D151" s="50" t="s">
        <v>4849</v>
      </c>
      <c r="E151" s="131"/>
      <c r="F151" s="50" t="s">
        <v>21</v>
      </c>
      <c r="G151" s="131"/>
      <c r="H151" s="131"/>
      <c r="I151" s="50" t="s">
        <v>59</v>
      </c>
      <c r="J151" s="50" t="s">
        <v>66</v>
      </c>
      <c r="K151" s="131"/>
      <c r="L151" s="131"/>
      <c r="M151" s="50" t="s">
        <v>4916</v>
      </c>
      <c r="N151" s="51">
        <v>-7.2588538E7</v>
      </c>
      <c r="O151" s="51">
        <v>1.127416521E9</v>
      </c>
      <c r="P151" s="132" t="s">
        <v>4917</v>
      </c>
    </row>
    <row r="152">
      <c r="A152" s="50" t="s">
        <v>4918</v>
      </c>
      <c r="C152" s="50" t="s">
        <v>4840</v>
      </c>
      <c r="D152" s="50" t="s">
        <v>4840</v>
      </c>
      <c r="F152" s="50" t="s">
        <v>21</v>
      </c>
      <c r="G152" s="131"/>
      <c r="H152" s="131"/>
      <c r="I152" s="50" t="s">
        <v>59</v>
      </c>
      <c r="J152" s="50" t="s">
        <v>66</v>
      </c>
      <c r="K152" s="131"/>
      <c r="L152" s="131"/>
      <c r="M152" s="50" t="s">
        <v>4613</v>
      </c>
      <c r="N152" s="131"/>
      <c r="O152" s="131"/>
      <c r="P152" s="132" t="s">
        <v>4919</v>
      </c>
    </row>
    <row r="153">
      <c r="A153" s="50" t="s">
        <v>4920</v>
      </c>
      <c r="C153" s="50" t="s">
        <v>4829</v>
      </c>
      <c r="D153" s="50" t="s">
        <v>4829</v>
      </c>
      <c r="E153" s="133">
        <v>3.0</v>
      </c>
      <c r="F153" s="50" t="s">
        <v>21</v>
      </c>
      <c r="G153" s="131"/>
      <c r="H153" s="50" t="s">
        <v>314</v>
      </c>
      <c r="I153" s="50" t="s">
        <v>59</v>
      </c>
      <c r="J153" s="50" t="s">
        <v>66</v>
      </c>
      <c r="K153" s="131"/>
      <c r="L153" s="131"/>
      <c r="M153" s="50" t="s">
        <v>4613</v>
      </c>
      <c r="N153" s="131"/>
      <c r="O153" s="131"/>
      <c r="P153" s="132" t="s">
        <v>4921</v>
      </c>
    </row>
    <row r="154">
      <c r="A154" s="50" t="s">
        <v>3239</v>
      </c>
      <c r="B154" s="50" t="s">
        <v>4922</v>
      </c>
      <c r="C154" s="50" t="s">
        <v>4604</v>
      </c>
      <c r="D154" s="50" t="s">
        <v>4604</v>
      </c>
      <c r="E154" s="133">
        <v>8.0</v>
      </c>
      <c r="F154" s="50" t="s">
        <v>21</v>
      </c>
      <c r="G154" s="131"/>
      <c r="H154" s="134">
        <v>46238.0</v>
      </c>
      <c r="I154" s="50" t="s">
        <v>59</v>
      </c>
      <c r="J154" s="50" t="s">
        <v>66</v>
      </c>
      <c r="K154" s="131"/>
      <c r="L154" s="131"/>
      <c r="M154" s="50" t="s">
        <v>4613</v>
      </c>
      <c r="N154" s="131"/>
      <c r="O154" s="131"/>
      <c r="P154" s="132" t="s">
        <v>4923</v>
      </c>
    </row>
    <row r="155">
      <c r="A155" s="50" t="s">
        <v>4924</v>
      </c>
      <c r="C155" s="50" t="s">
        <v>4829</v>
      </c>
      <c r="D155" s="50" t="s">
        <v>4829</v>
      </c>
      <c r="E155" s="133">
        <v>3.0</v>
      </c>
      <c r="F155" s="50" t="s">
        <v>21</v>
      </c>
      <c r="G155" s="131"/>
      <c r="H155" s="134">
        <v>46207.0</v>
      </c>
      <c r="I155" s="50" t="s">
        <v>59</v>
      </c>
      <c r="J155" s="50" t="s">
        <v>66</v>
      </c>
      <c r="K155" s="131"/>
      <c r="L155" s="131"/>
      <c r="M155" s="50" t="s">
        <v>4925</v>
      </c>
      <c r="N155" s="51">
        <v>-7.2287568E7</v>
      </c>
      <c r="O155" s="51">
        <v>1.127456364E9</v>
      </c>
      <c r="P155" s="132" t="s">
        <v>4926</v>
      </c>
    </row>
    <row r="156">
      <c r="A156" s="50" t="s">
        <v>3208</v>
      </c>
      <c r="C156" s="50" t="s">
        <v>4829</v>
      </c>
      <c r="D156" s="50" t="s">
        <v>4829</v>
      </c>
      <c r="E156" s="133">
        <v>244.0</v>
      </c>
      <c r="F156" s="50" t="s">
        <v>21</v>
      </c>
      <c r="G156" s="131"/>
      <c r="H156" s="134">
        <v>46207.0</v>
      </c>
      <c r="I156" s="50" t="s">
        <v>59</v>
      </c>
      <c r="J156" s="50" t="s">
        <v>66</v>
      </c>
      <c r="K156" s="131"/>
      <c r="L156" s="131"/>
      <c r="M156" s="50" t="s">
        <v>4613</v>
      </c>
      <c r="N156" s="131"/>
      <c r="O156" s="131"/>
      <c r="P156" s="132" t="s">
        <v>4927</v>
      </c>
    </row>
    <row r="157">
      <c r="A157" s="50" t="s">
        <v>4928</v>
      </c>
      <c r="C157" s="50" t="s">
        <v>4829</v>
      </c>
      <c r="D157" s="50" t="s">
        <v>4829</v>
      </c>
      <c r="F157" s="50" t="s">
        <v>21</v>
      </c>
      <c r="G157" s="131"/>
      <c r="H157" s="131"/>
      <c r="I157" s="50" t="s">
        <v>59</v>
      </c>
      <c r="J157" s="50" t="s">
        <v>66</v>
      </c>
      <c r="K157" s="131"/>
      <c r="L157" s="131"/>
      <c r="M157" s="50" t="s">
        <v>4929</v>
      </c>
      <c r="N157" s="51">
        <v>-7.3185238E7</v>
      </c>
      <c r="O157" s="51">
        <v>1.127295739E9</v>
      </c>
      <c r="P157" s="132" t="s">
        <v>4930</v>
      </c>
    </row>
    <row r="158">
      <c r="A158" s="50" t="s">
        <v>2239</v>
      </c>
      <c r="C158" s="50" t="s">
        <v>4829</v>
      </c>
      <c r="D158" s="50" t="s">
        <v>4829</v>
      </c>
      <c r="F158" s="50" t="s">
        <v>21</v>
      </c>
      <c r="G158" s="131"/>
      <c r="H158" s="131"/>
      <c r="I158" s="50" t="s">
        <v>59</v>
      </c>
      <c r="J158" s="50" t="s">
        <v>66</v>
      </c>
      <c r="K158" s="131"/>
      <c r="L158" s="131"/>
      <c r="M158" s="50" t="s">
        <v>4613</v>
      </c>
      <c r="N158" s="131"/>
      <c r="O158" s="131"/>
      <c r="P158" s="132" t="s">
        <v>4931</v>
      </c>
    </row>
    <row r="159">
      <c r="A159" s="50" t="s">
        <v>3542</v>
      </c>
      <c r="C159" s="50" t="s">
        <v>4829</v>
      </c>
      <c r="D159" s="50" t="s">
        <v>4829</v>
      </c>
      <c r="E159" s="133">
        <v>1.0</v>
      </c>
      <c r="F159" s="50" t="s">
        <v>21</v>
      </c>
      <c r="G159" s="131"/>
      <c r="H159" s="50" t="s">
        <v>314</v>
      </c>
      <c r="I159" s="50" t="s">
        <v>59</v>
      </c>
      <c r="J159" s="50" t="s">
        <v>66</v>
      </c>
      <c r="K159" s="131"/>
      <c r="L159" s="131"/>
      <c r="M159" s="50" t="s">
        <v>4613</v>
      </c>
      <c r="N159" s="131"/>
      <c r="O159" s="131"/>
      <c r="P159" s="132" t="s">
        <v>4932</v>
      </c>
    </row>
    <row r="160">
      <c r="A160" s="50" t="s">
        <v>2564</v>
      </c>
      <c r="C160" s="50" t="s">
        <v>4829</v>
      </c>
      <c r="D160" s="50" t="s">
        <v>4829</v>
      </c>
      <c r="F160" s="50" t="s">
        <v>21</v>
      </c>
      <c r="G160" s="131"/>
      <c r="H160" s="131"/>
      <c r="I160" s="50" t="s">
        <v>59</v>
      </c>
      <c r="J160" s="50" t="s">
        <v>66</v>
      </c>
      <c r="K160" s="131"/>
      <c r="L160" s="131"/>
      <c r="M160" s="50" t="s">
        <v>4933</v>
      </c>
      <c r="N160" s="51">
        <v>-7.3138735E7</v>
      </c>
      <c r="O160" s="51">
        <v>1.127006293E9</v>
      </c>
      <c r="P160" s="132" t="s">
        <v>4934</v>
      </c>
    </row>
    <row r="161">
      <c r="A161" s="50" t="s">
        <v>4935</v>
      </c>
      <c r="C161" s="50" t="s">
        <v>4840</v>
      </c>
      <c r="D161" s="50" t="s">
        <v>4840</v>
      </c>
      <c r="F161" s="50" t="s">
        <v>21</v>
      </c>
      <c r="G161" s="131"/>
      <c r="H161" s="131"/>
      <c r="I161" s="50" t="s">
        <v>59</v>
      </c>
      <c r="J161" s="50" t="s">
        <v>66</v>
      </c>
      <c r="K161" s="131"/>
      <c r="L161" s="131"/>
      <c r="M161" s="50" t="s">
        <v>4613</v>
      </c>
      <c r="N161" s="131"/>
      <c r="O161" s="131"/>
      <c r="P161" s="132" t="s">
        <v>4936</v>
      </c>
    </row>
    <row r="162">
      <c r="A162" s="50" t="s">
        <v>4937</v>
      </c>
      <c r="C162" s="50" t="s">
        <v>4541</v>
      </c>
      <c r="D162" s="50" t="s">
        <v>4541</v>
      </c>
      <c r="E162" s="133">
        <v>9.0</v>
      </c>
      <c r="F162" s="50" t="s">
        <v>21</v>
      </c>
      <c r="G162" s="131"/>
      <c r="H162" s="134">
        <v>46207.0</v>
      </c>
      <c r="I162" s="50" t="s">
        <v>59</v>
      </c>
      <c r="J162" s="50" t="s">
        <v>66</v>
      </c>
      <c r="K162" s="131"/>
      <c r="L162" s="131"/>
      <c r="M162" s="50" t="s">
        <v>4938</v>
      </c>
      <c r="N162" s="51">
        <v>-7.3129219E7</v>
      </c>
      <c r="O162" s="51">
        <v>1.127067429E9</v>
      </c>
      <c r="P162" s="132" t="s">
        <v>4939</v>
      </c>
    </row>
    <row r="163">
      <c r="A163" s="50" t="s">
        <v>1781</v>
      </c>
      <c r="C163" s="50" t="s">
        <v>4840</v>
      </c>
      <c r="D163" s="50" t="s">
        <v>4840</v>
      </c>
      <c r="F163" s="50" t="s">
        <v>21</v>
      </c>
      <c r="G163" s="131"/>
      <c r="H163" s="131"/>
      <c r="I163" s="50" t="s">
        <v>59</v>
      </c>
      <c r="J163" s="50" t="s">
        <v>66</v>
      </c>
      <c r="K163" s="131"/>
      <c r="L163" s="131"/>
      <c r="M163" s="50" t="s">
        <v>4613</v>
      </c>
      <c r="N163" s="131"/>
      <c r="O163" s="131"/>
      <c r="P163" s="132" t="s">
        <v>4940</v>
      </c>
    </row>
    <row r="164">
      <c r="A164" s="50" t="s">
        <v>4941</v>
      </c>
      <c r="C164" s="50" t="s">
        <v>4829</v>
      </c>
      <c r="D164" s="50" t="s">
        <v>4829</v>
      </c>
      <c r="F164" s="50" t="s">
        <v>21</v>
      </c>
      <c r="G164" s="131"/>
      <c r="H164" s="131"/>
      <c r="I164" s="50" t="s">
        <v>59</v>
      </c>
      <c r="J164" s="50" t="s">
        <v>66</v>
      </c>
      <c r="K164" s="131"/>
      <c r="L164" s="131"/>
      <c r="M164" s="50" t="s">
        <v>4613</v>
      </c>
      <c r="N164" s="131"/>
      <c r="O164" s="131"/>
      <c r="P164" s="132" t="s">
        <v>4942</v>
      </c>
    </row>
    <row r="165">
      <c r="A165" s="50" t="s">
        <v>3234</v>
      </c>
      <c r="C165" s="50" t="s">
        <v>4943</v>
      </c>
      <c r="D165" s="50" t="s">
        <v>4943</v>
      </c>
      <c r="E165" s="131"/>
      <c r="F165" s="50" t="s">
        <v>21</v>
      </c>
      <c r="G165" s="131"/>
      <c r="H165" s="131"/>
      <c r="I165" s="50" t="s">
        <v>59</v>
      </c>
      <c r="J165" s="50" t="s">
        <v>66</v>
      </c>
      <c r="K165" s="131"/>
      <c r="L165" s="131"/>
      <c r="M165" s="50" t="s">
        <v>4944</v>
      </c>
      <c r="N165" s="51">
        <v>-7268225.0</v>
      </c>
      <c r="O165" s="51">
        <v>1.126652151E9</v>
      </c>
      <c r="P165" s="132" t="s">
        <v>4945</v>
      </c>
    </row>
    <row r="166">
      <c r="A166" s="50" t="s">
        <v>4946</v>
      </c>
      <c r="C166" s="50" t="s">
        <v>4846</v>
      </c>
      <c r="D166" s="50" t="s">
        <v>4846</v>
      </c>
      <c r="F166" s="50" t="s">
        <v>21</v>
      </c>
      <c r="G166" s="131"/>
      <c r="H166" s="131"/>
      <c r="I166" s="50" t="s">
        <v>59</v>
      </c>
      <c r="J166" s="50" t="s">
        <v>66</v>
      </c>
      <c r="K166" s="131"/>
      <c r="L166" s="131"/>
      <c r="M166" s="50" t="s">
        <v>4613</v>
      </c>
      <c r="N166" s="131"/>
      <c r="O166" s="131"/>
      <c r="P166" s="132" t="s">
        <v>4947</v>
      </c>
    </row>
    <row r="167">
      <c r="A167" s="50" t="s">
        <v>4948</v>
      </c>
      <c r="C167" s="50" t="s">
        <v>4846</v>
      </c>
      <c r="D167" s="50" t="s">
        <v>4846</v>
      </c>
      <c r="F167" s="50" t="s">
        <v>21</v>
      </c>
      <c r="G167" s="131"/>
      <c r="H167" s="131"/>
      <c r="I167" s="50" t="s">
        <v>59</v>
      </c>
      <c r="J167" s="50" t="s">
        <v>66</v>
      </c>
      <c r="K167" s="131"/>
      <c r="L167" s="131"/>
      <c r="M167" s="50" t="s">
        <v>4613</v>
      </c>
      <c r="N167" s="131"/>
      <c r="O167" s="131"/>
      <c r="P167" s="132" t="s">
        <v>4949</v>
      </c>
    </row>
    <row r="168">
      <c r="A168" s="50" t="s">
        <v>4950</v>
      </c>
      <c r="C168" s="50" t="s">
        <v>4829</v>
      </c>
      <c r="D168" s="50" t="s">
        <v>4829</v>
      </c>
      <c r="F168" s="50" t="s">
        <v>21</v>
      </c>
      <c r="G168" s="131"/>
      <c r="H168" s="131"/>
      <c r="I168" s="50" t="s">
        <v>59</v>
      </c>
      <c r="J168" s="50" t="s">
        <v>66</v>
      </c>
      <c r="K168" s="131"/>
      <c r="L168" s="131"/>
      <c r="M168" s="50" t="s">
        <v>4951</v>
      </c>
      <c r="N168" s="51">
        <v>-7312417.0</v>
      </c>
      <c r="O168" s="51">
        <v>1.127887406E9</v>
      </c>
      <c r="P168" s="132" t="s">
        <v>4952</v>
      </c>
    </row>
    <row r="169">
      <c r="A169" s="50" t="s">
        <v>4953</v>
      </c>
      <c r="C169" s="50" t="s">
        <v>4846</v>
      </c>
      <c r="D169" s="50" t="s">
        <v>4846</v>
      </c>
      <c r="F169" s="50" t="s">
        <v>21</v>
      </c>
      <c r="G169" s="131"/>
      <c r="H169" s="131"/>
      <c r="I169" s="50" t="s">
        <v>59</v>
      </c>
      <c r="J169" s="50" t="s">
        <v>66</v>
      </c>
      <c r="K169" s="131"/>
      <c r="L169" s="131"/>
      <c r="M169" s="50" t="s">
        <v>4613</v>
      </c>
      <c r="N169" s="131"/>
      <c r="O169" s="131"/>
      <c r="P169" s="132" t="s">
        <v>4954</v>
      </c>
    </row>
    <row r="170">
      <c r="A170" s="50" t="s">
        <v>1242</v>
      </c>
      <c r="B170" s="50" t="s">
        <v>4955</v>
      </c>
      <c r="C170" s="50" t="s">
        <v>4840</v>
      </c>
      <c r="D170" s="50" t="s">
        <v>4840</v>
      </c>
      <c r="F170" s="50" t="s">
        <v>21</v>
      </c>
      <c r="G170" s="131"/>
      <c r="H170" s="131"/>
      <c r="I170" s="50" t="s">
        <v>59</v>
      </c>
      <c r="J170" s="50" t="s">
        <v>66</v>
      </c>
      <c r="K170" s="131"/>
      <c r="L170" s="131"/>
      <c r="M170" s="50" t="s">
        <v>4956</v>
      </c>
      <c r="N170" s="51">
        <v>-7.2926497E7</v>
      </c>
      <c r="O170" s="51">
        <v>1.126545787E9</v>
      </c>
      <c r="P170" s="132" t="s">
        <v>4957</v>
      </c>
    </row>
    <row r="171">
      <c r="A171" s="50" t="s">
        <v>3585</v>
      </c>
      <c r="C171" s="50" t="s">
        <v>4541</v>
      </c>
      <c r="D171" s="50" t="s">
        <v>4541</v>
      </c>
      <c r="F171" s="50" t="s">
        <v>21</v>
      </c>
      <c r="G171" s="131"/>
      <c r="H171" s="131"/>
      <c r="I171" s="50" t="s">
        <v>59</v>
      </c>
      <c r="J171" s="50" t="s">
        <v>66</v>
      </c>
      <c r="K171" s="131"/>
      <c r="L171" s="131"/>
      <c r="M171" s="50" t="s">
        <v>4613</v>
      </c>
      <c r="N171" s="131"/>
      <c r="O171" s="131"/>
      <c r="P171" s="132" t="s">
        <v>4958</v>
      </c>
    </row>
    <row r="172">
      <c r="A172" s="50" t="s">
        <v>3082</v>
      </c>
      <c r="C172" s="50" t="s">
        <v>4959</v>
      </c>
      <c r="D172" s="50" t="s">
        <v>4959</v>
      </c>
      <c r="F172" s="50" t="s">
        <v>21</v>
      </c>
      <c r="G172" s="131"/>
      <c r="H172" s="131"/>
      <c r="I172" s="50" t="s">
        <v>59</v>
      </c>
      <c r="J172" s="50" t="s">
        <v>66</v>
      </c>
      <c r="K172" s="131"/>
      <c r="L172" s="131"/>
      <c r="M172" s="50" t="s">
        <v>4613</v>
      </c>
      <c r="N172" s="131"/>
      <c r="O172" s="131"/>
      <c r="P172" s="132" t="s">
        <v>4960</v>
      </c>
    </row>
    <row r="173">
      <c r="A173" s="50" t="s">
        <v>4961</v>
      </c>
      <c r="B173" s="50" t="s">
        <v>4962</v>
      </c>
      <c r="C173" s="50" t="s">
        <v>4963</v>
      </c>
      <c r="D173" s="50" t="s">
        <v>4963</v>
      </c>
      <c r="E173" s="133">
        <v>59.0</v>
      </c>
      <c r="F173" s="50" t="s">
        <v>21</v>
      </c>
      <c r="G173" s="131"/>
      <c r="H173" s="134">
        <v>46057.0</v>
      </c>
      <c r="I173" s="50" t="s">
        <v>59</v>
      </c>
      <c r="J173" s="50" t="s">
        <v>66</v>
      </c>
      <c r="K173" s="131"/>
      <c r="L173" s="131"/>
      <c r="M173" s="50" t="s">
        <v>4613</v>
      </c>
      <c r="N173" s="131"/>
      <c r="O173" s="131"/>
      <c r="P173" s="132" t="s">
        <v>4964</v>
      </c>
    </row>
    <row r="174">
      <c r="A174" s="50" t="s">
        <v>4965</v>
      </c>
      <c r="C174" s="50" t="s">
        <v>4966</v>
      </c>
      <c r="D174" s="50" t="s">
        <v>4966</v>
      </c>
      <c r="F174" s="50" t="s">
        <v>21</v>
      </c>
      <c r="G174" s="131"/>
      <c r="H174" s="131"/>
      <c r="I174" s="50" t="s">
        <v>59</v>
      </c>
      <c r="J174" s="50" t="s">
        <v>66</v>
      </c>
      <c r="K174" s="131"/>
      <c r="L174" s="131"/>
      <c r="M174" s="50" t="s">
        <v>4613</v>
      </c>
      <c r="N174" s="131"/>
      <c r="O174" s="131"/>
      <c r="P174" s="132" t="s">
        <v>4967</v>
      </c>
    </row>
    <row r="175">
      <c r="A175" s="50" t="s">
        <v>971</v>
      </c>
      <c r="C175" s="50" t="s">
        <v>4968</v>
      </c>
      <c r="D175" s="50" t="s">
        <v>4968</v>
      </c>
      <c r="F175" s="50" t="s">
        <v>21</v>
      </c>
      <c r="G175" s="131"/>
      <c r="H175" s="131"/>
      <c r="I175" s="50" t="s">
        <v>59</v>
      </c>
      <c r="J175" s="50" t="s">
        <v>66</v>
      </c>
      <c r="K175" s="131"/>
      <c r="L175" s="131"/>
      <c r="M175" s="50" t="s">
        <v>4969</v>
      </c>
      <c r="N175" s="51">
        <v>-7.2671284E7</v>
      </c>
      <c r="O175" s="51">
        <v>1.127526298E9</v>
      </c>
      <c r="P175" s="132" t="s">
        <v>4970</v>
      </c>
    </row>
    <row r="176">
      <c r="A176" s="50" t="s">
        <v>4971</v>
      </c>
      <c r="C176" s="50" t="s">
        <v>4972</v>
      </c>
      <c r="D176" s="50" t="s">
        <v>4972</v>
      </c>
      <c r="F176" s="50" t="s">
        <v>21</v>
      </c>
      <c r="G176" s="131"/>
      <c r="H176" s="131"/>
      <c r="I176" s="50" t="s">
        <v>59</v>
      </c>
      <c r="J176" s="50" t="s">
        <v>66</v>
      </c>
      <c r="K176" s="131"/>
      <c r="L176" s="131"/>
      <c r="M176" s="50" t="s">
        <v>4613</v>
      </c>
      <c r="N176" s="131"/>
      <c r="O176" s="131"/>
      <c r="P176" s="132" t="s">
        <v>4973</v>
      </c>
    </row>
    <row r="177">
      <c r="A177" s="50" t="s">
        <v>3028</v>
      </c>
      <c r="C177" s="50" t="s">
        <v>4840</v>
      </c>
      <c r="D177" s="50" t="s">
        <v>4840</v>
      </c>
      <c r="F177" s="50" t="s">
        <v>21</v>
      </c>
      <c r="G177" s="131"/>
      <c r="H177" s="131"/>
      <c r="I177" s="50" t="s">
        <v>59</v>
      </c>
      <c r="J177" s="50" t="s">
        <v>66</v>
      </c>
      <c r="K177" s="131"/>
      <c r="L177" s="131"/>
      <c r="M177" s="50" t="s">
        <v>4974</v>
      </c>
      <c r="N177" s="51">
        <v>-7.2674503E7</v>
      </c>
      <c r="O177" s="51">
        <v>1.127700431E9</v>
      </c>
      <c r="P177" s="132" t="s">
        <v>4975</v>
      </c>
    </row>
    <row r="178">
      <c r="A178" s="50" t="s">
        <v>4976</v>
      </c>
      <c r="C178" s="50" t="s">
        <v>4977</v>
      </c>
      <c r="D178" s="50" t="s">
        <v>4977</v>
      </c>
      <c r="F178" s="50" t="s">
        <v>21</v>
      </c>
      <c r="G178" s="131"/>
      <c r="H178" s="131"/>
      <c r="I178" s="50" t="s">
        <v>59</v>
      </c>
      <c r="J178" s="50" t="s">
        <v>66</v>
      </c>
      <c r="K178" s="131"/>
      <c r="L178" s="131"/>
      <c r="M178" s="50" t="s">
        <v>4978</v>
      </c>
      <c r="N178" s="51">
        <v>-7.2688889E7</v>
      </c>
      <c r="O178" s="51">
        <v>1.127386167E9</v>
      </c>
      <c r="P178" s="132" t="s">
        <v>4979</v>
      </c>
    </row>
    <row r="179">
      <c r="A179" s="50" t="s">
        <v>427</v>
      </c>
      <c r="C179" s="50" t="s">
        <v>4541</v>
      </c>
      <c r="D179" s="50" t="s">
        <v>4541</v>
      </c>
      <c r="F179" s="50" t="s">
        <v>21</v>
      </c>
      <c r="G179" s="131"/>
      <c r="H179" s="131"/>
      <c r="I179" s="50" t="s">
        <v>59</v>
      </c>
      <c r="J179" s="50" t="s">
        <v>66</v>
      </c>
      <c r="K179" s="131"/>
      <c r="L179" s="131"/>
      <c r="M179" s="50" t="s">
        <v>4980</v>
      </c>
      <c r="N179" s="51">
        <v>-7.2715355E7</v>
      </c>
      <c r="O179" s="51">
        <v>1.127473151E9</v>
      </c>
      <c r="P179" s="132" t="s">
        <v>4981</v>
      </c>
    </row>
    <row r="180">
      <c r="A180" s="50" t="s">
        <v>4982</v>
      </c>
      <c r="B180" s="50" t="s">
        <v>4983</v>
      </c>
      <c r="C180" s="50" t="s">
        <v>4984</v>
      </c>
      <c r="D180" s="50" t="s">
        <v>4984</v>
      </c>
      <c r="F180" s="50" t="s">
        <v>21</v>
      </c>
      <c r="G180" s="131"/>
      <c r="H180" s="131"/>
      <c r="I180" s="50" t="s">
        <v>59</v>
      </c>
      <c r="J180" s="50" t="s">
        <v>66</v>
      </c>
      <c r="K180" s="131"/>
      <c r="L180" s="131"/>
      <c r="M180" s="50" t="s">
        <v>4985</v>
      </c>
      <c r="N180" s="51">
        <v>-7.2692707E7</v>
      </c>
      <c r="O180" s="51">
        <v>1.127501173E9</v>
      </c>
      <c r="P180" s="132" t="s">
        <v>4986</v>
      </c>
    </row>
    <row r="181">
      <c r="A181" s="50" t="s">
        <v>1383</v>
      </c>
      <c r="B181" s="50" t="s">
        <v>4987</v>
      </c>
      <c r="C181" s="50" t="s">
        <v>4840</v>
      </c>
      <c r="D181" s="50" t="s">
        <v>4840</v>
      </c>
      <c r="F181" s="50" t="s">
        <v>21</v>
      </c>
      <c r="G181" s="131"/>
      <c r="H181" s="131"/>
      <c r="I181" s="50" t="s">
        <v>59</v>
      </c>
      <c r="J181" s="50" t="s">
        <v>66</v>
      </c>
      <c r="K181" s="131"/>
      <c r="L181" s="131"/>
      <c r="M181" s="50" t="s">
        <v>4613</v>
      </c>
      <c r="N181" s="131"/>
      <c r="O181" s="131"/>
      <c r="P181" s="132" t="s">
        <v>4988</v>
      </c>
    </row>
    <row r="182">
      <c r="A182" s="50" t="s">
        <v>2842</v>
      </c>
      <c r="B182" s="50" t="s">
        <v>4989</v>
      </c>
      <c r="C182" s="50" t="s">
        <v>4972</v>
      </c>
      <c r="D182" s="50" t="s">
        <v>4972</v>
      </c>
      <c r="F182" s="50" t="s">
        <v>21</v>
      </c>
      <c r="G182" s="131"/>
      <c r="H182" s="131"/>
      <c r="I182" s="50" t="s">
        <v>59</v>
      </c>
      <c r="J182" s="50" t="s">
        <v>66</v>
      </c>
      <c r="K182" s="131"/>
      <c r="L182" s="131"/>
      <c r="M182" s="50" t="s">
        <v>4990</v>
      </c>
      <c r="N182" s="51">
        <v>-7.2805581E7</v>
      </c>
      <c r="O182" s="51">
        <v>1.127688904E9</v>
      </c>
      <c r="P182" s="132" t="s">
        <v>4991</v>
      </c>
    </row>
    <row r="183">
      <c r="A183" s="50" t="s">
        <v>980</v>
      </c>
      <c r="B183" s="50" t="s">
        <v>4992</v>
      </c>
      <c r="C183" s="50" t="s">
        <v>4993</v>
      </c>
      <c r="D183" s="50" t="s">
        <v>4993</v>
      </c>
      <c r="F183" s="50" t="s">
        <v>21</v>
      </c>
      <c r="G183" s="131"/>
      <c r="H183" s="131"/>
      <c r="I183" s="50" t="s">
        <v>59</v>
      </c>
      <c r="J183" s="50" t="s">
        <v>66</v>
      </c>
      <c r="K183" s="131"/>
      <c r="L183" s="131"/>
      <c r="M183" s="50" t="s">
        <v>4613</v>
      </c>
      <c r="N183" s="131"/>
      <c r="O183" s="131"/>
      <c r="P183" s="132" t="s">
        <v>4994</v>
      </c>
    </row>
    <row r="184">
      <c r="A184" s="50" t="s">
        <v>4995</v>
      </c>
      <c r="C184" s="50" t="s">
        <v>4897</v>
      </c>
      <c r="D184" s="50" t="s">
        <v>4897</v>
      </c>
      <c r="E184" s="133">
        <v>3.0</v>
      </c>
      <c r="F184" s="50" t="s">
        <v>21</v>
      </c>
      <c r="G184" s="131"/>
      <c r="H184" s="50" t="s">
        <v>314</v>
      </c>
      <c r="I184" s="50" t="s">
        <v>59</v>
      </c>
      <c r="J184" s="50" t="s">
        <v>66</v>
      </c>
      <c r="K184" s="131"/>
      <c r="L184" s="131"/>
      <c r="M184" s="50" t="s">
        <v>4996</v>
      </c>
      <c r="N184" s="51">
        <v>-7.2937027E7</v>
      </c>
      <c r="O184" s="51">
        <v>1.12707384E8</v>
      </c>
      <c r="P184" s="132" t="s">
        <v>4997</v>
      </c>
    </row>
    <row r="185">
      <c r="A185" s="50" t="s">
        <v>4998</v>
      </c>
      <c r="B185" s="50" t="s">
        <v>4999</v>
      </c>
      <c r="C185" s="50" t="s">
        <v>4541</v>
      </c>
      <c r="D185" s="50" t="s">
        <v>4541</v>
      </c>
      <c r="F185" s="50" t="s">
        <v>21</v>
      </c>
      <c r="G185" s="131"/>
      <c r="H185" s="131"/>
      <c r="I185" s="50" t="s">
        <v>59</v>
      </c>
      <c r="J185" s="50" t="s">
        <v>66</v>
      </c>
      <c r="K185" s="131"/>
      <c r="L185" s="131"/>
      <c r="M185" s="50" t="s">
        <v>5000</v>
      </c>
      <c r="N185" s="51">
        <v>-7269212.0</v>
      </c>
      <c r="O185" s="51">
        <v>1.12749755E8</v>
      </c>
      <c r="P185" s="132" t="s">
        <v>5001</v>
      </c>
    </row>
    <row r="186">
      <c r="A186" s="50" t="s">
        <v>161</v>
      </c>
      <c r="C186" s="50" t="s">
        <v>4541</v>
      </c>
      <c r="D186" s="50" t="s">
        <v>4541</v>
      </c>
      <c r="F186" s="50" t="s">
        <v>21</v>
      </c>
      <c r="G186" s="131"/>
      <c r="H186" s="131"/>
      <c r="I186" s="50" t="s">
        <v>59</v>
      </c>
      <c r="J186" s="50" t="s">
        <v>66</v>
      </c>
      <c r="K186" s="131"/>
      <c r="L186" s="131"/>
      <c r="M186" s="50" t="s">
        <v>4613</v>
      </c>
      <c r="N186" s="131"/>
      <c r="O186" s="131"/>
      <c r="P186" s="132" t="s">
        <v>5002</v>
      </c>
    </row>
    <row r="187">
      <c r="A187" s="50" t="s">
        <v>900</v>
      </c>
      <c r="C187" s="50" t="s">
        <v>4972</v>
      </c>
      <c r="D187" s="50" t="s">
        <v>4972</v>
      </c>
      <c r="F187" s="50" t="s">
        <v>21</v>
      </c>
      <c r="G187" s="131"/>
      <c r="H187" s="131"/>
      <c r="I187" s="50" t="s">
        <v>59</v>
      </c>
      <c r="J187" s="50" t="s">
        <v>66</v>
      </c>
      <c r="K187" s="131"/>
      <c r="L187" s="131"/>
      <c r="M187" s="50" t="s">
        <v>5003</v>
      </c>
      <c r="N187" s="51">
        <v>-7.2995063E7</v>
      </c>
      <c r="O187" s="51">
        <v>1.126636811E9</v>
      </c>
      <c r="P187" s="132" t="s">
        <v>5004</v>
      </c>
    </row>
    <row r="188">
      <c r="A188" s="50" t="s">
        <v>3438</v>
      </c>
      <c r="C188" s="50" t="s">
        <v>4959</v>
      </c>
      <c r="D188" s="50" t="s">
        <v>4959</v>
      </c>
      <c r="F188" s="50" t="s">
        <v>21</v>
      </c>
      <c r="G188" s="131"/>
      <c r="H188" s="131"/>
      <c r="I188" s="50" t="s">
        <v>59</v>
      </c>
      <c r="J188" s="50" t="s">
        <v>66</v>
      </c>
      <c r="K188" s="131"/>
      <c r="L188" s="131"/>
      <c r="M188" s="50" t="s">
        <v>5005</v>
      </c>
      <c r="N188" s="51">
        <v>-7286211.0</v>
      </c>
      <c r="O188" s="51">
        <v>1.126992675E9</v>
      </c>
      <c r="P188" s="132" t="s">
        <v>5006</v>
      </c>
    </row>
    <row r="189">
      <c r="A189" s="50" t="s">
        <v>2938</v>
      </c>
      <c r="C189" s="50" t="s">
        <v>4541</v>
      </c>
      <c r="D189" s="50" t="s">
        <v>4541</v>
      </c>
      <c r="F189" s="50" t="s">
        <v>21</v>
      </c>
      <c r="G189" s="131"/>
      <c r="H189" s="131"/>
      <c r="I189" s="50" t="s">
        <v>59</v>
      </c>
      <c r="J189" s="50" t="s">
        <v>66</v>
      </c>
      <c r="K189" s="131"/>
      <c r="L189" s="131"/>
      <c r="M189" s="50" t="s">
        <v>5007</v>
      </c>
      <c r="N189" s="51">
        <v>-7.2901625E7</v>
      </c>
      <c r="O189" s="51">
        <v>1.126751242E9</v>
      </c>
      <c r="P189" s="132" t="s">
        <v>5008</v>
      </c>
    </row>
    <row r="190">
      <c r="A190" s="50" t="s">
        <v>5009</v>
      </c>
      <c r="C190" s="50" t="s">
        <v>4897</v>
      </c>
      <c r="D190" s="50" t="s">
        <v>4897</v>
      </c>
      <c r="F190" s="50" t="s">
        <v>21</v>
      </c>
      <c r="G190" s="131"/>
      <c r="H190" s="131"/>
      <c r="I190" s="50" t="s">
        <v>59</v>
      </c>
      <c r="J190" s="50" t="s">
        <v>66</v>
      </c>
      <c r="K190" s="131"/>
      <c r="L190" s="131"/>
      <c r="M190" s="50" t="s">
        <v>5010</v>
      </c>
      <c r="N190" s="51">
        <v>-7.2794916E7</v>
      </c>
      <c r="O190" s="51">
        <v>1.127665996E9</v>
      </c>
      <c r="P190" s="132" t="s">
        <v>5011</v>
      </c>
    </row>
    <row r="191">
      <c r="A191" s="50" t="s">
        <v>1586</v>
      </c>
      <c r="B191" s="50" t="s">
        <v>5012</v>
      </c>
      <c r="C191" s="50" t="s">
        <v>19</v>
      </c>
      <c r="D191" s="50" t="s">
        <v>19</v>
      </c>
      <c r="E191" s="131"/>
      <c r="F191" s="50" t="s">
        <v>21</v>
      </c>
      <c r="G191" s="131"/>
      <c r="H191" s="131"/>
      <c r="I191" s="50" t="s">
        <v>59</v>
      </c>
      <c r="J191" s="50" t="s">
        <v>66</v>
      </c>
      <c r="K191" s="131"/>
      <c r="L191" s="131"/>
      <c r="M191" s="50" t="s">
        <v>4613</v>
      </c>
      <c r="N191" s="131"/>
      <c r="O191" s="131"/>
      <c r="P191" s="132" t="s">
        <v>5013</v>
      </c>
    </row>
    <row r="192">
      <c r="A192" s="50" t="s">
        <v>2152</v>
      </c>
      <c r="C192" s="50" t="s">
        <v>4541</v>
      </c>
      <c r="D192" s="50" t="s">
        <v>4541</v>
      </c>
      <c r="F192" s="50" t="s">
        <v>21</v>
      </c>
      <c r="G192" s="131"/>
      <c r="H192" s="131"/>
      <c r="I192" s="50" t="s">
        <v>59</v>
      </c>
      <c r="J192" s="50" t="s">
        <v>66</v>
      </c>
      <c r="K192" s="131"/>
      <c r="L192" s="131"/>
      <c r="M192" s="50" t="s">
        <v>4613</v>
      </c>
      <c r="N192" s="131"/>
      <c r="O192" s="131"/>
      <c r="P192" s="132" t="s">
        <v>5014</v>
      </c>
    </row>
    <row r="193">
      <c r="A193" s="50" t="s">
        <v>5015</v>
      </c>
      <c r="B193" s="50" t="s">
        <v>5016</v>
      </c>
      <c r="C193" s="50" t="s">
        <v>5017</v>
      </c>
      <c r="D193" s="50" t="s">
        <v>5017</v>
      </c>
      <c r="F193" s="50" t="s">
        <v>21</v>
      </c>
      <c r="G193" s="131"/>
      <c r="H193" s="131"/>
      <c r="I193" s="50" t="s">
        <v>59</v>
      </c>
      <c r="J193" s="50" t="s">
        <v>66</v>
      </c>
      <c r="K193" s="131"/>
      <c r="L193" s="131"/>
      <c r="M193" s="50" t="s">
        <v>5018</v>
      </c>
      <c r="N193" s="51">
        <v>-7.2895816E7</v>
      </c>
      <c r="O193" s="51">
        <v>1.127312155E9</v>
      </c>
      <c r="P193" s="132" t="s">
        <v>5019</v>
      </c>
    </row>
    <row r="194">
      <c r="A194" s="50" t="s">
        <v>3386</v>
      </c>
      <c r="C194" s="50" t="s">
        <v>4897</v>
      </c>
      <c r="D194" s="50" t="s">
        <v>4897</v>
      </c>
      <c r="F194" s="50" t="s">
        <v>21</v>
      </c>
      <c r="G194" s="131"/>
      <c r="H194" s="131"/>
      <c r="I194" s="50" t="s">
        <v>59</v>
      </c>
      <c r="J194" s="50" t="s">
        <v>66</v>
      </c>
      <c r="K194" s="131"/>
      <c r="L194" s="131"/>
      <c r="M194" s="50" t="s">
        <v>4613</v>
      </c>
      <c r="N194" s="131"/>
      <c r="O194" s="131"/>
      <c r="P194" s="132" t="s">
        <v>5020</v>
      </c>
    </row>
    <row r="195">
      <c r="A195" s="50" t="s">
        <v>905</v>
      </c>
      <c r="B195" s="50" t="s">
        <v>5021</v>
      </c>
      <c r="C195" s="50" t="s">
        <v>5022</v>
      </c>
      <c r="D195" s="50" t="s">
        <v>5022</v>
      </c>
      <c r="F195" s="50" t="s">
        <v>21</v>
      </c>
      <c r="G195" s="131"/>
      <c r="H195" s="131"/>
      <c r="I195" s="50" t="s">
        <v>59</v>
      </c>
      <c r="J195" s="50" t="s">
        <v>66</v>
      </c>
      <c r="K195" s="131"/>
      <c r="L195" s="131"/>
      <c r="M195" s="50" t="s">
        <v>5023</v>
      </c>
      <c r="N195" s="51">
        <v>-7.2813385E7</v>
      </c>
      <c r="O195" s="51">
        <v>1.127354883E9</v>
      </c>
      <c r="P195" s="132" t="s">
        <v>5024</v>
      </c>
    </row>
    <row r="196">
      <c r="A196" s="50" t="s">
        <v>5025</v>
      </c>
      <c r="C196" s="50" t="s">
        <v>5026</v>
      </c>
      <c r="D196" s="50" t="s">
        <v>5026</v>
      </c>
      <c r="F196" s="50" t="s">
        <v>21</v>
      </c>
      <c r="G196" s="131"/>
      <c r="H196" s="131"/>
      <c r="I196" s="50" t="s">
        <v>59</v>
      </c>
      <c r="J196" s="50" t="s">
        <v>66</v>
      </c>
      <c r="K196" s="131"/>
      <c r="L196" s="131"/>
      <c r="M196" s="50" t="s">
        <v>4613</v>
      </c>
      <c r="N196" s="131"/>
      <c r="O196" s="131"/>
      <c r="P196" s="132" t="s">
        <v>5027</v>
      </c>
    </row>
    <row r="197">
      <c r="A197" s="50" t="s">
        <v>5028</v>
      </c>
      <c r="C197" s="50" t="s">
        <v>4897</v>
      </c>
      <c r="D197" s="50" t="s">
        <v>4897</v>
      </c>
      <c r="F197" s="50" t="s">
        <v>21</v>
      </c>
      <c r="G197" s="131"/>
      <c r="H197" s="131"/>
      <c r="I197" s="50" t="s">
        <v>59</v>
      </c>
      <c r="J197" s="50" t="s">
        <v>66</v>
      </c>
      <c r="K197" s="131"/>
      <c r="L197" s="131"/>
      <c r="M197" s="50" t="s">
        <v>5029</v>
      </c>
      <c r="N197" s="51">
        <v>-7.2846868E7</v>
      </c>
      <c r="O197" s="51">
        <v>1.127385554E9</v>
      </c>
      <c r="P197" s="132" t="s">
        <v>5030</v>
      </c>
    </row>
    <row r="198">
      <c r="A198" s="50" t="s">
        <v>1942</v>
      </c>
      <c r="C198" s="50" t="s">
        <v>4840</v>
      </c>
      <c r="D198" s="50" t="s">
        <v>4840</v>
      </c>
      <c r="F198" s="50" t="s">
        <v>21</v>
      </c>
      <c r="G198" s="131"/>
      <c r="H198" s="131"/>
      <c r="I198" s="50" t="s">
        <v>59</v>
      </c>
      <c r="J198" s="50" t="s">
        <v>66</v>
      </c>
      <c r="K198" s="131"/>
      <c r="L198" s="131"/>
      <c r="M198" s="50" t="s">
        <v>4613</v>
      </c>
      <c r="N198" s="131"/>
      <c r="O198" s="131"/>
      <c r="P198" s="132" t="s">
        <v>5031</v>
      </c>
    </row>
  </sheetData>
  <mergeCells count="480">
    <mergeCell ref="D158:E158"/>
    <mergeCell ref="D160:E160"/>
    <mergeCell ref="D145:E145"/>
    <mergeCell ref="D146:E146"/>
    <mergeCell ref="D147:E147"/>
    <mergeCell ref="D148:E148"/>
    <mergeCell ref="D149:E149"/>
    <mergeCell ref="D152:E152"/>
    <mergeCell ref="D157:E157"/>
    <mergeCell ref="D59:E59"/>
    <mergeCell ref="D60:E60"/>
    <mergeCell ref="D61:E61"/>
    <mergeCell ref="D62:E62"/>
    <mergeCell ref="D64:E64"/>
    <mergeCell ref="D65:E65"/>
    <mergeCell ref="D66:E66"/>
    <mergeCell ref="D67:E67"/>
    <mergeCell ref="D68:E68"/>
    <mergeCell ref="D69:E69"/>
    <mergeCell ref="D70:E70"/>
    <mergeCell ref="D71:E71"/>
    <mergeCell ref="D72:E72"/>
    <mergeCell ref="D73:E73"/>
    <mergeCell ref="D75:E75"/>
    <mergeCell ref="D76:E76"/>
    <mergeCell ref="D78:E78"/>
    <mergeCell ref="D83:E83"/>
    <mergeCell ref="D87:E87"/>
    <mergeCell ref="D90:E90"/>
    <mergeCell ref="D91:E91"/>
    <mergeCell ref="D93:E93"/>
    <mergeCell ref="D94:E94"/>
    <mergeCell ref="D95:E95"/>
    <mergeCell ref="D100:E100"/>
    <mergeCell ref="D102:E102"/>
    <mergeCell ref="D106:E106"/>
    <mergeCell ref="D108:E108"/>
    <mergeCell ref="D111:E111"/>
    <mergeCell ref="D113:E113"/>
    <mergeCell ref="D114:E114"/>
    <mergeCell ref="D117:E117"/>
    <mergeCell ref="D118:E118"/>
    <mergeCell ref="D119:E119"/>
    <mergeCell ref="D120:E120"/>
    <mergeCell ref="D121:E121"/>
    <mergeCell ref="D122:E122"/>
    <mergeCell ref="D124:E124"/>
    <mergeCell ref="D126:E126"/>
    <mergeCell ref="D130:E130"/>
    <mergeCell ref="D131:E131"/>
    <mergeCell ref="D133:E133"/>
    <mergeCell ref="D134:E134"/>
    <mergeCell ref="D135:E135"/>
    <mergeCell ref="D139:E139"/>
    <mergeCell ref="D141:E141"/>
    <mergeCell ref="D142:E142"/>
    <mergeCell ref="D143:E143"/>
    <mergeCell ref="E144:F144"/>
    <mergeCell ref="P180:Q180"/>
    <mergeCell ref="P181:Q181"/>
    <mergeCell ref="P173:Q173"/>
    <mergeCell ref="P174:Q174"/>
    <mergeCell ref="P175:Q175"/>
    <mergeCell ref="P176:Q176"/>
    <mergeCell ref="P177:Q177"/>
    <mergeCell ref="P178:Q178"/>
    <mergeCell ref="P179:Q179"/>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5:Q145"/>
    <mergeCell ref="P146:Q146"/>
    <mergeCell ref="P147:Q147"/>
    <mergeCell ref="P148:Q148"/>
    <mergeCell ref="P149:Q149"/>
    <mergeCell ref="P150:Q150"/>
    <mergeCell ref="P151:Q151"/>
    <mergeCell ref="P152:Q152"/>
    <mergeCell ref="P153:Q153"/>
    <mergeCell ref="P154:Q154"/>
    <mergeCell ref="P155:Q155"/>
    <mergeCell ref="P156:Q156"/>
    <mergeCell ref="P157:Q157"/>
    <mergeCell ref="P158:Q158"/>
    <mergeCell ref="P159:Q159"/>
    <mergeCell ref="P160:Q160"/>
    <mergeCell ref="P161:Q161"/>
    <mergeCell ref="P162:Q162"/>
    <mergeCell ref="P163:Q163"/>
    <mergeCell ref="P164:Q164"/>
    <mergeCell ref="P165:Q165"/>
    <mergeCell ref="P166:Q166"/>
    <mergeCell ref="P167:Q167"/>
    <mergeCell ref="P168:Q168"/>
    <mergeCell ref="P169:Q169"/>
    <mergeCell ref="P170:Q170"/>
    <mergeCell ref="P171:Q171"/>
    <mergeCell ref="P172:Q172"/>
    <mergeCell ref="D193:E193"/>
    <mergeCell ref="D194:E194"/>
    <mergeCell ref="D195:E195"/>
    <mergeCell ref="D185:E185"/>
    <mergeCell ref="D186:E186"/>
    <mergeCell ref="D187:E187"/>
    <mergeCell ref="D188:E188"/>
    <mergeCell ref="D189:E189"/>
    <mergeCell ref="D190:E190"/>
    <mergeCell ref="D192:E192"/>
    <mergeCell ref="A160:B160"/>
    <mergeCell ref="A161:B161"/>
    <mergeCell ref="D161:E161"/>
    <mergeCell ref="A162:B162"/>
    <mergeCell ref="A163:B163"/>
    <mergeCell ref="D163:E163"/>
    <mergeCell ref="D164:E164"/>
    <mergeCell ref="A164:B164"/>
    <mergeCell ref="A165:B165"/>
    <mergeCell ref="A166:B166"/>
    <mergeCell ref="D166:E166"/>
    <mergeCell ref="A167:B167"/>
    <mergeCell ref="D167:E167"/>
    <mergeCell ref="D168:E168"/>
    <mergeCell ref="A168:B168"/>
    <mergeCell ref="A169:B169"/>
    <mergeCell ref="A171:B171"/>
    <mergeCell ref="A172:B172"/>
    <mergeCell ref="A174:B174"/>
    <mergeCell ref="A175:B175"/>
    <mergeCell ref="A176:B176"/>
    <mergeCell ref="D169:E169"/>
    <mergeCell ref="D170:E170"/>
    <mergeCell ref="D171:E171"/>
    <mergeCell ref="D172:E172"/>
    <mergeCell ref="D174:E174"/>
    <mergeCell ref="D175:E175"/>
    <mergeCell ref="D176:E176"/>
    <mergeCell ref="D177:E177"/>
    <mergeCell ref="D178:E178"/>
    <mergeCell ref="D179:E179"/>
    <mergeCell ref="D180:E180"/>
    <mergeCell ref="D181:E181"/>
    <mergeCell ref="D182:E182"/>
    <mergeCell ref="D183:E183"/>
    <mergeCell ref="A177:B177"/>
    <mergeCell ref="A178:B178"/>
    <mergeCell ref="A179:B179"/>
    <mergeCell ref="A184:B184"/>
    <mergeCell ref="A186:B186"/>
    <mergeCell ref="A187:B187"/>
    <mergeCell ref="A188:B188"/>
    <mergeCell ref="A197:B197"/>
    <mergeCell ref="A198:B198"/>
    <mergeCell ref="A189:B189"/>
    <mergeCell ref="A190:B190"/>
    <mergeCell ref="A192:B192"/>
    <mergeCell ref="A194:B194"/>
    <mergeCell ref="A196:B196"/>
    <mergeCell ref="D196:E196"/>
    <mergeCell ref="D197:E197"/>
    <mergeCell ref="D198:E198"/>
    <mergeCell ref="P1:Q1"/>
    <mergeCell ref="D2:E2"/>
    <mergeCell ref="P2:Q2"/>
    <mergeCell ref="A3:B3"/>
    <mergeCell ref="P3:Q3"/>
    <mergeCell ref="A4:B4"/>
    <mergeCell ref="D4:E4"/>
    <mergeCell ref="D10:E10"/>
    <mergeCell ref="D11:E11"/>
    <mergeCell ref="A6:B6"/>
    <mergeCell ref="D6:E6"/>
    <mergeCell ref="D7:E7"/>
    <mergeCell ref="A8:B8"/>
    <mergeCell ref="D8:E8"/>
    <mergeCell ref="A9:B9"/>
    <mergeCell ref="A10:B10"/>
    <mergeCell ref="P4:Q4"/>
    <mergeCell ref="P5:Q5"/>
    <mergeCell ref="P6:Q6"/>
    <mergeCell ref="P7:Q7"/>
    <mergeCell ref="P8:Q8"/>
    <mergeCell ref="P9:Q9"/>
    <mergeCell ref="P10:Q10"/>
    <mergeCell ref="P11:Q11"/>
    <mergeCell ref="P12:Q12"/>
    <mergeCell ref="P13:Q13"/>
    <mergeCell ref="P14:Q14"/>
    <mergeCell ref="P15:Q15"/>
    <mergeCell ref="P16:Q16"/>
    <mergeCell ref="P17:Q17"/>
    <mergeCell ref="A23:B23"/>
    <mergeCell ref="A24:B24"/>
    <mergeCell ref="D24:E24"/>
    <mergeCell ref="P18:Q18"/>
    <mergeCell ref="P19:Q19"/>
    <mergeCell ref="P20:Q20"/>
    <mergeCell ref="P21:Q21"/>
    <mergeCell ref="P22:Q22"/>
    <mergeCell ref="P23:Q23"/>
    <mergeCell ref="P24:Q24"/>
    <mergeCell ref="A12:B12"/>
    <mergeCell ref="D12:E12"/>
    <mergeCell ref="A14:B14"/>
    <mergeCell ref="A15:B15"/>
    <mergeCell ref="D15:E15"/>
    <mergeCell ref="A16:B16"/>
    <mergeCell ref="D17:E17"/>
    <mergeCell ref="A17:B17"/>
    <mergeCell ref="A20:B20"/>
    <mergeCell ref="D20:E20"/>
    <mergeCell ref="A21:B21"/>
    <mergeCell ref="D21:E21"/>
    <mergeCell ref="A22:B22"/>
    <mergeCell ref="D22:E22"/>
    <mergeCell ref="D25:E25"/>
    <mergeCell ref="D26:E26"/>
    <mergeCell ref="A28:B28"/>
    <mergeCell ref="D28:E28"/>
    <mergeCell ref="A29:B29"/>
    <mergeCell ref="A30:B30"/>
    <mergeCell ref="D30:E30"/>
    <mergeCell ref="A31:B31"/>
    <mergeCell ref="A32:B32"/>
    <mergeCell ref="D32:E32"/>
    <mergeCell ref="A33:B33"/>
    <mergeCell ref="D33:E33"/>
    <mergeCell ref="A34:B34"/>
    <mergeCell ref="A35:B35"/>
    <mergeCell ref="A36:B36"/>
    <mergeCell ref="A37:B37"/>
    <mergeCell ref="A39:B39"/>
    <mergeCell ref="A40:B40"/>
    <mergeCell ref="D40:E40"/>
    <mergeCell ref="A41:B41"/>
    <mergeCell ref="D42:E42"/>
    <mergeCell ref="A42:B42"/>
    <mergeCell ref="A43:B43"/>
    <mergeCell ref="A44:B44"/>
    <mergeCell ref="A45:B45"/>
    <mergeCell ref="A46:B46"/>
    <mergeCell ref="A47:B47"/>
    <mergeCell ref="A48:B48"/>
    <mergeCell ref="D43:E43"/>
    <mergeCell ref="D44:E44"/>
    <mergeCell ref="D46:E46"/>
    <mergeCell ref="D48:E48"/>
    <mergeCell ref="D49:E49"/>
    <mergeCell ref="D50:E50"/>
    <mergeCell ref="D54:E54"/>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P39:Q39"/>
    <mergeCell ref="P40:Q40"/>
    <mergeCell ref="P41:Q41"/>
    <mergeCell ref="P42:Q42"/>
    <mergeCell ref="P43:Q43"/>
    <mergeCell ref="P44:Q44"/>
    <mergeCell ref="P45:Q45"/>
    <mergeCell ref="P46:Q46"/>
    <mergeCell ref="P47:Q47"/>
    <mergeCell ref="P48:Q48"/>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A49:B49"/>
    <mergeCell ref="A50:B50"/>
    <mergeCell ref="A51:B51"/>
    <mergeCell ref="A53:B53"/>
    <mergeCell ref="A54:B54"/>
    <mergeCell ref="A55:B55"/>
    <mergeCell ref="A56:B56"/>
    <mergeCell ref="A57:B57"/>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80:B80"/>
    <mergeCell ref="A81:B81"/>
    <mergeCell ref="A82:B82"/>
    <mergeCell ref="A83:B83"/>
    <mergeCell ref="A84:B84"/>
    <mergeCell ref="A85:B85"/>
    <mergeCell ref="A86:B86"/>
    <mergeCell ref="A88:B88"/>
    <mergeCell ref="A90:B90"/>
    <mergeCell ref="A91:B91"/>
    <mergeCell ref="A92:B92"/>
    <mergeCell ref="A94:B94"/>
    <mergeCell ref="A95:B95"/>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1:B111"/>
    <mergeCell ref="A112:B112"/>
    <mergeCell ref="A113:B113"/>
    <mergeCell ref="A114:B114"/>
    <mergeCell ref="A115:B115"/>
    <mergeCell ref="A116:B116"/>
    <mergeCell ref="A117:B117"/>
    <mergeCell ref="A118:B118"/>
    <mergeCell ref="A119:B119"/>
    <mergeCell ref="A120:B120"/>
    <mergeCell ref="A121:B121"/>
    <mergeCell ref="A123:B123"/>
    <mergeCell ref="A124:B124"/>
    <mergeCell ref="A125:B125"/>
    <mergeCell ref="A126:B126"/>
    <mergeCell ref="A127:B127"/>
    <mergeCell ref="A128:B128"/>
    <mergeCell ref="A129:B129"/>
    <mergeCell ref="A130:B130"/>
    <mergeCell ref="A131:B131"/>
    <mergeCell ref="A132:B132"/>
    <mergeCell ref="A133:B133"/>
    <mergeCell ref="A135:B135"/>
    <mergeCell ref="A136:B136"/>
    <mergeCell ref="A137:B137"/>
    <mergeCell ref="A138:B138"/>
    <mergeCell ref="A140:B140"/>
    <mergeCell ref="A141:B141"/>
    <mergeCell ref="A142:B142"/>
    <mergeCell ref="A143:B143"/>
    <mergeCell ref="A145:B145"/>
    <mergeCell ref="A146:B146"/>
    <mergeCell ref="A147:B147"/>
    <mergeCell ref="A148:B148"/>
    <mergeCell ref="A149:B149"/>
    <mergeCell ref="A150:B150"/>
    <mergeCell ref="A151:B151"/>
    <mergeCell ref="A152:B152"/>
    <mergeCell ref="A153:B153"/>
    <mergeCell ref="A155:B155"/>
    <mergeCell ref="A156:B156"/>
    <mergeCell ref="A157:B157"/>
    <mergeCell ref="A158:B158"/>
    <mergeCell ref="A159:B159"/>
    <mergeCell ref="P182:Q182"/>
    <mergeCell ref="P183:Q183"/>
    <mergeCell ref="P184:Q184"/>
    <mergeCell ref="P185:Q185"/>
    <mergeCell ref="P186:Q186"/>
    <mergeCell ref="P187:Q187"/>
    <mergeCell ref="P188:Q188"/>
    <mergeCell ref="P196:Q196"/>
    <mergeCell ref="P197:Q197"/>
    <mergeCell ref="P198:Q198"/>
    <mergeCell ref="P189:Q189"/>
    <mergeCell ref="P190:Q190"/>
    <mergeCell ref="P191:Q191"/>
    <mergeCell ref="P192:Q192"/>
    <mergeCell ref="P193:Q193"/>
    <mergeCell ref="P194:Q194"/>
    <mergeCell ref="P195:Q195"/>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s>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P83"/>
    <hyperlink r:id="rId83" ref="P84"/>
    <hyperlink r:id="rId84" ref="P85"/>
    <hyperlink r:id="rId85" ref="P86"/>
    <hyperlink r:id="rId86" ref="P87"/>
    <hyperlink r:id="rId87" ref="P88"/>
    <hyperlink r:id="rId88" ref="P89"/>
    <hyperlink r:id="rId89" ref="P90"/>
    <hyperlink r:id="rId90" ref="P91"/>
    <hyperlink r:id="rId91" ref="P92"/>
    <hyperlink r:id="rId92" ref="P93"/>
    <hyperlink r:id="rId93" ref="P94"/>
    <hyperlink r:id="rId94" ref="P95"/>
    <hyperlink r:id="rId95" ref="P96"/>
    <hyperlink r:id="rId96" ref="P97"/>
    <hyperlink r:id="rId97" ref="P98"/>
    <hyperlink r:id="rId98" ref="P99"/>
    <hyperlink r:id="rId99" ref="P100"/>
    <hyperlink r:id="rId100" ref="P101"/>
    <hyperlink r:id="rId101" ref="P102"/>
    <hyperlink r:id="rId102" ref="P103"/>
    <hyperlink r:id="rId103" ref="P104"/>
    <hyperlink r:id="rId104" ref="P105"/>
    <hyperlink r:id="rId105" ref="P106"/>
    <hyperlink r:id="rId106" ref="P107"/>
    <hyperlink r:id="rId107" ref="P108"/>
    <hyperlink r:id="rId108" ref="P109"/>
    <hyperlink r:id="rId109" ref="P110"/>
    <hyperlink r:id="rId110" ref="P111"/>
    <hyperlink r:id="rId111" ref="P112"/>
    <hyperlink r:id="rId112" ref="P113"/>
    <hyperlink r:id="rId113" ref="P114"/>
    <hyperlink r:id="rId114" ref="P115"/>
    <hyperlink r:id="rId115" ref="P116"/>
    <hyperlink r:id="rId116" ref="P117"/>
    <hyperlink r:id="rId117" ref="P118"/>
    <hyperlink r:id="rId118" ref="P119"/>
    <hyperlink r:id="rId119" ref="P120"/>
    <hyperlink r:id="rId120" ref="P121"/>
    <hyperlink r:id="rId121" ref="P122"/>
    <hyperlink r:id="rId122" ref="P123"/>
    <hyperlink r:id="rId123" ref="P124"/>
    <hyperlink r:id="rId124" ref="P125"/>
    <hyperlink r:id="rId125" ref="P126"/>
    <hyperlink r:id="rId126" ref="P127"/>
    <hyperlink r:id="rId127" ref="P128"/>
    <hyperlink r:id="rId128" ref="P129"/>
    <hyperlink r:id="rId129" ref="P130"/>
    <hyperlink r:id="rId130" ref="P131"/>
    <hyperlink r:id="rId131" ref="P132"/>
    <hyperlink r:id="rId132" ref="P133"/>
    <hyperlink r:id="rId133" ref="P134"/>
    <hyperlink r:id="rId134" ref="P135"/>
    <hyperlink r:id="rId135" ref="P136"/>
    <hyperlink r:id="rId136" ref="P137"/>
    <hyperlink r:id="rId137" ref="P138"/>
    <hyperlink r:id="rId138" ref="P139"/>
    <hyperlink r:id="rId139" ref="P140"/>
    <hyperlink r:id="rId140" ref="P141"/>
    <hyperlink r:id="rId141" ref="P142"/>
    <hyperlink r:id="rId142" ref="P143"/>
    <hyperlink r:id="rId143" ref="Q144"/>
    <hyperlink r:id="rId144" ref="P145"/>
    <hyperlink r:id="rId145" ref="P146"/>
    <hyperlink r:id="rId146" ref="P147"/>
    <hyperlink r:id="rId147" ref="P148"/>
    <hyperlink r:id="rId148" ref="P149"/>
    <hyperlink r:id="rId149" ref="P150"/>
    <hyperlink r:id="rId150" ref="P151"/>
    <hyperlink r:id="rId151" ref="P152"/>
    <hyperlink r:id="rId152" ref="P153"/>
    <hyperlink r:id="rId153" ref="P154"/>
    <hyperlink r:id="rId154" ref="P155"/>
    <hyperlink r:id="rId155" ref="P156"/>
    <hyperlink r:id="rId156" ref="P157"/>
    <hyperlink r:id="rId157" ref="P158"/>
    <hyperlink r:id="rId158" ref="P159"/>
    <hyperlink r:id="rId159" ref="P160"/>
    <hyperlink r:id="rId160" ref="P161"/>
    <hyperlink r:id="rId161" ref="P162"/>
    <hyperlink r:id="rId162" ref="P163"/>
    <hyperlink r:id="rId163" ref="P164"/>
    <hyperlink r:id="rId164" ref="P165"/>
    <hyperlink r:id="rId165" ref="P166"/>
    <hyperlink r:id="rId166" ref="P167"/>
    <hyperlink r:id="rId167" ref="P168"/>
    <hyperlink r:id="rId168" ref="P169"/>
    <hyperlink r:id="rId169" ref="P170"/>
    <hyperlink r:id="rId170" ref="P171"/>
    <hyperlink r:id="rId171" ref="P172"/>
    <hyperlink r:id="rId172" ref="P173"/>
    <hyperlink r:id="rId173" ref="P174"/>
    <hyperlink r:id="rId174" ref="P175"/>
    <hyperlink r:id="rId175" ref="P176"/>
    <hyperlink r:id="rId176" ref="P177"/>
    <hyperlink r:id="rId177" ref="P178"/>
    <hyperlink r:id="rId178" ref="P179"/>
    <hyperlink r:id="rId179" ref="P180"/>
    <hyperlink r:id="rId180" ref="P181"/>
    <hyperlink r:id="rId181" ref="P182"/>
    <hyperlink r:id="rId182" ref="P183"/>
    <hyperlink r:id="rId183" ref="P184"/>
    <hyperlink r:id="rId184" ref="P185"/>
    <hyperlink r:id="rId185" ref="P186"/>
    <hyperlink r:id="rId186" ref="P187"/>
    <hyperlink r:id="rId187" ref="P188"/>
    <hyperlink r:id="rId188" ref="P189"/>
    <hyperlink r:id="rId189" ref="P190"/>
    <hyperlink r:id="rId190" ref="P191"/>
    <hyperlink r:id="rId191" ref="P192"/>
    <hyperlink r:id="rId192" ref="P193"/>
    <hyperlink r:id="rId193" ref="P194"/>
    <hyperlink r:id="rId194" ref="P195"/>
    <hyperlink r:id="rId195" ref="P196"/>
    <hyperlink r:id="rId196" ref="P197"/>
    <hyperlink r:id="rId197" ref="P198"/>
  </hyperlinks>
  <drawing r:id="rId19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16</v>
      </c>
    </row>
    <row r="2">
      <c r="A2" s="6">
        <v>1.0</v>
      </c>
      <c r="B2" s="12" t="s">
        <v>25</v>
      </c>
    </row>
    <row r="3">
      <c r="A3" s="13">
        <v>2.0</v>
      </c>
      <c r="B3" s="12" t="s">
        <v>31</v>
      </c>
    </row>
    <row r="4">
      <c r="A4" s="13">
        <v>3.0</v>
      </c>
      <c r="B4" s="12" t="s">
        <v>38</v>
      </c>
    </row>
    <row r="5">
      <c r="A5" s="13">
        <v>4.0</v>
      </c>
      <c r="B5" s="12" t="s">
        <v>43</v>
      </c>
    </row>
    <row r="6">
      <c r="A6" s="13">
        <v>5.0</v>
      </c>
      <c r="B6" s="22" t="s">
        <v>49</v>
      </c>
    </row>
    <row r="7">
      <c r="A7" s="13">
        <v>6.0</v>
      </c>
      <c r="B7" s="22" t="s">
        <v>54</v>
      </c>
    </row>
    <row r="8">
      <c r="A8" s="13">
        <v>7.0</v>
      </c>
      <c r="B8" s="12" t="s">
        <v>61</v>
      </c>
    </row>
    <row r="9">
      <c r="A9" s="13">
        <v>8.0</v>
      </c>
      <c r="B9" s="12" t="s">
        <v>68</v>
      </c>
    </row>
    <row r="10">
      <c r="A10" s="13">
        <v>9.0</v>
      </c>
      <c r="B10" s="12" t="s">
        <v>74</v>
      </c>
    </row>
    <row r="11">
      <c r="A11" s="13">
        <v>10.0</v>
      </c>
      <c r="B11" s="12" t="s">
        <v>79</v>
      </c>
    </row>
    <row r="12">
      <c r="A12" s="13">
        <v>11.0</v>
      </c>
      <c r="B12" s="12" t="s">
        <v>84</v>
      </c>
    </row>
    <row r="13">
      <c r="A13" s="13">
        <v>12.0</v>
      </c>
      <c r="B13" s="12" t="s">
        <v>89</v>
      </c>
    </row>
    <row r="14">
      <c r="A14" s="13">
        <v>13.0</v>
      </c>
      <c r="B14" s="12" t="s">
        <v>94</v>
      </c>
    </row>
    <row r="15">
      <c r="A15" s="13">
        <v>14.0</v>
      </c>
      <c r="B15" s="12" t="s">
        <v>99</v>
      </c>
    </row>
    <row r="16">
      <c r="A16" s="13">
        <v>15.0</v>
      </c>
      <c r="B16" s="12" t="s">
        <v>106</v>
      </c>
    </row>
    <row r="17">
      <c r="A17" s="13">
        <v>16.0</v>
      </c>
      <c r="B17" s="12" t="s">
        <v>111</v>
      </c>
    </row>
    <row r="18">
      <c r="A18" s="13">
        <v>17.0</v>
      </c>
      <c r="B18" s="12" t="s">
        <v>116</v>
      </c>
    </row>
    <row r="19">
      <c r="A19" s="13">
        <v>18.0</v>
      </c>
      <c r="B19" s="12" t="s">
        <v>121</v>
      </c>
    </row>
    <row r="20">
      <c r="A20" s="13">
        <v>19.0</v>
      </c>
      <c r="B20" s="12" t="s">
        <v>126</v>
      </c>
    </row>
    <row r="21">
      <c r="A21" s="13">
        <v>20.0</v>
      </c>
      <c r="B21" s="12" t="s">
        <v>135</v>
      </c>
    </row>
    <row r="22">
      <c r="A22" s="13">
        <v>21.0</v>
      </c>
      <c r="B22" s="12" t="s">
        <v>140</v>
      </c>
    </row>
    <row r="23">
      <c r="A23" s="13">
        <v>22.0</v>
      </c>
      <c r="B23" s="12" t="s">
        <v>145</v>
      </c>
    </row>
    <row r="24">
      <c r="A24" s="13">
        <v>23.0</v>
      </c>
      <c r="B24" s="12" t="s">
        <v>150</v>
      </c>
    </row>
    <row r="25">
      <c r="A25" s="13">
        <v>24.0</v>
      </c>
      <c r="B25" s="12" t="s">
        <v>155</v>
      </c>
    </row>
    <row r="26">
      <c r="A26" s="13">
        <v>25.0</v>
      </c>
      <c r="B26" s="12" t="s">
        <v>160</v>
      </c>
    </row>
    <row r="27">
      <c r="A27" s="13">
        <v>26.0</v>
      </c>
      <c r="B27" s="12" t="s">
        <v>166</v>
      </c>
    </row>
    <row r="28">
      <c r="A28" s="13">
        <v>27.0</v>
      </c>
      <c r="B28" s="12" t="s">
        <v>171</v>
      </c>
    </row>
    <row r="29">
      <c r="A29" s="13">
        <v>28.0</v>
      </c>
      <c r="B29" s="12" t="s">
        <v>176</v>
      </c>
    </row>
    <row r="30">
      <c r="A30" s="13">
        <v>29.0</v>
      </c>
      <c r="B30" s="12" t="s">
        <v>181</v>
      </c>
    </row>
    <row r="31">
      <c r="A31" s="13">
        <v>30.0</v>
      </c>
      <c r="B31" s="12" t="s">
        <v>186</v>
      </c>
    </row>
    <row r="32">
      <c r="A32" s="13">
        <v>31.0</v>
      </c>
      <c r="B32" s="12" t="s">
        <v>191</v>
      </c>
    </row>
    <row r="33">
      <c r="A33" s="13">
        <v>32.0</v>
      </c>
      <c r="B33" s="12" t="s">
        <v>196</v>
      </c>
    </row>
    <row r="34">
      <c r="A34" s="13">
        <v>33.0</v>
      </c>
      <c r="B34" s="12" t="s">
        <v>201</v>
      </c>
    </row>
    <row r="35">
      <c r="A35" s="13">
        <v>34.0</v>
      </c>
      <c r="B35" s="12" t="s">
        <v>206</v>
      </c>
    </row>
    <row r="36">
      <c r="A36" s="13">
        <v>35.0</v>
      </c>
      <c r="B36" s="12" t="s">
        <v>212</v>
      </c>
    </row>
    <row r="37">
      <c r="A37" s="13">
        <v>36.0</v>
      </c>
      <c r="B37" s="12" t="s">
        <v>217</v>
      </c>
    </row>
    <row r="38">
      <c r="A38" s="13">
        <v>37.0</v>
      </c>
      <c r="B38" s="12" t="s">
        <v>223</v>
      </c>
    </row>
    <row r="39">
      <c r="A39" s="13">
        <v>38.0</v>
      </c>
      <c r="B39" s="12" t="s">
        <v>228</v>
      </c>
    </row>
    <row r="40">
      <c r="A40" s="13">
        <v>39.0</v>
      </c>
      <c r="B40" s="12" t="s">
        <v>233</v>
      </c>
    </row>
    <row r="41">
      <c r="A41" s="13">
        <v>40.0</v>
      </c>
      <c r="B41" s="12" t="s">
        <v>238</v>
      </c>
    </row>
    <row r="42">
      <c r="A42" s="13">
        <v>41.0</v>
      </c>
      <c r="B42" s="12" t="s">
        <v>243</v>
      </c>
    </row>
    <row r="43">
      <c r="A43" s="13">
        <v>42.0</v>
      </c>
      <c r="B43" s="12" t="s">
        <v>248</v>
      </c>
    </row>
    <row r="44">
      <c r="A44" s="13">
        <v>43.0</v>
      </c>
      <c r="B44" s="12" t="s">
        <v>253</v>
      </c>
    </row>
    <row r="45">
      <c r="A45" s="13">
        <v>44.0</v>
      </c>
      <c r="B45" s="12" t="s">
        <v>258</v>
      </c>
    </row>
    <row r="46">
      <c r="A46" s="13">
        <v>45.0</v>
      </c>
      <c r="B46" s="12" t="s">
        <v>263</v>
      </c>
    </row>
    <row r="47">
      <c r="A47" s="13">
        <v>46.0</v>
      </c>
      <c r="B47" s="12" t="s">
        <v>268</v>
      </c>
    </row>
    <row r="48">
      <c r="A48" s="13">
        <v>47.0</v>
      </c>
      <c r="B48" s="12" t="s">
        <v>273</v>
      </c>
    </row>
    <row r="49">
      <c r="A49" s="13">
        <v>48.0</v>
      </c>
      <c r="B49" s="12" t="s">
        <v>278</v>
      </c>
    </row>
    <row r="50">
      <c r="A50" s="13">
        <v>49.0</v>
      </c>
      <c r="B50" s="12" t="s">
        <v>283</v>
      </c>
    </row>
    <row r="51">
      <c r="A51" s="13">
        <v>50.0</v>
      </c>
      <c r="B51" s="12" t="s">
        <v>290</v>
      </c>
    </row>
    <row r="52">
      <c r="A52" s="13">
        <v>51.0</v>
      </c>
      <c r="B52" s="12" t="s">
        <v>295</v>
      </c>
    </row>
    <row r="53">
      <c r="A53" s="13">
        <v>52.0</v>
      </c>
      <c r="B53" s="12" t="s">
        <v>300</v>
      </c>
    </row>
    <row r="54">
      <c r="A54" s="13">
        <v>53.0</v>
      </c>
      <c r="B54" s="12" t="s">
        <v>305</v>
      </c>
    </row>
    <row r="55">
      <c r="A55" s="13">
        <v>54.0</v>
      </c>
      <c r="B55" s="12" t="s">
        <v>310</v>
      </c>
    </row>
    <row r="56">
      <c r="A56" s="13">
        <v>55.0</v>
      </c>
      <c r="B56" s="12" t="s">
        <v>316</v>
      </c>
    </row>
    <row r="57">
      <c r="A57" s="13">
        <v>56.0</v>
      </c>
      <c r="B57" s="12" t="s">
        <v>323</v>
      </c>
    </row>
    <row r="58">
      <c r="A58" s="13">
        <v>57.0</v>
      </c>
      <c r="B58" s="12" t="s">
        <v>328</v>
      </c>
    </row>
    <row r="59">
      <c r="A59" s="13">
        <v>58.0</v>
      </c>
      <c r="B59" s="12" t="s">
        <v>333</v>
      </c>
    </row>
    <row r="60">
      <c r="A60" s="13">
        <v>59.0</v>
      </c>
      <c r="B60" s="35" t="s">
        <v>339</v>
      </c>
    </row>
    <row r="61">
      <c r="A61" s="13">
        <v>60.0</v>
      </c>
      <c r="B61" s="12" t="s">
        <v>345</v>
      </c>
    </row>
    <row r="62">
      <c r="A62" s="13">
        <v>61.0</v>
      </c>
      <c r="B62" s="12" t="s">
        <v>349</v>
      </c>
    </row>
    <row r="63">
      <c r="A63" s="13">
        <v>62.0</v>
      </c>
      <c r="B63" s="12" t="s">
        <v>354</v>
      </c>
    </row>
    <row r="64">
      <c r="A64" s="13">
        <v>63.0</v>
      </c>
      <c r="B64" s="12" t="s">
        <v>359</v>
      </c>
    </row>
    <row r="65">
      <c r="A65" s="13">
        <v>64.0</v>
      </c>
      <c r="B65" s="12" t="s">
        <v>364</v>
      </c>
    </row>
    <row r="66">
      <c r="A66" s="13">
        <v>65.0</v>
      </c>
      <c r="B66" s="12" t="s">
        <v>369</v>
      </c>
    </row>
    <row r="67">
      <c r="A67" s="13">
        <v>66.0</v>
      </c>
      <c r="B67" s="12" t="s">
        <v>374</v>
      </c>
    </row>
    <row r="68">
      <c r="A68" s="13">
        <v>67.0</v>
      </c>
      <c r="B68" s="12" t="s">
        <v>379</v>
      </c>
    </row>
    <row r="69">
      <c r="A69" s="13">
        <v>68.0</v>
      </c>
      <c r="B69" s="12" t="s">
        <v>384</v>
      </c>
    </row>
    <row r="70">
      <c r="A70" s="13">
        <v>69.0</v>
      </c>
      <c r="B70" s="12" t="s">
        <v>390</v>
      </c>
    </row>
    <row r="71">
      <c r="A71" s="13">
        <v>70.0</v>
      </c>
      <c r="B71" s="12" t="s">
        <v>395</v>
      </c>
    </row>
    <row r="72">
      <c r="A72" s="13">
        <v>71.0</v>
      </c>
      <c r="B72" s="12" t="s">
        <v>400</v>
      </c>
    </row>
    <row r="73">
      <c r="A73" s="13">
        <v>72.0</v>
      </c>
      <c r="B73" s="12" t="s">
        <v>405</v>
      </c>
    </row>
    <row r="74">
      <c r="A74" s="13">
        <v>73.0</v>
      </c>
      <c r="B74" s="35" t="s">
        <v>411</v>
      </c>
    </row>
    <row r="75">
      <c r="A75" s="13">
        <v>74.0</v>
      </c>
      <c r="B75" s="12" t="s">
        <v>416</v>
      </c>
    </row>
    <row r="76">
      <c r="A76" s="13">
        <v>75.0</v>
      </c>
      <c r="B76" s="12" t="s">
        <v>421</v>
      </c>
    </row>
    <row r="77">
      <c r="A77" s="13">
        <v>76.0</v>
      </c>
      <c r="B77" s="12" t="s">
        <v>426</v>
      </c>
    </row>
    <row r="78">
      <c r="A78" s="13">
        <v>77.0</v>
      </c>
      <c r="B78" s="12" t="s">
        <v>431</v>
      </c>
    </row>
    <row r="79">
      <c r="A79" s="13">
        <v>78.0</v>
      </c>
      <c r="B79" s="12" t="s">
        <v>436</v>
      </c>
    </row>
    <row r="80">
      <c r="A80" s="13">
        <v>79.0</v>
      </c>
      <c r="B80" s="12" t="s">
        <v>441</v>
      </c>
    </row>
    <row r="81">
      <c r="A81" s="13">
        <v>80.0</v>
      </c>
      <c r="B81" s="12" t="s">
        <v>446</v>
      </c>
    </row>
    <row r="82">
      <c r="A82" s="13">
        <v>81.0</v>
      </c>
      <c r="B82" s="12" t="s">
        <v>452</v>
      </c>
    </row>
    <row r="83">
      <c r="A83" s="13">
        <v>82.0</v>
      </c>
      <c r="B83" s="12" t="s">
        <v>457</v>
      </c>
    </row>
    <row r="84">
      <c r="A84" s="13">
        <v>83.0</v>
      </c>
      <c r="B84" s="12" t="s">
        <v>462</v>
      </c>
    </row>
    <row r="85">
      <c r="A85" s="13">
        <v>84.0</v>
      </c>
      <c r="B85" s="12" t="s">
        <v>466</v>
      </c>
    </row>
    <row r="86">
      <c r="A86" s="13">
        <v>85.0</v>
      </c>
      <c r="B86" s="12" t="s">
        <v>471</v>
      </c>
    </row>
    <row r="87">
      <c r="A87" s="13">
        <v>86.0</v>
      </c>
      <c r="B87" s="12" t="s">
        <v>476</v>
      </c>
    </row>
    <row r="88">
      <c r="A88" s="13">
        <v>87.0</v>
      </c>
      <c r="B88" s="12" t="s">
        <v>481</v>
      </c>
    </row>
    <row r="89">
      <c r="A89" s="13">
        <v>88.0</v>
      </c>
      <c r="B89" s="12" t="s">
        <v>487</v>
      </c>
    </row>
    <row r="90">
      <c r="A90" s="13">
        <v>89.0</v>
      </c>
      <c r="B90" s="12" t="s">
        <v>492</v>
      </c>
    </row>
    <row r="91">
      <c r="A91" s="13">
        <v>90.0</v>
      </c>
      <c r="B91" s="12" t="s">
        <v>497</v>
      </c>
    </row>
    <row r="92">
      <c r="A92" s="13">
        <v>91.0</v>
      </c>
      <c r="B92" s="12" t="s">
        <v>502</v>
      </c>
    </row>
    <row r="93">
      <c r="A93" s="13">
        <v>92.0</v>
      </c>
      <c r="B93" s="12" t="s">
        <v>507</v>
      </c>
    </row>
    <row r="94">
      <c r="A94" s="13">
        <v>93.0</v>
      </c>
      <c r="B94" s="12" t="s">
        <v>512</v>
      </c>
    </row>
    <row r="95">
      <c r="A95" s="13">
        <v>94.0</v>
      </c>
      <c r="B95" s="12" t="s">
        <v>517</v>
      </c>
    </row>
    <row r="96">
      <c r="A96" s="13">
        <v>95.0</v>
      </c>
      <c r="B96" s="12" t="s">
        <v>522</v>
      </c>
    </row>
    <row r="97">
      <c r="A97" s="13">
        <v>96.0</v>
      </c>
      <c r="B97" s="12" t="s">
        <v>527</v>
      </c>
    </row>
    <row r="98">
      <c r="A98" s="13">
        <v>97.0</v>
      </c>
      <c r="B98" s="12" t="s">
        <v>532</v>
      </c>
    </row>
    <row r="99">
      <c r="A99" s="13">
        <v>98.0</v>
      </c>
      <c r="B99" s="12" t="s">
        <v>537</v>
      </c>
    </row>
    <row r="100">
      <c r="A100" s="13">
        <v>99.0</v>
      </c>
      <c r="B100" s="42" t="s">
        <v>544</v>
      </c>
    </row>
    <row r="101">
      <c r="A101" s="13">
        <v>100.0</v>
      </c>
      <c r="B101" s="12" t="s">
        <v>549</v>
      </c>
    </row>
    <row r="102">
      <c r="A102" s="13">
        <v>101.0</v>
      </c>
      <c r="B102" s="12" t="s">
        <v>554</v>
      </c>
    </row>
    <row r="103">
      <c r="A103" s="13">
        <v>102.0</v>
      </c>
      <c r="B103" s="12" t="s">
        <v>559</v>
      </c>
    </row>
    <row r="104">
      <c r="A104" s="13">
        <v>103.0</v>
      </c>
      <c r="B104" s="12" t="s">
        <v>564</v>
      </c>
    </row>
    <row r="105">
      <c r="A105" s="13">
        <v>104.0</v>
      </c>
      <c r="B105" s="12" t="s">
        <v>569</v>
      </c>
    </row>
    <row r="106">
      <c r="A106" s="13">
        <v>105.0</v>
      </c>
      <c r="B106" s="12" t="s">
        <v>574</v>
      </c>
    </row>
    <row r="107">
      <c r="A107" s="13">
        <v>106.0</v>
      </c>
      <c r="B107" s="12" t="s">
        <v>579</v>
      </c>
    </row>
    <row r="108">
      <c r="A108" s="13">
        <v>107.0</v>
      </c>
      <c r="B108" s="42" t="s">
        <v>586</v>
      </c>
    </row>
    <row r="109">
      <c r="A109" s="13">
        <v>108.0</v>
      </c>
      <c r="B109" s="12" t="s">
        <v>592</v>
      </c>
    </row>
    <row r="110">
      <c r="A110" s="13">
        <v>109.0</v>
      </c>
      <c r="B110" s="12" t="s">
        <v>597</v>
      </c>
    </row>
    <row r="111">
      <c r="A111" s="13">
        <v>110.0</v>
      </c>
      <c r="B111" s="12" t="s">
        <v>604</v>
      </c>
    </row>
    <row r="112">
      <c r="A112" s="13">
        <v>111.0</v>
      </c>
      <c r="B112" s="12" t="s">
        <v>610</v>
      </c>
    </row>
    <row r="113">
      <c r="A113" s="13">
        <v>112.0</v>
      </c>
      <c r="B113" s="12" t="s">
        <v>615</v>
      </c>
    </row>
    <row r="114">
      <c r="A114" s="13">
        <v>113.0</v>
      </c>
      <c r="B114" s="12" t="s">
        <v>619</v>
      </c>
    </row>
    <row r="115">
      <c r="A115" s="13">
        <v>114.0</v>
      </c>
      <c r="B115" s="22" t="s">
        <v>624</v>
      </c>
    </row>
    <row r="116">
      <c r="A116" s="13">
        <v>115.0</v>
      </c>
      <c r="B116" s="12" t="s">
        <v>629</v>
      </c>
    </row>
    <row r="117">
      <c r="A117" s="13">
        <v>116.0</v>
      </c>
      <c r="B117" s="12" t="s">
        <v>634</v>
      </c>
    </row>
    <row r="118">
      <c r="A118" s="13">
        <v>117.0</v>
      </c>
      <c r="B118" s="12" t="s">
        <v>639</v>
      </c>
    </row>
    <row r="119">
      <c r="A119" s="13">
        <v>118.0</v>
      </c>
      <c r="B119" s="12" t="s">
        <v>645</v>
      </c>
    </row>
    <row r="120">
      <c r="A120" s="13">
        <v>119.0</v>
      </c>
      <c r="B120" s="12" t="s">
        <v>651</v>
      </c>
    </row>
    <row r="121">
      <c r="A121" s="13">
        <v>120.0</v>
      </c>
      <c r="B121" s="12" t="s">
        <v>655</v>
      </c>
    </row>
    <row r="122">
      <c r="A122" s="13">
        <v>121.0</v>
      </c>
      <c r="B122" s="12" t="s">
        <v>660</v>
      </c>
    </row>
    <row r="123">
      <c r="A123" s="13">
        <v>122.0</v>
      </c>
      <c r="B123" s="12" t="s">
        <v>665</v>
      </c>
    </row>
    <row r="124">
      <c r="A124" s="13">
        <v>123.0</v>
      </c>
      <c r="B124" s="12" t="s">
        <v>670</v>
      </c>
    </row>
    <row r="125">
      <c r="A125" s="13">
        <v>124.0</v>
      </c>
      <c r="B125" s="12" t="s">
        <v>675</v>
      </c>
    </row>
    <row r="126">
      <c r="A126" s="13">
        <v>125.0</v>
      </c>
      <c r="B126" s="12" t="s">
        <v>681</v>
      </c>
    </row>
    <row r="127">
      <c r="A127" s="13">
        <v>126.0</v>
      </c>
      <c r="B127" s="12" t="s">
        <v>686</v>
      </c>
    </row>
    <row r="128">
      <c r="A128" s="13">
        <v>127.0</v>
      </c>
      <c r="B128" s="12" t="s">
        <v>690</v>
      </c>
    </row>
    <row r="129">
      <c r="A129" s="13">
        <v>128.0</v>
      </c>
      <c r="B129" s="12" t="s">
        <v>695</v>
      </c>
    </row>
    <row r="130">
      <c r="A130" s="13">
        <v>129.0</v>
      </c>
      <c r="B130" s="12" t="s">
        <v>700</v>
      </c>
    </row>
    <row r="131">
      <c r="A131" s="13">
        <v>130.0</v>
      </c>
      <c r="B131" s="12" t="s">
        <v>705</v>
      </c>
    </row>
    <row r="132">
      <c r="A132" s="13">
        <v>131.0</v>
      </c>
      <c r="B132" s="12" t="s">
        <v>710</v>
      </c>
    </row>
    <row r="133">
      <c r="A133" s="13">
        <v>132.0</v>
      </c>
      <c r="B133" s="42" t="s">
        <v>717</v>
      </c>
    </row>
    <row r="134">
      <c r="A134" s="13">
        <v>133.0</v>
      </c>
      <c r="B134" s="12" t="s">
        <v>722</v>
      </c>
    </row>
    <row r="135">
      <c r="A135" s="13">
        <v>134.0</v>
      </c>
      <c r="B135" s="12" t="s">
        <v>727</v>
      </c>
    </row>
    <row r="136">
      <c r="A136" s="13">
        <v>135.0</v>
      </c>
      <c r="B136" s="12" t="s">
        <v>732</v>
      </c>
    </row>
    <row r="137">
      <c r="A137" s="13">
        <v>136.0</v>
      </c>
      <c r="B137" s="12" t="s">
        <v>736</v>
      </c>
    </row>
    <row r="138">
      <c r="A138" s="13">
        <v>137.0</v>
      </c>
      <c r="B138" s="12" t="s">
        <v>741</v>
      </c>
    </row>
    <row r="139">
      <c r="A139" s="13">
        <v>138.0</v>
      </c>
      <c r="B139" s="12" t="s">
        <v>746</v>
      </c>
    </row>
    <row r="140">
      <c r="A140" s="13">
        <v>139.0</v>
      </c>
      <c r="B140" s="12" t="s">
        <v>751</v>
      </c>
    </row>
    <row r="141">
      <c r="A141" s="13">
        <v>140.0</v>
      </c>
      <c r="B141" s="12" t="s">
        <v>756</v>
      </c>
    </row>
    <row r="142">
      <c r="A142" s="13">
        <v>141.0</v>
      </c>
      <c r="B142" s="12" t="s">
        <v>761</v>
      </c>
    </row>
    <row r="143">
      <c r="A143" s="13">
        <v>142.0</v>
      </c>
      <c r="B143" s="12" t="s">
        <v>766</v>
      </c>
    </row>
    <row r="144">
      <c r="A144" s="13">
        <v>143.0</v>
      </c>
      <c r="B144" s="12" t="s">
        <v>771</v>
      </c>
    </row>
    <row r="145">
      <c r="A145" s="13">
        <v>144.0</v>
      </c>
      <c r="B145" s="12" t="s">
        <v>776</v>
      </c>
    </row>
    <row r="146">
      <c r="A146" s="13">
        <v>145.0</v>
      </c>
      <c r="B146" s="12" t="s">
        <v>781</v>
      </c>
    </row>
    <row r="147">
      <c r="A147" s="13">
        <v>146.0</v>
      </c>
      <c r="B147" s="12" t="s">
        <v>787</v>
      </c>
    </row>
    <row r="148">
      <c r="A148" s="13">
        <v>147.0</v>
      </c>
      <c r="B148" s="12" t="s">
        <v>792</v>
      </c>
    </row>
    <row r="149">
      <c r="A149" s="13">
        <v>148.0</v>
      </c>
      <c r="B149" s="12" t="s">
        <v>796</v>
      </c>
    </row>
    <row r="150">
      <c r="A150" s="13">
        <v>149.0</v>
      </c>
      <c r="B150" s="12" t="s">
        <v>801</v>
      </c>
    </row>
    <row r="151">
      <c r="A151" s="13">
        <v>150.0</v>
      </c>
      <c r="B151" s="12" t="s">
        <v>806</v>
      </c>
    </row>
    <row r="152">
      <c r="A152" s="13">
        <v>151.0</v>
      </c>
      <c r="B152" s="12" t="s">
        <v>811</v>
      </c>
    </row>
    <row r="153">
      <c r="A153" s="13">
        <v>152.0</v>
      </c>
      <c r="B153" s="12" t="s">
        <v>815</v>
      </c>
    </row>
    <row r="154">
      <c r="A154" s="13">
        <v>153.0</v>
      </c>
      <c r="B154" s="12" t="s">
        <v>820</v>
      </c>
    </row>
    <row r="155">
      <c r="A155" s="13">
        <v>154.0</v>
      </c>
      <c r="B155" s="12" t="s">
        <v>825</v>
      </c>
    </row>
    <row r="156">
      <c r="A156" s="13">
        <v>155.0</v>
      </c>
      <c r="B156" s="12" t="s">
        <v>832</v>
      </c>
    </row>
    <row r="157">
      <c r="A157" s="13">
        <v>156.0</v>
      </c>
      <c r="B157" s="12" t="s">
        <v>837</v>
      </c>
    </row>
    <row r="158">
      <c r="A158" s="13">
        <v>157.0</v>
      </c>
      <c r="B158" s="22" t="s">
        <v>842</v>
      </c>
    </row>
    <row r="159">
      <c r="A159" s="13">
        <v>158.0</v>
      </c>
      <c r="B159" s="12" t="s">
        <v>847</v>
      </c>
    </row>
    <row r="160">
      <c r="A160" s="13">
        <v>159.0</v>
      </c>
      <c r="B160" s="42" t="s">
        <v>854</v>
      </c>
    </row>
    <row r="161">
      <c r="A161" s="13">
        <v>160.0</v>
      </c>
      <c r="B161" s="12" t="s">
        <v>859</v>
      </c>
    </row>
    <row r="162">
      <c r="A162" s="13">
        <v>161.0</v>
      </c>
      <c r="B162" s="12" t="s">
        <v>864</v>
      </c>
    </row>
    <row r="163">
      <c r="A163" s="13">
        <v>162.0</v>
      </c>
      <c r="B163" s="12" t="s">
        <v>868</v>
      </c>
    </row>
    <row r="164">
      <c r="A164" s="13">
        <v>163.0</v>
      </c>
      <c r="B164" s="12" t="s">
        <v>873</v>
      </c>
    </row>
    <row r="165">
      <c r="A165" s="13">
        <v>164.0</v>
      </c>
      <c r="B165" s="22" t="s">
        <v>878</v>
      </c>
    </row>
    <row r="166">
      <c r="A166" s="13">
        <v>165.0</v>
      </c>
      <c r="B166" s="22" t="s">
        <v>884</v>
      </c>
    </row>
    <row r="167">
      <c r="A167" s="13">
        <v>166.0</v>
      </c>
      <c r="B167" s="12" t="s">
        <v>889</v>
      </c>
    </row>
    <row r="168">
      <c r="A168" s="13">
        <v>167.0</v>
      </c>
      <c r="B168" s="12" t="s">
        <v>894</v>
      </c>
    </row>
    <row r="169">
      <c r="A169" s="13">
        <v>168.0</v>
      </c>
      <c r="B169" s="12" t="s">
        <v>899</v>
      </c>
    </row>
    <row r="170">
      <c r="A170" s="13">
        <v>169.0</v>
      </c>
      <c r="B170" s="12" t="s">
        <v>904</v>
      </c>
    </row>
    <row r="171">
      <c r="A171" s="13">
        <v>170.0</v>
      </c>
      <c r="B171" s="12" t="s">
        <v>909</v>
      </c>
    </row>
    <row r="172">
      <c r="A172" s="13">
        <v>171.0</v>
      </c>
      <c r="B172" s="12" t="s">
        <v>914</v>
      </c>
    </row>
    <row r="173">
      <c r="A173" s="13">
        <v>172.0</v>
      </c>
      <c r="B173" s="22" t="s">
        <v>919</v>
      </c>
    </row>
    <row r="174">
      <c r="A174" s="13">
        <v>173.0</v>
      </c>
      <c r="B174" s="12" t="s">
        <v>923</v>
      </c>
    </row>
    <row r="175">
      <c r="A175" s="13">
        <v>174.0</v>
      </c>
      <c r="B175" s="12" t="s">
        <v>928</v>
      </c>
    </row>
    <row r="176">
      <c r="A176" s="13">
        <v>175.0</v>
      </c>
      <c r="B176" s="12" t="s">
        <v>933</v>
      </c>
    </row>
    <row r="177">
      <c r="A177" s="13">
        <v>176.0</v>
      </c>
      <c r="B177" s="12" t="s">
        <v>938</v>
      </c>
    </row>
    <row r="178">
      <c r="A178" s="13">
        <v>177.0</v>
      </c>
      <c r="B178" s="12" t="s">
        <v>943</v>
      </c>
    </row>
    <row r="179">
      <c r="A179" s="13">
        <v>178.0</v>
      </c>
      <c r="B179" s="12" t="s">
        <v>948</v>
      </c>
    </row>
    <row r="180">
      <c r="A180" s="13">
        <v>179.0</v>
      </c>
      <c r="B180" s="22" t="s">
        <v>953</v>
      </c>
    </row>
    <row r="181">
      <c r="A181" s="13">
        <v>180.0</v>
      </c>
      <c r="B181" s="12" t="s">
        <v>958</v>
      </c>
    </row>
    <row r="182">
      <c r="A182" s="13">
        <v>181.0</v>
      </c>
      <c r="B182" s="42" t="s">
        <v>965</v>
      </c>
    </row>
    <row r="183">
      <c r="A183" s="13">
        <v>182.0</v>
      </c>
      <c r="B183" s="12" t="s">
        <v>970</v>
      </c>
    </row>
    <row r="184">
      <c r="A184" s="13">
        <v>183.0</v>
      </c>
      <c r="B184" s="12" t="s">
        <v>975</v>
      </c>
    </row>
    <row r="185">
      <c r="A185" s="13">
        <v>184.0</v>
      </c>
      <c r="B185" s="12" t="s">
        <v>979</v>
      </c>
    </row>
    <row r="186">
      <c r="A186" s="13">
        <v>185.0</v>
      </c>
      <c r="B186" s="12" t="s">
        <v>984</v>
      </c>
    </row>
    <row r="187">
      <c r="A187" s="13">
        <v>186.0</v>
      </c>
      <c r="B187" s="12" t="s">
        <v>989</v>
      </c>
    </row>
    <row r="188">
      <c r="A188" s="13">
        <v>187.0</v>
      </c>
      <c r="B188" s="12" t="s">
        <v>994</v>
      </c>
    </row>
    <row r="189">
      <c r="A189" s="13">
        <v>188.0</v>
      </c>
      <c r="B189" s="12" t="s">
        <v>999</v>
      </c>
    </row>
    <row r="190">
      <c r="A190" s="13">
        <v>189.0</v>
      </c>
      <c r="B190" s="12" t="s">
        <v>1003</v>
      </c>
    </row>
    <row r="191">
      <c r="A191" s="13">
        <v>190.0</v>
      </c>
      <c r="B191" s="42" t="s">
        <v>1010</v>
      </c>
    </row>
    <row r="192">
      <c r="A192" s="13">
        <v>191.0</v>
      </c>
      <c r="B192" s="12" t="s">
        <v>1014</v>
      </c>
    </row>
    <row r="193">
      <c r="A193" s="13">
        <v>192.0</v>
      </c>
      <c r="B193" s="12" t="s">
        <v>1020</v>
      </c>
    </row>
    <row r="194">
      <c r="A194" s="13">
        <v>193.0</v>
      </c>
      <c r="B194" s="12" t="s">
        <v>1025</v>
      </c>
    </row>
    <row r="195">
      <c r="A195" s="13">
        <v>194.0</v>
      </c>
      <c r="B195" s="12" t="s">
        <v>1030</v>
      </c>
    </row>
    <row r="196">
      <c r="A196" s="13">
        <v>195.0</v>
      </c>
      <c r="B196" s="12" t="s">
        <v>1035</v>
      </c>
    </row>
    <row r="197">
      <c r="A197" s="13">
        <v>196.0</v>
      </c>
      <c r="B197" s="12" t="s">
        <v>1040</v>
      </c>
    </row>
    <row r="198">
      <c r="A198" s="13">
        <v>197.0</v>
      </c>
      <c r="B198" s="42" t="s">
        <v>1047</v>
      </c>
    </row>
    <row r="199">
      <c r="A199" s="13">
        <v>198.0</v>
      </c>
      <c r="B199" s="12" t="s">
        <v>1052</v>
      </c>
    </row>
    <row r="200">
      <c r="A200" s="13">
        <v>199.0</v>
      </c>
      <c r="B200" s="42" t="s">
        <v>1059</v>
      </c>
    </row>
    <row r="201">
      <c r="A201" s="13">
        <v>200.0</v>
      </c>
      <c r="B201" s="12" t="s">
        <v>1064</v>
      </c>
    </row>
    <row r="202">
      <c r="A202" s="13">
        <v>201.0</v>
      </c>
      <c r="B202" s="12" t="s">
        <v>1069</v>
      </c>
    </row>
    <row r="203">
      <c r="A203" s="13">
        <v>202.0</v>
      </c>
      <c r="B203" s="12" t="s">
        <v>1074</v>
      </c>
    </row>
    <row r="204">
      <c r="A204" s="13">
        <v>203.0</v>
      </c>
      <c r="B204" s="12" t="s">
        <v>1079</v>
      </c>
    </row>
    <row r="205">
      <c r="A205" s="13">
        <v>204.0</v>
      </c>
      <c r="B205" s="12" t="s">
        <v>1084</v>
      </c>
    </row>
    <row r="206">
      <c r="A206" s="13">
        <v>205.0</v>
      </c>
      <c r="B206" s="12" t="s">
        <v>1088</v>
      </c>
    </row>
    <row r="207">
      <c r="A207" s="13">
        <v>206.0</v>
      </c>
      <c r="B207" s="12" t="s">
        <v>1093</v>
      </c>
    </row>
    <row r="208">
      <c r="A208" s="13">
        <v>207.0</v>
      </c>
      <c r="B208" s="12" t="s">
        <v>1097</v>
      </c>
    </row>
    <row r="209">
      <c r="A209" s="13">
        <v>208.0</v>
      </c>
      <c r="B209" s="12" t="s">
        <v>1103</v>
      </c>
    </row>
    <row r="210">
      <c r="A210" s="13">
        <v>209.0</v>
      </c>
      <c r="B210" s="12" t="s">
        <v>1107</v>
      </c>
    </row>
    <row r="211">
      <c r="A211" s="13">
        <v>210.0</v>
      </c>
      <c r="B211" s="12" t="s">
        <v>1112</v>
      </c>
    </row>
    <row r="212">
      <c r="A212" s="13">
        <v>211.0</v>
      </c>
      <c r="B212" s="22" t="s">
        <v>1117</v>
      </c>
    </row>
    <row r="213">
      <c r="A213" s="13">
        <v>212.0</v>
      </c>
      <c r="B213" s="22" t="s">
        <v>1122</v>
      </c>
    </row>
    <row r="214">
      <c r="A214" s="13">
        <v>213.0</v>
      </c>
      <c r="B214" s="12" t="s">
        <v>1126</v>
      </c>
    </row>
    <row r="215">
      <c r="A215" s="13">
        <v>214.0</v>
      </c>
      <c r="B215" s="12" t="s">
        <v>1131</v>
      </c>
    </row>
    <row r="216">
      <c r="A216" s="13">
        <v>215.0</v>
      </c>
      <c r="B216" s="12" t="s">
        <v>1136</v>
      </c>
    </row>
    <row r="217">
      <c r="A217" s="13">
        <v>216.0</v>
      </c>
      <c r="B217" s="12" t="s">
        <v>1141</v>
      </c>
    </row>
    <row r="218">
      <c r="A218" s="13">
        <v>217.0</v>
      </c>
      <c r="B218" s="12" t="s">
        <v>1146</v>
      </c>
    </row>
    <row r="219">
      <c r="A219" s="13">
        <v>218.0</v>
      </c>
      <c r="B219" s="12" t="s">
        <v>1151</v>
      </c>
    </row>
    <row r="220">
      <c r="A220" s="13">
        <v>219.0</v>
      </c>
      <c r="B220" s="12" t="s">
        <v>1155</v>
      </c>
    </row>
    <row r="221">
      <c r="A221" s="13">
        <v>220.0</v>
      </c>
      <c r="B221" s="12" t="s">
        <v>1160</v>
      </c>
    </row>
    <row r="222">
      <c r="A222" s="13">
        <v>221.0</v>
      </c>
      <c r="B222" s="12" t="s">
        <v>1164</v>
      </c>
    </row>
    <row r="223">
      <c r="A223" s="13">
        <v>222.0</v>
      </c>
      <c r="B223" s="12" t="s">
        <v>1169</v>
      </c>
    </row>
    <row r="224">
      <c r="A224" s="13">
        <v>223.0</v>
      </c>
      <c r="B224" s="12" t="s">
        <v>1175</v>
      </c>
    </row>
    <row r="225">
      <c r="A225" s="13">
        <v>224.0</v>
      </c>
      <c r="B225" s="12" t="s">
        <v>1180</v>
      </c>
    </row>
    <row r="226">
      <c r="A226" s="13">
        <v>225.0</v>
      </c>
      <c r="B226" s="12" t="s">
        <v>1184</v>
      </c>
    </row>
    <row r="227">
      <c r="A227" s="13">
        <v>226.0</v>
      </c>
      <c r="B227" s="12" t="s">
        <v>1189</v>
      </c>
    </row>
    <row r="228">
      <c r="A228" s="13">
        <v>227.0</v>
      </c>
      <c r="B228" s="12" t="s">
        <v>1194</v>
      </c>
    </row>
    <row r="229">
      <c r="A229" s="13">
        <v>228.0</v>
      </c>
      <c r="B229" s="42" t="s">
        <v>1201</v>
      </c>
    </row>
    <row r="230">
      <c r="A230" s="13">
        <v>229.0</v>
      </c>
      <c r="B230" s="12" t="s">
        <v>1206</v>
      </c>
    </row>
    <row r="231">
      <c r="A231" s="13">
        <v>230.0</v>
      </c>
      <c r="B231" s="12" t="s">
        <v>1211</v>
      </c>
    </row>
    <row r="232">
      <c r="A232" s="13">
        <v>231.0</v>
      </c>
      <c r="B232" s="12" t="s">
        <v>1216</v>
      </c>
    </row>
    <row r="233">
      <c r="A233" s="13">
        <v>232.0</v>
      </c>
      <c r="B233" s="12" t="s">
        <v>1221</v>
      </c>
    </row>
    <row r="234">
      <c r="A234" s="13">
        <v>233.0</v>
      </c>
      <c r="B234" s="12" t="s">
        <v>1226</v>
      </c>
    </row>
    <row r="235">
      <c r="A235" s="13">
        <v>234.0</v>
      </c>
      <c r="B235" s="12" t="s">
        <v>1231</v>
      </c>
    </row>
    <row r="236">
      <c r="A236" s="13">
        <v>235.0</v>
      </c>
      <c r="B236" s="22" t="s">
        <v>1236</v>
      </c>
    </row>
    <row r="237">
      <c r="A237" s="13">
        <v>236.0</v>
      </c>
      <c r="B237" s="12" t="s">
        <v>1241</v>
      </c>
    </row>
    <row r="238">
      <c r="A238" s="13">
        <v>237.0</v>
      </c>
      <c r="B238" s="42" t="s">
        <v>1248</v>
      </c>
    </row>
    <row r="239">
      <c r="A239" s="13">
        <v>238.0</v>
      </c>
      <c r="B239" s="12" t="s">
        <v>1253</v>
      </c>
    </row>
    <row r="240">
      <c r="A240" s="13">
        <v>239.0</v>
      </c>
      <c r="B240" s="12" t="s">
        <v>1257</v>
      </c>
    </row>
    <row r="241">
      <c r="A241" s="13">
        <v>240.0</v>
      </c>
      <c r="B241" s="12" t="s">
        <v>1262</v>
      </c>
    </row>
    <row r="242">
      <c r="A242" s="13">
        <v>241.0</v>
      </c>
      <c r="B242" s="12" t="s">
        <v>1267</v>
      </c>
    </row>
    <row r="243">
      <c r="A243" s="13">
        <v>242.0</v>
      </c>
      <c r="B243" s="12" t="s">
        <v>1271</v>
      </c>
    </row>
    <row r="244">
      <c r="A244" s="13">
        <v>243.0</v>
      </c>
      <c r="B244" s="12" t="s">
        <v>1276</v>
      </c>
    </row>
    <row r="245">
      <c r="A245" s="13">
        <v>244.0</v>
      </c>
      <c r="B245" s="12" t="s">
        <v>1281</v>
      </c>
    </row>
    <row r="246">
      <c r="A246" s="13">
        <v>245.0</v>
      </c>
      <c r="B246" s="12" t="s">
        <v>1285</v>
      </c>
    </row>
    <row r="247">
      <c r="A247" s="13">
        <v>246.0</v>
      </c>
      <c r="B247" s="69" t="s">
        <v>1292</v>
      </c>
    </row>
    <row r="248">
      <c r="A248" s="13">
        <v>247.0</v>
      </c>
      <c r="B248" s="68" t="s">
        <v>1297</v>
      </c>
    </row>
    <row r="249">
      <c r="A249" s="13">
        <v>248.0</v>
      </c>
      <c r="B249" s="68" t="s">
        <v>1302</v>
      </c>
    </row>
    <row r="250">
      <c r="A250" s="13">
        <v>249.0</v>
      </c>
      <c r="B250" s="68" t="s">
        <v>1308</v>
      </c>
    </row>
    <row r="251">
      <c r="A251" s="13">
        <v>250.0</v>
      </c>
      <c r="B251" s="68" t="s">
        <v>1313</v>
      </c>
    </row>
    <row r="252">
      <c r="A252" s="13">
        <v>251.0</v>
      </c>
      <c r="B252" s="68" t="s">
        <v>1318</v>
      </c>
    </row>
    <row r="253">
      <c r="A253" s="13">
        <v>252.0</v>
      </c>
      <c r="B253" s="68" t="s">
        <v>1323</v>
      </c>
    </row>
    <row r="254">
      <c r="A254" s="13">
        <v>253.0</v>
      </c>
      <c r="B254" s="68" t="s">
        <v>1328</v>
      </c>
    </row>
    <row r="255">
      <c r="A255" s="13">
        <v>254.0</v>
      </c>
      <c r="B255" s="69" t="s">
        <v>1335</v>
      </c>
    </row>
    <row r="256">
      <c r="A256" s="13">
        <v>255.0</v>
      </c>
      <c r="B256" s="68" t="s">
        <v>1340</v>
      </c>
    </row>
    <row r="257">
      <c r="A257" s="13">
        <v>256.0</v>
      </c>
      <c r="B257" s="68" t="s">
        <v>1345</v>
      </c>
    </row>
    <row r="258">
      <c r="A258" s="13">
        <v>257.0</v>
      </c>
      <c r="B258" s="68" t="s">
        <v>1350</v>
      </c>
    </row>
    <row r="259">
      <c r="A259" s="13">
        <v>258.0</v>
      </c>
      <c r="B259" s="68" t="s">
        <v>1355</v>
      </c>
    </row>
    <row r="260">
      <c r="A260" s="13">
        <v>259.0</v>
      </c>
      <c r="B260" s="68" t="s">
        <v>1362</v>
      </c>
    </row>
    <row r="261">
      <c r="A261" s="13">
        <v>260.0</v>
      </c>
      <c r="B261" s="68" t="s">
        <v>1367</v>
      </c>
    </row>
    <row r="262">
      <c r="A262" s="13">
        <v>261.0</v>
      </c>
      <c r="B262" s="68" t="s">
        <v>1372</v>
      </c>
    </row>
    <row r="263">
      <c r="A263" s="13">
        <v>262.0</v>
      </c>
      <c r="B263" s="68" t="s">
        <v>1377</v>
      </c>
    </row>
    <row r="264">
      <c r="A264" s="13">
        <v>263.0</v>
      </c>
      <c r="B264" s="68" t="s">
        <v>1382</v>
      </c>
    </row>
    <row r="265">
      <c r="A265" s="13">
        <v>264.0</v>
      </c>
      <c r="B265" s="68" t="s">
        <v>1388</v>
      </c>
    </row>
    <row r="266">
      <c r="A266" s="13">
        <v>265.0</v>
      </c>
      <c r="B266" s="68" t="s">
        <v>1393</v>
      </c>
    </row>
    <row r="267">
      <c r="A267" s="13">
        <v>266.0</v>
      </c>
      <c r="B267" s="74" t="s">
        <v>1398</v>
      </c>
    </row>
    <row r="268">
      <c r="A268" s="13">
        <v>267.0</v>
      </c>
      <c r="B268" s="68" t="s">
        <v>1404</v>
      </c>
    </row>
    <row r="269">
      <c r="A269" s="13">
        <v>268.0</v>
      </c>
      <c r="B269" s="68" t="s">
        <v>1409</v>
      </c>
    </row>
    <row r="270">
      <c r="A270" s="13">
        <v>269.0</v>
      </c>
      <c r="B270" s="68" t="s">
        <v>1414</v>
      </c>
    </row>
    <row r="271">
      <c r="A271" s="13">
        <v>270.0</v>
      </c>
      <c r="B271" s="68" t="s">
        <v>1419</v>
      </c>
    </row>
    <row r="272">
      <c r="A272" s="13">
        <v>271.0</v>
      </c>
      <c r="B272" s="68" t="s">
        <v>1424</v>
      </c>
    </row>
    <row r="273">
      <c r="A273" s="13">
        <v>272.0</v>
      </c>
      <c r="B273" s="68" t="s">
        <v>1429</v>
      </c>
    </row>
    <row r="274">
      <c r="A274" s="13">
        <v>273.0</v>
      </c>
      <c r="B274" s="68" t="s">
        <v>1434</v>
      </c>
    </row>
    <row r="275">
      <c r="A275" s="13">
        <v>274.0</v>
      </c>
      <c r="B275" s="68" t="s">
        <v>1440</v>
      </c>
    </row>
    <row r="276">
      <c r="A276" s="13">
        <v>275.0</v>
      </c>
      <c r="B276" s="68" t="s">
        <v>1445</v>
      </c>
    </row>
    <row r="277">
      <c r="A277" s="13">
        <v>276.0</v>
      </c>
      <c r="B277" s="68" t="s">
        <v>1452</v>
      </c>
    </row>
    <row r="278">
      <c r="A278" s="13">
        <v>277.0</v>
      </c>
      <c r="B278" s="69" t="s">
        <v>1459</v>
      </c>
    </row>
    <row r="279">
      <c r="A279" s="13">
        <v>278.0</v>
      </c>
      <c r="B279" s="68" t="s">
        <v>1464</v>
      </c>
    </row>
    <row r="280">
      <c r="A280" s="13">
        <v>279.0</v>
      </c>
      <c r="B280" s="68" t="s">
        <v>1469</v>
      </c>
    </row>
    <row r="281">
      <c r="A281" s="13">
        <v>280.0</v>
      </c>
      <c r="B281" s="68" t="s">
        <v>1474</v>
      </c>
    </row>
    <row r="282">
      <c r="A282" s="13">
        <v>281.0</v>
      </c>
      <c r="B282" s="68" t="s">
        <v>1479</v>
      </c>
    </row>
    <row r="283">
      <c r="A283" s="13">
        <v>282.0</v>
      </c>
      <c r="B283" s="68" t="s">
        <v>1484</v>
      </c>
    </row>
    <row r="284">
      <c r="A284" s="13">
        <v>283.0</v>
      </c>
      <c r="B284" s="68" t="s">
        <v>1489</v>
      </c>
    </row>
    <row r="285">
      <c r="A285" s="13">
        <v>284.0</v>
      </c>
      <c r="B285" s="68" t="s">
        <v>1494</v>
      </c>
    </row>
    <row r="286">
      <c r="A286" s="13">
        <v>285.0</v>
      </c>
      <c r="B286" s="68" t="s">
        <v>1499</v>
      </c>
    </row>
    <row r="287">
      <c r="A287" s="13">
        <v>286.0</v>
      </c>
      <c r="B287" s="68" t="s">
        <v>1504</v>
      </c>
    </row>
    <row r="288">
      <c r="A288" s="13">
        <v>287.0</v>
      </c>
      <c r="B288" s="74" t="s">
        <v>1509</v>
      </c>
    </row>
    <row r="289">
      <c r="A289" s="13">
        <v>288.0</v>
      </c>
      <c r="B289" s="68" t="s">
        <v>1514</v>
      </c>
    </row>
    <row r="290">
      <c r="A290" s="13">
        <v>289.0</v>
      </c>
      <c r="B290" s="68" t="s">
        <v>1519</v>
      </c>
    </row>
    <row r="291">
      <c r="A291" s="13">
        <v>290.0</v>
      </c>
      <c r="B291" s="68" t="s">
        <v>1524</v>
      </c>
    </row>
    <row r="292">
      <c r="A292" s="13">
        <v>291.0</v>
      </c>
      <c r="B292" s="68" t="s">
        <v>1529</v>
      </c>
    </row>
    <row r="293">
      <c r="A293" s="13">
        <v>292.0</v>
      </c>
      <c r="B293" s="68" t="s">
        <v>1534</v>
      </c>
    </row>
    <row r="294">
      <c r="A294" s="13">
        <v>293.0</v>
      </c>
      <c r="B294" s="68" t="s">
        <v>1539</v>
      </c>
    </row>
    <row r="295">
      <c r="A295" s="13">
        <v>294.0</v>
      </c>
      <c r="B295" s="68" t="s">
        <v>1544</v>
      </c>
    </row>
    <row r="296">
      <c r="A296" s="13">
        <v>295.0</v>
      </c>
      <c r="B296" s="68" t="s">
        <v>1549</v>
      </c>
    </row>
    <row r="297">
      <c r="A297" s="13">
        <v>296.0</v>
      </c>
      <c r="B297" s="68" t="s">
        <v>1554</v>
      </c>
    </row>
    <row r="298">
      <c r="A298" s="13">
        <v>297.0</v>
      </c>
      <c r="B298" s="69" t="s">
        <v>1459</v>
      </c>
    </row>
    <row r="299">
      <c r="A299" s="13">
        <v>298.0</v>
      </c>
      <c r="B299" s="68" t="s">
        <v>1565</v>
      </c>
    </row>
    <row r="300">
      <c r="A300" s="13">
        <v>299.0</v>
      </c>
      <c r="B300" s="68" t="s">
        <v>1570</v>
      </c>
    </row>
    <row r="301">
      <c r="A301" s="13">
        <v>300.0</v>
      </c>
      <c r="B301" s="68" t="s">
        <v>1575</v>
      </c>
    </row>
    <row r="302">
      <c r="A302" s="13">
        <v>301.0</v>
      </c>
      <c r="B302" s="68" t="s">
        <v>1580</v>
      </c>
    </row>
    <row r="303">
      <c r="A303" s="13">
        <v>302.0</v>
      </c>
      <c r="B303" s="68" t="s">
        <v>1585</v>
      </c>
    </row>
    <row r="304">
      <c r="A304" s="13">
        <v>303.0</v>
      </c>
      <c r="B304" s="68" t="s">
        <v>1590</v>
      </c>
    </row>
    <row r="305">
      <c r="A305" s="13">
        <v>304.0</v>
      </c>
      <c r="B305" s="68" t="s">
        <v>1595</v>
      </c>
    </row>
    <row r="306">
      <c r="A306" s="13">
        <v>305.0</v>
      </c>
      <c r="B306" s="68" t="s">
        <v>1600</v>
      </c>
    </row>
    <row r="307">
      <c r="A307" s="13">
        <v>306.0</v>
      </c>
      <c r="B307" s="68" t="s">
        <v>1605</v>
      </c>
    </row>
    <row r="308">
      <c r="A308" s="13">
        <v>307.0</v>
      </c>
      <c r="B308" s="68" t="s">
        <v>1610</v>
      </c>
    </row>
    <row r="309">
      <c r="A309" s="13">
        <v>308.0</v>
      </c>
      <c r="B309" s="68" t="s">
        <v>1615</v>
      </c>
    </row>
    <row r="310">
      <c r="A310" s="13">
        <v>309.0</v>
      </c>
      <c r="B310" s="68" t="s">
        <v>1620</v>
      </c>
    </row>
    <row r="311">
      <c r="A311" s="13">
        <v>310.0</v>
      </c>
      <c r="B311" s="68" t="s">
        <v>1625</v>
      </c>
    </row>
    <row r="312">
      <c r="A312" s="13">
        <v>311.0</v>
      </c>
      <c r="B312" s="68" t="s">
        <v>1630</v>
      </c>
    </row>
    <row r="313">
      <c r="A313" s="13">
        <v>312.0</v>
      </c>
      <c r="B313" s="68" t="s">
        <v>1635</v>
      </c>
    </row>
    <row r="314">
      <c r="A314" s="13">
        <v>313.0</v>
      </c>
      <c r="B314" s="68" t="s">
        <v>1640</v>
      </c>
    </row>
    <row r="315">
      <c r="A315" s="13">
        <v>314.0</v>
      </c>
      <c r="B315" s="68" t="s">
        <v>1645</v>
      </c>
    </row>
    <row r="316">
      <c r="A316" s="13">
        <v>315.0</v>
      </c>
      <c r="B316" s="68" t="s">
        <v>1650</v>
      </c>
    </row>
    <row r="317">
      <c r="A317" s="13">
        <v>316.0</v>
      </c>
      <c r="B317" s="68" t="s">
        <v>1655</v>
      </c>
    </row>
    <row r="318">
      <c r="A318" s="13">
        <v>317.0</v>
      </c>
      <c r="B318" s="68" t="s">
        <v>1660</v>
      </c>
    </row>
    <row r="319">
      <c r="A319" s="13">
        <v>318.0</v>
      </c>
      <c r="B319" s="68" t="s">
        <v>1665</v>
      </c>
    </row>
    <row r="320">
      <c r="A320" s="13">
        <v>319.0</v>
      </c>
      <c r="B320" s="68" t="s">
        <v>1670</v>
      </c>
    </row>
    <row r="321">
      <c r="A321" s="13">
        <v>320.0</v>
      </c>
      <c r="B321" s="68" t="s">
        <v>1677</v>
      </c>
    </row>
    <row r="322">
      <c r="A322" s="13">
        <v>321.0</v>
      </c>
      <c r="B322" s="68" t="s">
        <v>1682</v>
      </c>
    </row>
    <row r="323">
      <c r="A323" s="13">
        <v>322.0</v>
      </c>
      <c r="B323" s="68" t="s">
        <v>1687</v>
      </c>
    </row>
    <row r="324">
      <c r="A324" s="13">
        <v>323.0</v>
      </c>
      <c r="B324" s="68" t="s">
        <v>1692</v>
      </c>
    </row>
    <row r="325">
      <c r="A325" s="13">
        <v>324.0</v>
      </c>
      <c r="B325" s="68" t="s">
        <v>1697</v>
      </c>
    </row>
    <row r="326">
      <c r="A326" s="13">
        <v>325.0</v>
      </c>
      <c r="B326" s="68" t="s">
        <v>1702</v>
      </c>
    </row>
    <row r="327">
      <c r="A327" s="13">
        <v>326.0</v>
      </c>
      <c r="B327" s="68" t="s">
        <v>1707</v>
      </c>
    </row>
    <row r="328">
      <c r="A328" s="13">
        <v>327.0</v>
      </c>
      <c r="B328" s="68" t="s">
        <v>1712</v>
      </c>
    </row>
    <row r="329">
      <c r="A329" s="13">
        <v>328.0</v>
      </c>
      <c r="B329" s="68" t="s">
        <v>1717</v>
      </c>
    </row>
    <row r="330">
      <c r="A330" s="13">
        <v>329.0</v>
      </c>
      <c r="B330" s="68" t="s">
        <v>1722</v>
      </c>
    </row>
    <row r="331">
      <c r="A331" s="13">
        <v>330.0</v>
      </c>
      <c r="B331" s="68" t="s">
        <v>1727</v>
      </c>
    </row>
    <row r="332">
      <c r="A332" s="13">
        <v>331.0</v>
      </c>
      <c r="B332" s="68" t="s">
        <v>1732</v>
      </c>
    </row>
    <row r="333">
      <c r="A333" s="13">
        <v>332.0</v>
      </c>
      <c r="B333" s="68" t="s">
        <v>1738</v>
      </c>
    </row>
    <row r="334">
      <c r="A334" s="13">
        <v>333.0</v>
      </c>
      <c r="B334" s="78" t="s">
        <v>1745</v>
      </c>
    </row>
    <row r="335">
      <c r="A335" s="13">
        <v>334.0</v>
      </c>
      <c r="B335" s="68" t="s">
        <v>1750</v>
      </c>
    </row>
    <row r="336">
      <c r="A336" s="13">
        <v>335.0</v>
      </c>
      <c r="B336" s="68" t="s">
        <v>1755</v>
      </c>
    </row>
    <row r="337">
      <c r="A337" s="13">
        <v>336.0</v>
      </c>
      <c r="B337" s="68" t="s">
        <v>1760</v>
      </c>
    </row>
    <row r="338">
      <c r="A338" s="13">
        <v>337.0</v>
      </c>
      <c r="B338" s="68" t="s">
        <v>1765</v>
      </c>
    </row>
    <row r="339">
      <c r="A339" s="13">
        <v>338.0</v>
      </c>
      <c r="B339" s="68" t="s">
        <v>1770</v>
      </c>
    </row>
    <row r="340">
      <c r="A340" s="13">
        <v>339.0</v>
      </c>
      <c r="B340" s="68" t="s">
        <v>1775</v>
      </c>
    </row>
    <row r="341">
      <c r="A341" s="13">
        <v>340.0</v>
      </c>
      <c r="B341" s="68" t="s">
        <v>1780</v>
      </c>
    </row>
    <row r="342">
      <c r="A342" s="13">
        <v>341.0</v>
      </c>
      <c r="B342" s="74" t="s">
        <v>1785</v>
      </c>
    </row>
    <row r="343">
      <c r="A343" s="13">
        <v>342.0</v>
      </c>
      <c r="B343" s="68" t="s">
        <v>1790</v>
      </c>
    </row>
    <row r="344">
      <c r="A344" s="13">
        <v>343.0</v>
      </c>
      <c r="B344" s="68" t="s">
        <v>1795</v>
      </c>
    </row>
    <row r="345">
      <c r="A345" s="13">
        <v>344.0</v>
      </c>
      <c r="B345" s="68" t="s">
        <v>1800</v>
      </c>
    </row>
    <row r="346">
      <c r="A346" s="13">
        <v>345.0</v>
      </c>
      <c r="B346" s="68" t="s">
        <v>1805</v>
      </c>
    </row>
    <row r="347">
      <c r="A347" s="13">
        <v>346.0</v>
      </c>
      <c r="B347" s="68" t="s">
        <v>1810</v>
      </c>
    </row>
    <row r="348">
      <c r="A348" s="13">
        <v>347.0</v>
      </c>
      <c r="B348" s="68" t="s">
        <v>1815</v>
      </c>
    </row>
    <row r="349">
      <c r="A349" s="13">
        <v>348.0</v>
      </c>
      <c r="B349" s="68" t="s">
        <v>1820</v>
      </c>
    </row>
    <row r="350">
      <c r="A350" s="13">
        <v>349.0</v>
      </c>
      <c r="B350" s="68" t="s">
        <v>1825</v>
      </c>
    </row>
    <row r="351">
      <c r="A351" s="13">
        <v>350.0</v>
      </c>
      <c r="B351" s="68" t="s">
        <v>1830</v>
      </c>
    </row>
    <row r="352">
      <c r="A352" s="13">
        <v>351.0</v>
      </c>
      <c r="B352" s="68" t="s">
        <v>1835</v>
      </c>
    </row>
    <row r="353">
      <c r="A353" s="13">
        <v>352.0</v>
      </c>
      <c r="B353" s="68" t="s">
        <v>1840</v>
      </c>
    </row>
    <row r="354">
      <c r="A354" s="13">
        <v>353.0</v>
      </c>
      <c r="B354" s="68" t="s">
        <v>1845</v>
      </c>
    </row>
    <row r="355">
      <c r="A355" s="13">
        <v>354.0</v>
      </c>
      <c r="B355" s="68" t="s">
        <v>1850</v>
      </c>
    </row>
    <row r="356">
      <c r="A356" s="13">
        <v>355.0</v>
      </c>
      <c r="B356" s="68" t="s">
        <v>1857</v>
      </c>
    </row>
    <row r="357">
      <c r="A357" s="13">
        <v>356.0</v>
      </c>
      <c r="B357" s="68" t="s">
        <v>1862</v>
      </c>
    </row>
    <row r="358">
      <c r="A358" s="13">
        <v>357.0</v>
      </c>
      <c r="B358" s="68" t="s">
        <v>1867</v>
      </c>
    </row>
    <row r="359">
      <c r="A359" s="13">
        <v>358.0</v>
      </c>
      <c r="B359" s="68" t="s">
        <v>1872</v>
      </c>
    </row>
    <row r="360">
      <c r="A360" s="13">
        <v>359.0</v>
      </c>
      <c r="B360" s="68" t="s">
        <v>1877</v>
      </c>
    </row>
    <row r="361">
      <c r="A361" s="13">
        <v>360.0</v>
      </c>
      <c r="B361" s="68" t="s">
        <v>1882</v>
      </c>
    </row>
    <row r="362">
      <c r="A362" s="13">
        <v>361.0</v>
      </c>
      <c r="B362" s="68" t="s">
        <v>1887</v>
      </c>
    </row>
    <row r="363">
      <c r="A363" s="13">
        <v>362.0</v>
      </c>
      <c r="B363" s="68" t="s">
        <v>1892</v>
      </c>
    </row>
    <row r="364">
      <c r="A364" s="13">
        <v>363.0</v>
      </c>
      <c r="B364" s="68" t="s">
        <v>1897</v>
      </c>
    </row>
    <row r="365">
      <c r="A365" s="13">
        <v>364.0</v>
      </c>
      <c r="B365" s="68" t="s">
        <v>1902</v>
      </c>
    </row>
    <row r="366">
      <c r="A366" s="13">
        <v>365.0</v>
      </c>
      <c r="B366" s="68" t="s">
        <v>1907</v>
      </c>
    </row>
    <row r="367">
      <c r="A367" s="13">
        <v>366.0</v>
      </c>
      <c r="B367" s="68" t="s">
        <v>1912</v>
      </c>
    </row>
    <row r="368">
      <c r="A368" s="13">
        <v>367.0</v>
      </c>
      <c r="B368" s="68" t="s">
        <v>1917</v>
      </c>
    </row>
    <row r="369">
      <c r="A369" s="13">
        <v>368.0</v>
      </c>
      <c r="B369" s="68" t="s">
        <v>1922</v>
      </c>
    </row>
    <row r="370">
      <c r="A370" s="13">
        <v>369.0</v>
      </c>
      <c r="B370" s="68" t="s">
        <v>1925</v>
      </c>
    </row>
    <row r="371">
      <c r="A371" s="13">
        <v>370.0</v>
      </c>
      <c r="B371" s="68" t="s">
        <v>1930</v>
      </c>
    </row>
    <row r="372">
      <c r="A372" s="13">
        <v>371.0</v>
      </c>
      <c r="B372" s="68" t="s">
        <v>1935</v>
      </c>
    </row>
    <row r="373">
      <c r="A373" s="13">
        <v>372.0</v>
      </c>
      <c r="B373" s="68" t="s">
        <v>1941</v>
      </c>
    </row>
    <row r="374">
      <c r="A374" s="13">
        <v>373.0</v>
      </c>
      <c r="B374" s="68" t="s">
        <v>1946</v>
      </c>
    </row>
    <row r="375">
      <c r="A375" s="13">
        <v>374.0</v>
      </c>
      <c r="B375" s="68" t="s">
        <v>1951</v>
      </c>
    </row>
    <row r="376">
      <c r="A376" s="13">
        <v>375.0</v>
      </c>
      <c r="B376" s="68" t="s">
        <v>1956</v>
      </c>
    </row>
    <row r="377">
      <c r="A377" s="13">
        <v>376.0</v>
      </c>
      <c r="B377" s="68" t="s">
        <v>1961</v>
      </c>
    </row>
    <row r="378">
      <c r="A378" s="13">
        <v>377.0</v>
      </c>
      <c r="B378" s="68" t="s">
        <v>1966</v>
      </c>
    </row>
    <row r="379">
      <c r="A379" s="13">
        <v>378.0</v>
      </c>
      <c r="B379" s="69" t="s">
        <v>1975</v>
      </c>
    </row>
    <row r="380">
      <c r="A380" s="13">
        <v>379.0</v>
      </c>
      <c r="B380" s="68" t="s">
        <v>1980</v>
      </c>
    </row>
    <row r="381">
      <c r="A381" s="13">
        <v>380.0</v>
      </c>
      <c r="B381" s="68" t="s">
        <v>1985</v>
      </c>
    </row>
    <row r="382">
      <c r="A382" s="13">
        <v>381.0</v>
      </c>
      <c r="B382" s="68" t="s">
        <v>1990</v>
      </c>
    </row>
    <row r="383">
      <c r="A383" s="13">
        <v>382.0</v>
      </c>
      <c r="B383" s="68" t="s">
        <v>1995</v>
      </c>
    </row>
    <row r="384">
      <c r="A384" s="13">
        <v>383.0</v>
      </c>
      <c r="B384" s="68" t="s">
        <v>2000</v>
      </c>
    </row>
    <row r="385">
      <c r="A385" s="13">
        <v>384.0</v>
      </c>
      <c r="B385" s="68" t="s">
        <v>2005</v>
      </c>
    </row>
    <row r="386">
      <c r="A386" s="13">
        <v>385.0</v>
      </c>
      <c r="B386" s="68" t="s">
        <v>2010</v>
      </c>
    </row>
    <row r="387">
      <c r="A387" s="13">
        <v>386.0</v>
      </c>
      <c r="B387" s="68" t="s">
        <v>2015</v>
      </c>
    </row>
    <row r="388">
      <c r="A388" s="13">
        <v>387.0</v>
      </c>
      <c r="B388" s="68" t="s">
        <v>2020</v>
      </c>
    </row>
    <row r="389">
      <c r="A389" s="13">
        <v>388.0</v>
      </c>
      <c r="B389" s="68" t="s">
        <v>2026</v>
      </c>
    </row>
    <row r="390">
      <c r="A390" s="13">
        <v>389.0</v>
      </c>
      <c r="B390" s="68" t="s">
        <v>2031</v>
      </c>
    </row>
    <row r="391">
      <c r="A391" s="13">
        <v>390.0</v>
      </c>
      <c r="B391" s="68" t="s">
        <v>2036</v>
      </c>
    </row>
    <row r="392">
      <c r="A392" s="13">
        <v>391.0</v>
      </c>
      <c r="B392" s="68" t="s">
        <v>2041</v>
      </c>
    </row>
    <row r="393">
      <c r="A393" s="13">
        <v>392.0</v>
      </c>
      <c r="B393" s="68" t="s">
        <v>2046</v>
      </c>
    </row>
    <row r="394">
      <c r="A394" s="13">
        <v>393.0</v>
      </c>
      <c r="B394" s="68" t="s">
        <v>2051</v>
      </c>
    </row>
    <row r="395">
      <c r="A395" s="13">
        <v>394.0</v>
      </c>
      <c r="B395" s="68" t="s">
        <v>2056</v>
      </c>
    </row>
    <row r="396">
      <c r="A396" s="13">
        <v>395.0</v>
      </c>
      <c r="B396" s="68" t="s">
        <v>2062</v>
      </c>
    </row>
    <row r="397">
      <c r="A397" s="13">
        <v>396.0</v>
      </c>
      <c r="B397" s="68" t="s">
        <v>2067</v>
      </c>
    </row>
    <row r="398">
      <c r="A398" s="13">
        <v>397.0</v>
      </c>
      <c r="B398" s="68" t="s">
        <v>2072</v>
      </c>
    </row>
    <row r="399">
      <c r="A399" s="13">
        <v>398.0</v>
      </c>
      <c r="B399" s="68" t="s">
        <v>2077</v>
      </c>
    </row>
    <row r="400">
      <c r="A400" s="13">
        <v>399.0</v>
      </c>
      <c r="B400" s="68" t="s">
        <v>2082</v>
      </c>
    </row>
    <row r="401">
      <c r="A401" s="13">
        <v>400.0</v>
      </c>
      <c r="B401" s="68" t="s">
        <v>2087</v>
      </c>
    </row>
    <row r="402">
      <c r="A402" s="13">
        <v>401.0</v>
      </c>
      <c r="B402" s="68" t="s">
        <v>2092</v>
      </c>
    </row>
    <row r="403">
      <c r="A403" s="13">
        <v>402.0</v>
      </c>
      <c r="B403" s="68" t="s">
        <v>2097</v>
      </c>
    </row>
    <row r="404">
      <c r="A404" s="13">
        <v>403.0</v>
      </c>
      <c r="B404" s="68" t="s">
        <v>2102</v>
      </c>
    </row>
    <row r="405">
      <c r="A405" s="13">
        <v>404.0</v>
      </c>
      <c r="B405" s="68" t="s">
        <v>2107</v>
      </c>
    </row>
    <row r="406">
      <c r="A406" s="13">
        <v>405.0</v>
      </c>
      <c r="B406" s="68" t="s">
        <v>2112</v>
      </c>
    </row>
    <row r="407">
      <c r="A407" s="13">
        <v>406.0</v>
      </c>
      <c r="B407" s="68" t="s">
        <v>2117</v>
      </c>
    </row>
    <row r="408">
      <c r="A408" s="13">
        <v>407.0</v>
      </c>
      <c r="B408" s="68" t="s">
        <v>2122</v>
      </c>
    </row>
    <row r="409">
      <c r="A409" s="13">
        <v>408.0</v>
      </c>
      <c r="B409" s="69" t="s">
        <v>2129</v>
      </c>
    </row>
    <row r="410">
      <c r="A410" s="13">
        <v>409.0</v>
      </c>
      <c r="B410" s="68" t="s">
        <v>2134</v>
      </c>
    </row>
    <row r="411">
      <c r="A411" s="13">
        <v>410.0</v>
      </c>
      <c r="B411" s="74" t="s">
        <v>2139</v>
      </c>
    </row>
    <row r="412">
      <c r="A412" s="13">
        <v>411.0</v>
      </c>
      <c r="B412" s="68" t="s">
        <v>2144</v>
      </c>
    </row>
    <row r="413">
      <c r="A413" s="13">
        <v>412.0</v>
      </c>
      <c r="B413" s="78" t="s">
        <v>2151</v>
      </c>
    </row>
    <row r="414">
      <c r="A414" s="13">
        <v>413.0</v>
      </c>
      <c r="B414" s="68" t="s">
        <v>2156</v>
      </c>
    </row>
    <row r="415">
      <c r="A415" s="13">
        <v>414.0</v>
      </c>
      <c r="B415" s="68" t="s">
        <v>2161</v>
      </c>
    </row>
    <row r="416">
      <c r="A416" s="13">
        <v>415.0</v>
      </c>
      <c r="B416" s="68" t="s">
        <v>2166</v>
      </c>
    </row>
    <row r="417">
      <c r="A417" s="13">
        <v>416.0</v>
      </c>
      <c r="B417" s="68" t="s">
        <v>2171</v>
      </c>
    </row>
    <row r="418">
      <c r="A418" s="13">
        <v>417.0</v>
      </c>
      <c r="B418" s="68" t="s">
        <v>2176</v>
      </c>
    </row>
    <row r="419">
      <c r="A419" s="13">
        <v>418.0</v>
      </c>
      <c r="B419" s="78" t="s">
        <v>2183</v>
      </c>
    </row>
    <row r="420">
      <c r="A420" s="13">
        <v>419.0</v>
      </c>
      <c r="B420" s="68" t="s">
        <v>2188</v>
      </c>
    </row>
    <row r="421">
      <c r="A421" s="13">
        <v>420.0</v>
      </c>
      <c r="B421" s="68" t="s">
        <v>2193</v>
      </c>
    </row>
    <row r="422">
      <c r="A422" s="13">
        <v>421.0</v>
      </c>
      <c r="B422" s="68" t="s">
        <v>2198</v>
      </c>
    </row>
    <row r="423">
      <c r="A423" s="13">
        <v>422.0</v>
      </c>
      <c r="B423" s="68" t="s">
        <v>2203</v>
      </c>
    </row>
    <row r="424">
      <c r="A424" s="13">
        <v>423.0</v>
      </c>
      <c r="B424" s="68" t="s">
        <v>2208</v>
      </c>
    </row>
    <row r="425">
      <c r="A425" s="13">
        <v>424.0</v>
      </c>
      <c r="B425" s="68" t="s">
        <v>2213</v>
      </c>
    </row>
    <row r="426">
      <c r="A426" s="13">
        <v>425.0</v>
      </c>
      <c r="B426" s="68" t="s">
        <v>2218</v>
      </c>
    </row>
    <row r="427">
      <c r="A427" s="13">
        <v>426.0</v>
      </c>
      <c r="B427" s="68" t="s">
        <v>2223</v>
      </c>
    </row>
    <row r="428">
      <c r="A428" s="13">
        <v>427.0</v>
      </c>
      <c r="B428" s="68" t="s">
        <v>2228</v>
      </c>
    </row>
    <row r="429">
      <c r="A429" s="13">
        <v>428.0</v>
      </c>
      <c r="B429" s="68" t="s">
        <v>2233</v>
      </c>
    </row>
    <row r="430">
      <c r="A430" s="13">
        <v>429.0</v>
      </c>
      <c r="B430" s="74" t="s">
        <v>2238</v>
      </c>
    </row>
    <row r="431">
      <c r="A431" s="13">
        <v>430.0</v>
      </c>
      <c r="B431" s="68" t="s">
        <v>2243</v>
      </c>
    </row>
    <row r="432">
      <c r="A432" s="13">
        <v>431.0</v>
      </c>
      <c r="B432" s="68" t="s">
        <v>2248</v>
      </c>
    </row>
    <row r="433">
      <c r="A433" s="13">
        <v>432.0</v>
      </c>
      <c r="B433" s="68" t="s">
        <v>2254</v>
      </c>
    </row>
    <row r="434">
      <c r="A434" s="13">
        <v>433.0</v>
      </c>
      <c r="B434" s="78" t="s">
        <v>2261</v>
      </c>
    </row>
    <row r="435">
      <c r="A435" s="13">
        <v>434.0</v>
      </c>
      <c r="B435" s="68" t="s">
        <v>2266</v>
      </c>
    </row>
    <row r="436">
      <c r="A436" s="13">
        <v>435.0</v>
      </c>
      <c r="B436" s="68" t="s">
        <v>2271</v>
      </c>
    </row>
    <row r="437">
      <c r="A437" s="13">
        <v>436.0</v>
      </c>
      <c r="B437" s="68" t="s">
        <v>2276</v>
      </c>
    </row>
    <row r="438">
      <c r="A438" s="13">
        <v>437.0</v>
      </c>
      <c r="B438" s="68" t="s">
        <v>2281</v>
      </c>
    </row>
    <row r="439">
      <c r="A439" s="13">
        <v>438.0</v>
      </c>
      <c r="B439" s="68" t="s">
        <v>2286</v>
      </c>
    </row>
    <row r="440">
      <c r="A440" s="13">
        <v>439.0</v>
      </c>
      <c r="B440" s="68" t="s">
        <v>2292</v>
      </c>
    </row>
    <row r="441">
      <c r="A441" s="13">
        <v>440.0</v>
      </c>
      <c r="B441" s="69" t="s">
        <v>2299</v>
      </c>
    </row>
    <row r="442">
      <c r="A442" s="13">
        <v>441.0</v>
      </c>
      <c r="B442" s="68" t="s">
        <v>2305</v>
      </c>
    </row>
    <row r="443">
      <c r="A443" s="13">
        <v>442.0</v>
      </c>
      <c r="B443" s="68" t="s">
        <v>2310</v>
      </c>
    </row>
    <row r="444">
      <c r="A444" s="13">
        <v>443.0</v>
      </c>
      <c r="B444" s="68" t="s">
        <v>2315</v>
      </c>
    </row>
    <row r="445">
      <c r="A445" s="13">
        <v>444.0</v>
      </c>
      <c r="B445" s="68" t="s">
        <v>2320</v>
      </c>
    </row>
    <row r="446">
      <c r="A446" s="13">
        <v>445.0</v>
      </c>
      <c r="B446" s="68" t="s">
        <v>2326</v>
      </c>
    </row>
    <row r="447">
      <c r="A447" s="13">
        <v>446.0</v>
      </c>
      <c r="B447" s="68" t="s">
        <v>2331</v>
      </c>
    </row>
    <row r="448">
      <c r="A448" s="13">
        <v>447.0</v>
      </c>
      <c r="B448" s="68" t="s">
        <v>2336</v>
      </c>
    </row>
    <row r="449">
      <c r="A449" s="13">
        <v>448.0</v>
      </c>
      <c r="B449" s="69" t="s">
        <v>2343</v>
      </c>
    </row>
    <row r="450">
      <c r="A450" s="13">
        <v>449.0</v>
      </c>
      <c r="B450" s="68" t="s">
        <v>2348</v>
      </c>
    </row>
    <row r="451">
      <c r="A451" s="13">
        <v>450.0</v>
      </c>
      <c r="B451" s="68" t="s">
        <v>2353</v>
      </c>
    </row>
    <row r="452">
      <c r="A452" s="13">
        <v>451.0</v>
      </c>
      <c r="B452" s="68" t="s">
        <v>2358</v>
      </c>
    </row>
    <row r="453">
      <c r="A453" s="13">
        <v>452.0</v>
      </c>
      <c r="B453" s="68" t="s">
        <v>2363</v>
      </c>
    </row>
    <row r="454">
      <c r="A454" s="13">
        <v>453.0</v>
      </c>
      <c r="B454" s="68" t="s">
        <v>2368</v>
      </c>
    </row>
    <row r="455">
      <c r="A455" s="13">
        <v>454.0</v>
      </c>
      <c r="B455" s="68" t="s">
        <v>2373</v>
      </c>
    </row>
    <row r="456">
      <c r="A456" s="13">
        <v>455.0</v>
      </c>
      <c r="B456" s="68" t="s">
        <v>2378</v>
      </c>
    </row>
    <row r="457">
      <c r="A457" s="13">
        <v>456.0</v>
      </c>
      <c r="B457" s="68" t="s">
        <v>2383</v>
      </c>
    </row>
    <row r="458">
      <c r="A458" s="13">
        <v>457.0</v>
      </c>
      <c r="B458" s="68" t="s">
        <v>2388</v>
      </c>
    </row>
    <row r="459">
      <c r="A459" s="13">
        <v>458.0</v>
      </c>
      <c r="B459" s="68" t="s">
        <v>2393</v>
      </c>
    </row>
    <row r="460">
      <c r="A460" s="13">
        <v>459.0</v>
      </c>
      <c r="B460" s="68" t="s">
        <v>2398</v>
      </c>
    </row>
    <row r="461">
      <c r="A461" s="13">
        <v>460.0</v>
      </c>
      <c r="B461" s="68" t="s">
        <v>2403</v>
      </c>
    </row>
    <row r="462">
      <c r="A462" s="13">
        <v>461.0</v>
      </c>
      <c r="B462" s="69" t="s">
        <v>2410</v>
      </c>
    </row>
    <row r="463">
      <c r="A463" s="13">
        <v>462.0</v>
      </c>
      <c r="B463" s="15" t="s">
        <v>2417</v>
      </c>
    </row>
    <row r="464">
      <c r="A464" s="13">
        <v>463.0</v>
      </c>
      <c r="B464" s="68" t="s">
        <v>2422</v>
      </c>
    </row>
    <row r="465">
      <c r="A465" s="13">
        <v>464.0</v>
      </c>
      <c r="B465" s="68" t="s">
        <v>2427</v>
      </c>
    </row>
    <row r="466">
      <c r="A466" s="13">
        <v>465.0</v>
      </c>
      <c r="B466" s="68" t="s">
        <v>2432</v>
      </c>
    </row>
    <row r="467">
      <c r="A467" s="13">
        <v>466.0</v>
      </c>
      <c r="B467" s="68" t="s">
        <v>2437</v>
      </c>
    </row>
    <row r="468">
      <c r="A468" s="13">
        <v>467.0</v>
      </c>
      <c r="B468" s="68" t="s">
        <v>2442</v>
      </c>
    </row>
    <row r="469">
      <c r="A469" s="13">
        <v>468.0</v>
      </c>
      <c r="B469" s="68" t="s">
        <v>2447</v>
      </c>
    </row>
    <row r="470">
      <c r="A470" s="13">
        <v>469.0</v>
      </c>
      <c r="B470" s="69" t="s">
        <v>2454</v>
      </c>
    </row>
    <row r="471">
      <c r="A471" s="13">
        <v>470.0</v>
      </c>
      <c r="B471" s="68" t="s">
        <v>2459</v>
      </c>
    </row>
    <row r="472">
      <c r="A472" s="13">
        <v>471.0</v>
      </c>
      <c r="B472" s="68" t="s">
        <v>2464</v>
      </c>
    </row>
    <row r="473">
      <c r="A473" s="13">
        <v>472.0</v>
      </c>
      <c r="B473" s="68" t="s">
        <v>2469</v>
      </c>
    </row>
    <row r="474">
      <c r="A474" s="13">
        <v>473.0</v>
      </c>
      <c r="B474" s="68" t="s">
        <v>2474</v>
      </c>
    </row>
    <row r="475">
      <c r="A475" s="13">
        <v>474.0</v>
      </c>
      <c r="B475" s="68" t="s">
        <v>2479</v>
      </c>
    </row>
    <row r="476">
      <c r="A476" s="13">
        <v>475.0</v>
      </c>
      <c r="B476" s="68" t="s">
        <v>2484</v>
      </c>
    </row>
    <row r="477">
      <c r="A477" s="13">
        <v>476.0</v>
      </c>
      <c r="B477" s="68" t="s">
        <v>2489</v>
      </c>
    </row>
    <row r="478">
      <c r="A478" s="13">
        <v>477.0</v>
      </c>
      <c r="B478" s="68" t="s">
        <v>2494</v>
      </c>
    </row>
    <row r="479">
      <c r="A479" s="13">
        <v>478.0</v>
      </c>
      <c r="B479" s="68" t="s">
        <v>2499</v>
      </c>
    </row>
    <row r="480">
      <c r="A480" s="13">
        <v>479.0</v>
      </c>
      <c r="B480" s="68" t="s">
        <v>2504</v>
      </c>
    </row>
    <row r="481">
      <c r="A481" s="13">
        <v>480.0</v>
      </c>
      <c r="B481" s="68" t="s">
        <v>2509</v>
      </c>
    </row>
    <row r="482">
      <c r="A482" s="13">
        <v>481.0</v>
      </c>
      <c r="B482" s="68" t="s">
        <v>2514</v>
      </c>
    </row>
    <row r="483">
      <c r="A483" s="13">
        <v>482.0</v>
      </c>
      <c r="B483" s="69" t="s">
        <v>2522</v>
      </c>
    </row>
    <row r="484">
      <c r="A484" s="13">
        <v>483.0</v>
      </c>
      <c r="B484" s="68" t="s">
        <v>2527</v>
      </c>
    </row>
    <row r="485">
      <c r="A485" s="13">
        <v>484.0</v>
      </c>
      <c r="B485" s="74" t="s">
        <v>2532</v>
      </c>
    </row>
    <row r="486">
      <c r="A486" s="13">
        <v>485.0</v>
      </c>
      <c r="B486" s="68" t="s">
        <v>2537</v>
      </c>
    </row>
    <row r="487">
      <c r="A487" s="13">
        <v>486.0</v>
      </c>
      <c r="B487" s="68" t="s">
        <v>2543</v>
      </c>
    </row>
    <row r="488">
      <c r="A488" s="13">
        <v>487.0</v>
      </c>
      <c r="B488" s="68" t="s">
        <v>2548</v>
      </c>
    </row>
    <row r="489">
      <c r="A489" s="13">
        <v>488.0</v>
      </c>
      <c r="B489" s="68" t="s">
        <v>2553</v>
      </c>
    </row>
    <row r="490">
      <c r="A490" s="13">
        <v>489.0</v>
      </c>
      <c r="B490" s="68" t="s">
        <v>2558</v>
      </c>
    </row>
    <row r="491">
      <c r="A491" s="13">
        <v>490.0</v>
      </c>
      <c r="B491" s="68" t="s">
        <v>2563</v>
      </c>
    </row>
    <row r="492">
      <c r="A492" s="13">
        <v>491.0</v>
      </c>
      <c r="B492" s="68" t="s">
        <v>2568</v>
      </c>
    </row>
    <row r="493">
      <c r="A493" s="13">
        <v>492.0</v>
      </c>
      <c r="B493" s="68" t="s">
        <v>2572</v>
      </c>
    </row>
    <row r="494">
      <c r="A494" s="13">
        <v>493.0</v>
      </c>
      <c r="B494" s="68" t="s">
        <v>2577</v>
      </c>
    </row>
    <row r="495">
      <c r="A495" s="13">
        <v>494.0</v>
      </c>
      <c r="B495" s="68" t="s">
        <v>2584</v>
      </c>
    </row>
    <row r="496">
      <c r="A496" s="13">
        <v>495.0</v>
      </c>
      <c r="B496" s="68" t="s">
        <v>2589</v>
      </c>
    </row>
    <row r="497">
      <c r="A497" s="13">
        <v>496.0</v>
      </c>
      <c r="B497" s="68" t="s">
        <v>2594</v>
      </c>
    </row>
    <row r="498">
      <c r="A498" s="13">
        <v>497.0</v>
      </c>
      <c r="B498" s="68" t="s">
        <v>2599</v>
      </c>
    </row>
    <row r="499">
      <c r="A499" s="13">
        <v>498.0</v>
      </c>
      <c r="B499" s="68" t="s">
        <v>2603</v>
      </c>
    </row>
    <row r="500">
      <c r="A500" s="13">
        <v>499.0</v>
      </c>
      <c r="B500" s="74" t="s">
        <v>2608</v>
      </c>
    </row>
    <row r="501">
      <c r="A501" s="13">
        <v>500.0</v>
      </c>
      <c r="B501" s="68" t="s">
        <v>2614</v>
      </c>
    </row>
    <row r="502">
      <c r="A502" s="13">
        <v>501.0</v>
      </c>
      <c r="B502" s="68" t="s">
        <v>2620</v>
      </c>
    </row>
    <row r="503">
      <c r="A503" s="13">
        <v>502.0</v>
      </c>
      <c r="B503" s="68" t="s">
        <v>2626</v>
      </c>
    </row>
    <row r="504">
      <c r="A504" s="13">
        <v>503.0</v>
      </c>
      <c r="B504" s="68" t="s">
        <v>2631</v>
      </c>
    </row>
    <row r="505">
      <c r="A505" s="13">
        <v>504.0</v>
      </c>
      <c r="B505" s="68" t="s">
        <v>2637</v>
      </c>
    </row>
    <row r="506">
      <c r="A506" s="13">
        <v>505.0</v>
      </c>
      <c r="B506" s="68" t="s">
        <v>2641</v>
      </c>
    </row>
    <row r="507">
      <c r="A507" s="13">
        <v>506.0</v>
      </c>
      <c r="B507" s="68" t="s">
        <v>2646</v>
      </c>
    </row>
    <row r="508">
      <c r="A508" s="13">
        <v>506.0</v>
      </c>
      <c r="B508" s="68" t="s">
        <v>2646</v>
      </c>
    </row>
    <row r="509">
      <c r="A509" s="13">
        <v>507.0</v>
      </c>
      <c r="B509" s="68" t="s">
        <v>2650</v>
      </c>
    </row>
    <row r="510">
      <c r="A510" s="13">
        <v>508.0</v>
      </c>
      <c r="B510" s="68" t="s">
        <v>2654</v>
      </c>
    </row>
    <row r="511">
      <c r="A511" s="13">
        <v>509.0</v>
      </c>
      <c r="B511" s="68" t="s">
        <v>2659</v>
      </c>
    </row>
    <row r="512">
      <c r="A512" s="13">
        <v>510.0</v>
      </c>
      <c r="B512" s="68" t="s">
        <v>2666</v>
      </c>
    </row>
    <row r="513">
      <c r="A513" s="13">
        <v>511.0</v>
      </c>
      <c r="B513" s="68" t="s">
        <v>2671</v>
      </c>
    </row>
    <row r="514">
      <c r="A514" s="13">
        <v>512.0</v>
      </c>
      <c r="B514" s="74" t="s">
        <v>2676</v>
      </c>
    </row>
    <row r="515">
      <c r="A515" s="13">
        <v>513.0</v>
      </c>
      <c r="B515" s="68" t="s">
        <v>2681</v>
      </c>
    </row>
    <row r="516">
      <c r="A516" s="13">
        <v>514.0</v>
      </c>
      <c r="B516" s="42" t="s">
        <v>2686</v>
      </c>
    </row>
    <row r="517">
      <c r="A517" s="13">
        <v>515.0</v>
      </c>
      <c r="B517" s="12" t="s">
        <v>2690</v>
      </c>
    </row>
    <row r="518">
      <c r="A518" s="13">
        <v>516.0</v>
      </c>
      <c r="B518" s="12" t="s">
        <v>2695</v>
      </c>
    </row>
    <row r="519">
      <c r="A519" s="13">
        <v>517.0</v>
      </c>
      <c r="B519" s="22" t="s">
        <v>2700</v>
      </c>
    </row>
    <row r="520">
      <c r="A520" s="13">
        <v>518.0</v>
      </c>
      <c r="B520" s="12" t="s">
        <v>2704</v>
      </c>
    </row>
    <row r="521">
      <c r="A521" s="13">
        <v>519.0</v>
      </c>
      <c r="B521" s="12" t="s">
        <v>2709</v>
      </c>
    </row>
    <row r="522">
      <c r="A522" s="13">
        <v>520.0</v>
      </c>
      <c r="B522" s="12" t="s">
        <v>2714</v>
      </c>
    </row>
    <row r="523">
      <c r="A523" s="13">
        <v>521.0</v>
      </c>
      <c r="B523" s="22" t="s">
        <v>2719</v>
      </c>
    </row>
    <row r="524">
      <c r="A524" s="13">
        <v>522.0</v>
      </c>
      <c r="B524" s="12" t="s">
        <v>2723</v>
      </c>
    </row>
    <row r="525">
      <c r="A525" s="13">
        <v>523.0</v>
      </c>
      <c r="B525" s="12" t="s">
        <v>2728</v>
      </c>
    </row>
    <row r="526">
      <c r="A526" s="13">
        <v>524.0</v>
      </c>
      <c r="B526" s="42" t="s">
        <v>2733</v>
      </c>
    </row>
    <row r="527">
      <c r="A527" s="13">
        <v>525.0</v>
      </c>
      <c r="B527" s="12" t="s">
        <v>2737</v>
      </c>
    </row>
    <row r="528">
      <c r="A528" s="13">
        <v>526.0</v>
      </c>
      <c r="B528" s="12" t="s">
        <v>2741</v>
      </c>
    </row>
    <row r="529">
      <c r="A529" s="13">
        <v>527.0</v>
      </c>
      <c r="B529" s="12" t="s">
        <v>2746</v>
      </c>
    </row>
    <row r="530">
      <c r="A530" s="13">
        <v>528.0</v>
      </c>
      <c r="B530" s="42" t="s">
        <v>2751</v>
      </c>
    </row>
    <row r="531">
      <c r="A531" s="13">
        <v>529.0</v>
      </c>
      <c r="B531" s="42" t="s">
        <v>2756</v>
      </c>
    </row>
    <row r="532">
      <c r="A532" s="13">
        <v>530.0</v>
      </c>
      <c r="B532" s="22" t="s">
        <v>2761</v>
      </c>
    </row>
    <row r="533">
      <c r="A533" s="13">
        <v>531.0</v>
      </c>
      <c r="B533" s="103" t="s">
        <v>2767</v>
      </c>
    </row>
    <row r="534">
      <c r="A534" s="13">
        <v>532.0</v>
      </c>
      <c r="B534" s="22" t="s">
        <v>2772</v>
      </c>
    </row>
    <row r="535">
      <c r="A535" s="13">
        <v>533.0</v>
      </c>
      <c r="B535" s="12" t="s">
        <v>2776</v>
      </c>
    </row>
    <row r="536">
      <c r="A536" s="13">
        <v>534.0</v>
      </c>
      <c r="B536" s="12" t="s">
        <v>2780</v>
      </c>
    </row>
    <row r="537">
      <c r="A537" s="13">
        <v>535.0</v>
      </c>
      <c r="B537" s="22" t="s">
        <v>2785</v>
      </c>
    </row>
    <row r="538">
      <c r="A538" s="13">
        <v>536.0</v>
      </c>
      <c r="B538" s="22" t="s">
        <v>2790</v>
      </c>
    </row>
    <row r="539">
      <c r="A539" s="13">
        <v>537.0</v>
      </c>
      <c r="B539" s="12" t="s">
        <v>2794</v>
      </c>
    </row>
    <row r="540">
      <c r="A540" s="13">
        <v>538.0</v>
      </c>
      <c r="B540" s="12" t="s">
        <v>2798</v>
      </c>
    </row>
    <row r="541">
      <c r="A541" s="13">
        <v>539.0</v>
      </c>
      <c r="B541" s="12" t="s">
        <v>2802</v>
      </c>
    </row>
    <row r="542">
      <c r="A542" s="13">
        <v>540.0</v>
      </c>
      <c r="B542" s="12" t="s">
        <v>2806</v>
      </c>
    </row>
    <row r="543">
      <c r="A543" s="13">
        <v>541.0</v>
      </c>
      <c r="B543" s="12" t="s">
        <v>2810</v>
      </c>
    </row>
    <row r="544">
      <c r="A544" s="13">
        <v>542.0</v>
      </c>
      <c r="B544" s="12" t="s">
        <v>2814</v>
      </c>
    </row>
    <row r="545">
      <c r="A545" s="13">
        <v>543.0</v>
      </c>
      <c r="B545" s="12" t="s">
        <v>2819</v>
      </c>
    </row>
    <row r="546">
      <c r="A546" s="13">
        <v>544.0</v>
      </c>
      <c r="B546" s="12" t="s">
        <v>2823</v>
      </c>
    </row>
    <row r="547">
      <c r="A547" s="13">
        <v>545.0</v>
      </c>
      <c r="B547" s="12" t="s">
        <v>2828</v>
      </c>
    </row>
    <row r="548">
      <c r="A548" s="13">
        <v>546.0</v>
      </c>
      <c r="B548" s="12" t="s">
        <v>2832</v>
      </c>
    </row>
    <row r="549">
      <c r="A549" s="13">
        <v>547.0</v>
      </c>
      <c r="B549" s="12" t="s">
        <v>2837</v>
      </c>
    </row>
    <row r="550">
      <c r="A550" s="13">
        <v>548.0</v>
      </c>
      <c r="B550" s="12" t="s">
        <v>2841</v>
      </c>
    </row>
    <row r="551">
      <c r="A551" s="13">
        <v>549.0</v>
      </c>
      <c r="B551" s="22" t="s">
        <v>2847</v>
      </c>
    </row>
    <row r="552">
      <c r="A552" s="13">
        <v>550.0</v>
      </c>
      <c r="B552" s="12" t="s">
        <v>2851</v>
      </c>
    </row>
    <row r="553">
      <c r="A553" s="13">
        <v>551.0</v>
      </c>
      <c r="B553" s="12" t="s">
        <v>2856</v>
      </c>
    </row>
    <row r="554">
      <c r="A554" s="13">
        <v>552.0</v>
      </c>
      <c r="B554" s="12" t="s">
        <v>2860</v>
      </c>
    </row>
    <row r="555">
      <c r="A555" s="13">
        <v>553.0</v>
      </c>
      <c r="B555" s="12" t="s">
        <v>2864</v>
      </c>
    </row>
    <row r="556">
      <c r="A556" s="13">
        <v>554.0</v>
      </c>
      <c r="B556" s="12" t="s">
        <v>2868</v>
      </c>
    </row>
    <row r="557">
      <c r="A557" s="13">
        <v>555.0</v>
      </c>
      <c r="B557" s="12" t="s">
        <v>2873</v>
      </c>
    </row>
    <row r="558">
      <c r="A558" s="13">
        <v>556.0</v>
      </c>
      <c r="B558" s="12" t="s">
        <v>2877</v>
      </c>
    </row>
    <row r="559">
      <c r="A559" s="13">
        <v>557.0</v>
      </c>
      <c r="B559" s="42" t="s">
        <v>2882</v>
      </c>
    </row>
    <row r="560">
      <c r="A560" s="13">
        <v>558.0</v>
      </c>
      <c r="B560" s="12" t="s">
        <v>2886</v>
      </c>
    </row>
    <row r="561">
      <c r="A561" s="13">
        <v>559.0</v>
      </c>
      <c r="B561" s="12" t="s">
        <v>2890</v>
      </c>
    </row>
    <row r="562">
      <c r="A562" s="13">
        <v>560.0</v>
      </c>
      <c r="B562" s="12" t="s">
        <v>2895</v>
      </c>
    </row>
    <row r="563">
      <c r="A563" s="13">
        <v>561.0</v>
      </c>
      <c r="B563" s="42" t="s">
        <v>2900</v>
      </c>
    </row>
    <row r="564">
      <c r="A564" s="13">
        <v>562.0</v>
      </c>
      <c r="B564" s="12" t="s">
        <v>2904</v>
      </c>
    </row>
    <row r="565">
      <c r="A565" s="13">
        <v>563.0</v>
      </c>
      <c r="B565" s="12" t="s">
        <v>2909</v>
      </c>
    </row>
    <row r="566">
      <c r="A566" s="13">
        <v>564.0</v>
      </c>
      <c r="B566" s="35" t="s">
        <v>2913</v>
      </c>
    </row>
    <row r="567">
      <c r="A567" s="13">
        <v>565.0</v>
      </c>
      <c r="B567" s="12" t="s">
        <v>2918</v>
      </c>
    </row>
    <row r="568">
      <c r="A568" s="13">
        <v>566.0</v>
      </c>
      <c r="B568" s="12" t="s">
        <v>2922</v>
      </c>
    </row>
    <row r="569">
      <c r="A569" s="13">
        <v>567.0</v>
      </c>
      <c r="B569" s="12" t="s">
        <v>2926</v>
      </c>
    </row>
    <row r="570">
      <c r="A570" s="13">
        <v>568.0</v>
      </c>
      <c r="B570" s="12" t="s">
        <v>2932</v>
      </c>
    </row>
    <row r="571">
      <c r="A571" s="13">
        <v>569.0</v>
      </c>
      <c r="B571" s="42" t="s">
        <v>2937</v>
      </c>
    </row>
    <row r="572">
      <c r="A572" s="13">
        <v>570.0</v>
      </c>
      <c r="B572" s="12" t="s">
        <v>2941</v>
      </c>
    </row>
    <row r="573">
      <c r="A573" s="13">
        <v>571.0</v>
      </c>
      <c r="B573" s="12" t="s">
        <v>2945</v>
      </c>
    </row>
    <row r="574">
      <c r="A574" s="13">
        <v>572.0</v>
      </c>
      <c r="B574" s="22" t="s">
        <v>2950</v>
      </c>
    </row>
    <row r="575">
      <c r="A575" s="13">
        <v>573.0</v>
      </c>
      <c r="B575" s="12" t="s">
        <v>2954</v>
      </c>
    </row>
    <row r="576">
      <c r="A576" s="13">
        <v>574.0</v>
      </c>
      <c r="B576" s="12" t="s">
        <v>2958</v>
      </c>
    </row>
    <row r="577">
      <c r="A577" s="13">
        <v>575.0</v>
      </c>
      <c r="B577" s="12" t="s">
        <v>2962</v>
      </c>
    </row>
    <row r="578">
      <c r="A578" s="13">
        <v>576.0</v>
      </c>
      <c r="B578" s="12" t="s">
        <v>2967</v>
      </c>
    </row>
    <row r="579">
      <c r="A579" s="13">
        <v>577.0</v>
      </c>
      <c r="B579" s="12" t="s">
        <v>2972</v>
      </c>
    </row>
    <row r="580">
      <c r="A580" s="13">
        <v>578.0</v>
      </c>
      <c r="B580" s="12" t="s">
        <v>2976</v>
      </c>
    </row>
    <row r="581">
      <c r="A581" s="13">
        <v>579.0</v>
      </c>
      <c r="B581" s="12" t="s">
        <v>2981</v>
      </c>
    </row>
    <row r="582">
      <c r="A582" s="13">
        <v>580.0</v>
      </c>
      <c r="B582" s="12" t="s">
        <v>2986</v>
      </c>
    </row>
    <row r="583">
      <c r="A583" s="13">
        <v>581.0</v>
      </c>
      <c r="B583" s="12" t="s">
        <v>2991</v>
      </c>
    </row>
    <row r="584">
      <c r="A584" s="13">
        <v>582.0</v>
      </c>
      <c r="B584" s="12" t="s">
        <v>2995</v>
      </c>
    </row>
    <row r="585">
      <c r="A585" s="13">
        <v>583.0</v>
      </c>
      <c r="B585" s="12" t="s">
        <v>2999</v>
      </c>
    </row>
    <row r="586">
      <c r="A586" s="13">
        <v>584.0</v>
      </c>
      <c r="B586" s="12" t="s">
        <v>3003</v>
      </c>
    </row>
    <row r="587">
      <c r="A587" s="13">
        <v>585.0</v>
      </c>
      <c r="B587" s="12" t="s">
        <v>3008</v>
      </c>
    </row>
    <row r="588">
      <c r="A588" s="13">
        <v>586.0</v>
      </c>
      <c r="B588" s="12" t="s">
        <v>3012</v>
      </c>
    </row>
    <row r="589">
      <c r="A589" s="13">
        <v>587.0</v>
      </c>
      <c r="B589" s="12" t="s">
        <v>3017</v>
      </c>
    </row>
    <row r="590">
      <c r="A590" s="13">
        <v>588.0</v>
      </c>
      <c r="B590" s="22" t="s">
        <v>3022</v>
      </c>
    </row>
    <row r="591">
      <c r="A591" s="13">
        <v>589.0</v>
      </c>
      <c r="B591" s="12" t="s">
        <v>3027</v>
      </c>
    </row>
    <row r="592">
      <c r="A592" s="13">
        <v>590.0</v>
      </c>
      <c r="B592" s="42" t="s">
        <v>3034</v>
      </c>
    </row>
    <row r="593">
      <c r="A593" s="13">
        <v>591.0</v>
      </c>
      <c r="B593" s="12" t="s">
        <v>3038</v>
      </c>
    </row>
    <row r="594">
      <c r="A594" s="13">
        <v>592.0</v>
      </c>
      <c r="B594" s="12" t="s">
        <v>3042</v>
      </c>
    </row>
    <row r="595">
      <c r="A595" s="13">
        <v>593.0</v>
      </c>
      <c r="B595" s="12" t="s">
        <v>3046</v>
      </c>
    </row>
    <row r="596">
      <c r="A596" s="13">
        <v>594.0</v>
      </c>
      <c r="B596" s="12" t="s">
        <v>3050</v>
      </c>
    </row>
    <row r="597">
      <c r="A597" s="13">
        <v>595.0</v>
      </c>
      <c r="B597" s="42" t="s">
        <v>3055</v>
      </c>
    </row>
    <row r="598">
      <c r="A598" s="13">
        <v>596.0</v>
      </c>
      <c r="B598" s="12" t="s">
        <v>3059</v>
      </c>
    </row>
    <row r="599">
      <c r="A599" s="13">
        <v>597.0</v>
      </c>
      <c r="B599" s="12" t="s">
        <v>3064</v>
      </c>
    </row>
    <row r="600">
      <c r="A600" s="13">
        <v>598.0</v>
      </c>
      <c r="B600" s="12" t="s">
        <v>3068</v>
      </c>
    </row>
    <row r="601">
      <c r="A601" s="13">
        <v>599.0</v>
      </c>
      <c r="B601" s="12" t="s">
        <v>3072</v>
      </c>
    </row>
    <row r="602">
      <c r="A602" s="13">
        <v>600.0</v>
      </c>
      <c r="B602" s="12" t="s">
        <v>3076</v>
      </c>
    </row>
    <row r="603">
      <c r="A603" s="13">
        <v>601.0</v>
      </c>
      <c r="B603" s="12" t="s">
        <v>3081</v>
      </c>
    </row>
    <row r="604">
      <c r="A604" s="13">
        <v>602.0</v>
      </c>
      <c r="B604" s="42" t="s">
        <v>3088</v>
      </c>
    </row>
    <row r="605">
      <c r="A605" s="13">
        <v>603.0</v>
      </c>
      <c r="B605" s="22" t="s">
        <v>3093</v>
      </c>
    </row>
    <row r="606">
      <c r="A606" s="13">
        <v>604.0</v>
      </c>
      <c r="B606" s="12" t="s">
        <v>3097</v>
      </c>
    </row>
    <row r="607">
      <c r="A607" s="13">
        <v>605.0</v>
      </c>
      <c r="B607" s="42" t="s">
        <v>3102</v>
      </c>
    </row>
    <row r="608">
      <c r="A608" s="13">
        <v>606.0</v>
      </c>
      <c r="B608" s="12" t="s">
        <v>3106</v>
      </c>
    </row>
    <row r="609">
      <c r="A609" s="13">
        <v>607.0</v>
      </c>
      <c r="B609" s="12" t="s">
        <v>3110</v>
      </c>
    </row>
    <row r="610">
      <c r="A610" s="13">
        <v>608.0</v>
      </c>
      <c r="B610" s="12" t="s">
        <v>3114</v>
      </c>
    </row>
    <row r="611">
      <c r="A611" s="13">
        <v>609.0</v>
      </c>
      <c r="B611" s="12" t="s">
        <v>3118</v>
      </c>
    </row>
    <row r="612">
      <c r="A612" s="13">
        <v>610.0</v>
      </c>
      <c r="B612" s="12" t="s">
        <v>3122</v>
      </c>
    </row>
    <row r="613">
      <c r="A613" s="13">
        <v>611.0</v>
      </c>
      <c r="B613" s="12" t="s">
        <v>3126</v>
      </c>
    </row>
    <row r="614">
      <c r="A614" s="13">
        <v>612.0</v>
      </c>
      <c r="B614" s="12" t="s">
        <v>3130</v>
      </c>
    </row>
    <row r="615">
      <c r="A615" s="13">
        <v>613.0</v>
      </c>
      <c r="B615" s="12" t="s">
        <v>3135</v>
      </c>
    </row>
    <row r="616">
      <c r="A616" s="13">
        <v>614.0</v>
      </c>
      <c r="B616" s="12" t="s">
        <v>3139</v>
      </c>
    </row>
    <row r="617">
      <c r="A617" s="13">
        <v>615.0</v>
      </c>
      <c r="B617" s="12" t="s">
        <v>3144</v>
      </c>
    </row>
    <row r="618">
      <c r="A618" s="13">
        <v>616.0</v>
      </c>
      <c r="B618" s="12" t="s">
        <v>3148</v>
      </c>
    </row>
    <row r="619">
      <c r="A619" s="13">
        <v>617.0</v>
      </c>
      <c r="B619" s="12" t="s">
        <v>3152</v>
      </c>
    </row>
    <row r="620">
      <c r="A620" s="13">
        <v>618.0</v>
      </c>
      <c r="B620" s="42" t="s">
        <v>3159</v>
      </c>
    </row>
    <row r="621">
      <c r="A621" s="13">
        <v>619.0</v>
      </c>
      <c r="B621" s="12" t="s">
        <v>3164</v>
      </c>
    </row>
    <row r="622">
      <c r="A622" s="13">
        <v>620.0</v>
      </c>
      <c r="B622" s="12" t="s">
        <v>3168</v>
      </c>
    </row>
    <row r="623">
      <c r="A623" s="13">
        <v>621.0</v>
      </c>
      <c r="B623" s="12" t="s">
        <v>3172</v>
      </c>
    </row>
    <row r="624">
      <c r="A624" s="13">
        <v>622.0</v>
      </c>
      <c r="B624" s="12" t="s">
        <v>3176</v>
      </c>
    </row>
    <row r="625">
      <c r="A625" s="13">
        <v>623.0</v>
      </c>
      <c r="B625" s="12" t="s">
        <v>3180</v>
      </c>
    </row>
    <row r="626">
      <c r="A626" s="13">
        <v>624.0</v>
      </c>
      <c r="B626" s="12" t="s">
        <v>3185</v>
      </c>
    </row>
    <row r="627">
      <c r="A627" s="13">
        <v>625.0</v>
      </c>
      <c r="B627" s="12" t="s">
        <v>3189</v>
      </c>
    </row>
    <row r="628">
      <c r="A628" s="13">
        <v>626.0</v>
      </c>
      <c r="B628" s="12" t="s">
        <v>3194</v>
      </c>
    </row>
    <row r="629">
      <c r="A629" s="13">
        <v>627.0</v>
      </c>
      <c r="B629" s="12" t="s">
        <v>3198</v>
      </c>
    </row>
    <row r="630">
      <c r="A630" s="13">
        <v>628.0</v>
      </c>
      <c r="B630" s="12" t="s">
        <v>3203</v>
      </c>
    </row>
    <row r="631">
      <c r="A631" s="13">
        <v>629.0</v>
      </c>
      <c r="B631" s="12" t="s">
        <v>3207</v>
      </c>
    </row>
    <row r="632">
      <c r="A632" s="13">
        <v>630.0</v>
      </c>
      <c r="B632" s="12" t="s">
        <v>3211</v>
      </c>
    </row>
    <row r="633">
      <c r="A633" s="13">
        <v>631.0</v>
      </c>
      <c r="B633" s="12" t="s">
        <v>3215</v>
      </c>
    </row>
    <row r="634">
      <c r="A634" s="13">
        <v>632.0</v>
      </c>
      <c r="B634" s="12" t="s">
        <v>3219</v>
      </c>
    </row>
    <row r="635">
      <c r="A635" s="13">
        <v>633.0</v>
      </c>
      <c r="B635" s="12" t="s">
        <v>3224</v>
      </c>
    </row>
    <row r="636">
      <c r="A636" s="13">
        <v>634.0</v>
      </c>
      <c r="B636" s="12" t="s">
        <v>3229</v>
      </c>
    </row>
    <row r="637">
      <c r="A637" s="13">
        <v>635.0</v>
      </c>
      <c r="B637" s="12" t="s">
        <v>3233</v>
      </c>
    </row>
    <row r="638">
      <c r="A638" s="13">
        <v>636.0</v>
      </c>
      <c r="B638" s="12" t="s">
        <v>3238</v>
      </c>
    </row>
    <row r="639">
      <c r="A639" s="13">
        <v>637.0</v>
      </c>
      <c r="B639" s="12" t="s">
        <v>3244</v>
      </c>
    </row>
    <row r="640">
      <c r="A640" s="13">
        <v>638.0</v>
      </c>
      <c r="B640" s="12" t="s">
        <v>3250</v>
      </c>
    </row>
    <row r="641">
      <c r="A641" s="13">
        <v>639.0</v>
      </c>
      <c r="B641" s="12" t="s">
        <v>3255</v>
      </c>
    </row>
    <row r="642">
      <c r="A642" s="13">
        <v>640.0</v>
      </c>
      <c r="B642" s="12" t="s">
        <v>3259</v>
      </c>
    </row>
    <row r="643">
      <c r="A643" s="13">
        <v>641.0</v>
      </c>
      <c r="B643" s="12" t="s">
        <v>3263</v>
      </c>
    </row>
    <row r="644">
      <c r="A644" s="13">
        <v>642.0</v>
      </c>
      <c r="B644" s="12" t="s">
        <v>3267</v>
      </c>
    </row>
    <row r="645">
      <c r="A645" s="13">
        <v>643.0</v>
      </c>
      <c r="B645" s="12" t="s">
        <v>3271</v>
      </c>
    </row>
    <row r="646">
      <c r="A646" s="13">
        <v>644.0</v>
      </c>
      <c r="B646" s="42" t="s">
        <v>3279</v>
      </c>
    </row>
    <row r="647">
      <c r="A647" s="13">
        <v>645.0</v>
      </c>
      <c r="B647" s="12" t="s">
        <v>3283</v>
      </c>
    </row>
    <row r="648">
      <c r="A648" s="13">
        <v>646.0</v>
      </c>
      <c r="B648" s="12" t="s">
        <v>3287</v>
      </c>
    </row>
    <row r="649">
      <c r="A649" s="13">
        <v>647.0</v>
      </c>
      <c r="B649" s="12" t="s">
        <v>3292</v>
      </c>
    </row>
    <row r="650">
      <c r="A650" s="13">
        <v>648.0</v>
      </c>
      <c r="B650" s="22" t="s">
        <v>3297</v>
      </c>
    </row>
    <row r="651">
      <c r="A651" s="13">
        <v>649.0</v>
      </c>
      <c r="B651" s="12" t="s">
        <v>3301</v>
      </c>
    </row>
    <row r="652">
      <c r="A652" s="13">
        <v>650.0</v>
      </c>
      <c r="B652" s="12" t="s">
        <v>3305</v>
      </c>
    </row>
    <row r="653">
      <c r="A653" s="13">
        <v>651.0</v>
      </c>
      <c r="B653" s="12" t="s">
        <v>3309</v>
      </c>
    </row>
    <row r="654">
      <c r="A654" s="13">
        <v>652.0</v>
      </c>
      <c r="B654" s="12" t="s">
        <v>3314</v>
      </c>
    </row>
    <row r="655">
      <c r="A655" s="13">
        <v>653.0</v>
      </c>
      <c r="B655" s="12" t="s">
        <v>3318</v>
      </c>
    </row>
    <row r="656">
      <c r="A656" s="13">
        <v>654.0</v>
      </c>
      <c r="B656" s="12" t="s">
        <v>3323</v>
      </c>
    </row>
    <row r="657">
      <c r="A657" s="13">
        <v>655.0</v>
      </c>
      <c r="B657" s="12" t="s">
        <v>3327</v>
      </c>
    </row>
    <row r="658">
      <c r="A658" s="13">
        <v>656.0</v>
      </c>
      <c r="B658" s="12" t="s">
        <v>3332</v>
      </c>
    </row>
    <row r="659">
      <c r="A659" s="13">
        <v>657.0</v>
      </c>
      <c r="B659" s="12" t="s">
        <v>3337</v>
      </c>
    </row>
    <row r="660">
      <c r="A660" s="13">
        <v>658.0</v>
      </c>
      <c r="B660" s="12" t="s">
        <v>3341</v>
      </c>
    </row>
    <row r="661">
      <c r="A661" s="13">
        <v>659.0</v>
      </c>
      <c r="B661" s="12" t="s">
        <v>3345</v>
      </c>
    </row>
    <row r="662">
      <c r="A662" s="13">
        <v>660.0</v>
      </c>
      <c r="B662" s="12" t="s">
        <v>3350</v>
      </c>
    </row>
    <row r="663">
      <c r="A663" s="13">
        <v>661.0</v>
      </c>
      <c r="B663" s="12" t="s">
        <v>3354</v>
      </c>
    </row>
    <row r="664">
      <c r="A664" s="13">
        <v>662.0</v>
      </c>
      <c r="B664" s="12" t="s">
        <v>3358</v>
      </c>
    </row>
    <row r="665">
      <c r="A665" s="13">
        <v>663.0</v>
      </c>
      <c r="B665" s="12" t="s">
        <v>3363</v>
      </c>
    </row>
    <row r="666">
      <c r="A666" s="13">
        <v>664.0</v>
      </c>
      <c r="B666" s="12" t="s">
        <v>3368</v>
      </c>
    </row>
    <row r="667">
      <c r="A667" s="13">
        <v>665.0</v>
      </c>
      <c r="B667" s="12" t="s">
        <v>3372</v>
      </c>
    </row>
    <row r="668">
      <c r="A668" s="13">
        <v>666.0</v>
      </c>
      <c r="B668" s="12" t="s">
        <v>3377</v>
      </c>
    </row>
    <row r="669">
      <c r="A669" s="13">
        <v>667.0</v>
      </c>
      <c r="B669" s="12" t="s">
        <v>3381</v>
      </c>
    </row>
    <row r="670">
      <c r="A670" s="13">
        <v>668.0</v>
      </c>
      <c r="B670" s="12" t="s">
        <v>3385</v>
      </c>
    </row>
    <row r="671">
      <c r="A671" s="13">
        <v>669.0</v>
      </c>
      <c r="B671" s="12" t="s">
        <v>3390</v>
      </c>
    </row>
    <row r="672">
      <c r="A672" s="13">
        <v>670.0</v>
      </c>
      <c r="B672" s="12" t="s">
        <v>3394</v>
      </c>
    </row>
    <row r="673">
      <c r="A673" s="13">
        <v>671.0</v>
      </c>
      <c r="B673" s="12" t="s">
        <v>3398</v>
      </c>
    </row>
    <row r="674">
      <c r="A674" s="13">
        <v>672.0</v>
      </c>
      <c r="B674" s="12" t="s">
        <v>3402</v>
      </c>
    </row>
    <row r="675">
      <c r="A675" s="13">
        <v>673.0</v>
      </c>
      <c r="B675" s="12" t="s">
        <v>3406</v>
      </c>
    </row>
    <row r="676">
      <c r="A676" s="13">
        <v>674.0</v>
      </c>
      <c r="B676" s="12" t="s">
        <v>3410</v>
      </c>
    </row>
    <row r="677">
      <c r="A677" s="13">
        <v>675.0</v>
      </c>
      <c r="B677" s="12" t="s">
        <v>3414</v>
      </c>
    </row>
    <row r="678">
      <c r="A678" s="13">
        <v>676.0</v>
      </c>
      <c r="B678" s="42" t="s">
        <v>3421</v>
      </c>
    </row>
    <row r="679">
      <c r="A679" s="13">
        <v>677.0</v>
      </c>
      <c r="B679" s="12" t="s">
        <v>3425</v>
      </c>
    </row>
    <row r="680">
      <c r="A680" s="13">
        <v>678.0</v>
      </c>
      <c r="B680" s="12" t="s">
        <v>3429</v>
      </c>
    </row>
    <row r="681">
      <c r="A681" s="13">
        <v>679.0</v>
      </c>
      <c r="B681" s="12" t="s">
        <v>3433</v>
      </c>
    </row>
    <row r="682">
      <c r="A682" s="13">
        <v>680.0</v>
      </c>
      <c r="B682" s="12" t="s">
        <v>3437</v>
      </c>
    </row>
    <row r="683">
      <c r="A683" s="13">
        <v>681.0</v>
      </c>
      <c r="B683" s="12" t="s">
        <v>3441</v>
      </c>
    </row>
    <row r="684">
      <c r="A684" s="13">
        <v>682.0</v>
      </c>
      <c r="B684" s="12" t="s">
        <v>3445</v>
      </c>
    </row>
    <row r="685">
      <c r="A685" s="13">
        <v>683.0</v>
      </c>
      <c r="B685" s="12" t="s">
        <v>3449</v>
      </c>
    </row>
    <row r="686">
      <c r="A686" s="13">
        <v>684.0</v>
      </c>
      <c r="B686" s="12" t="s">
        <v>3453</v>
      </c>
    </row>
    <row r="687">
      <c r="A687" s="13">
        <v>685.0</v>
      </c>
      <c r="B687" s="12" t="s">
        <v>3457</v>
      </c>
    </row>
    <row r="688">
      <c r="A688" s="13">
        <v>686.0</v>
      </c>
      <c r="B688" s="12" t="s">
        <v>3461</v>
      </c>
    </row>
    <row r="689">
      <c r="A689" s="13">
        <v>687.0</v>
      </c>
      <c r="B689" s="12" t="s">
        <v>3465</v>
      </c>
    </row>
    <row r="690">
      <c r="A690" s="13">
        <v>688.0</v>
      </c>
      <c r="B690" s="12" t="s">
        <v>3469</v>
      </c>
    </row>
    <row r="691">
      <c r="A691" s="13">
        <v>689.0</v>
      </c>
      <c r="B691" s="12" t="s">
        <v>3473</v>
      </c>
    </row>
    <row r="692">
      <c r="A692" s="13">
        <v>690.0</v>
      </c>
      <c r="B692" s="12" t="s">
        <v>3477</v>
      </c>
    </row>
    <row r="693">
      <c r="A693" s="13">
        <v>691.0</v>
      </c>
      <c r="B693" s="12" t="s">
        <v>3482</v>
      </c>
    </row>
    <row r="694">
      <c r="A694" s="13">
        <v>692.0</v>
      </c>
      <c r="B694" s="42" t="s">
        <v>3489</v>
      </c>
    </row>
    <row r="695">
      <c r="A695" s="13">
        <v>693.0</v>
      </c>
      <c r="B695" s="12" t="s">
        <v>3493</v>
      </c>
    </row>
    <row r="696">
      <c r="A696" s="13">
        <v>694.0</v>
      </c>
      <c r="B696" s="12" t="s">
        <v>3497</v>
      </c>
    </row>
    <row r="697">
      <c r="A697" s="13">
        <v>695.0</v>
      </c>
      <c r="B697" s="12" t="s">
        <v>3501</v>
      </c>
    </row>
    <row r="698">
      <c r="A698" s="13">
        <v>696.0</v>
      </c>
      <c r="B698" s="12" t="s">
        <v>3505</v>
      </c>
    </row>
    <row r="699">
      <c r="A699" s="13">
        <v>697.0</v>
      </c>
      <c r="B699" s="42" t="s">
        <v>3505</v>
      </c>
    </row>
    <row r="700">
      <c r="A700" s="13">
        <v>698.0</v>
      </c>
      <c r="B700" s="12" t="s">
        <v>3514</v>
      </c>
    </row>
    <row r="701">
      <c r="A701" s="13">
        <v>699.0</v>
      </c>
      <c r="B701" s="12" t="s">
        <v>3518</v>
      </c>
    </row>
    <row r="702">
      <c r="A702" s="13">
        <v>700.0</v>
      </c>
      <c r="B702" s="12" t="s">
        <v>3522</v>
      </c>
    </row>
    <row r="703">
      <c r="A703" s="13">
        <v>701.0</v>
      </c>
      <c r="B703" s="12" t="s">
        <v>3527</v>
      </c>
    </row>
    <row r="704">
      <c r="A704" s="13">
        <v>702.0</v>
      </c>
      <c r="B704" s="12" t="s">
        <v>3532</v>
      </c>
    </row>
    <row r="705">
      <c r="A705" s="13">
        <v>703.0</v>
      </c>
      <c r="B705" s="12" t="s">
        <v>3536</v>
      </c>
    </row>
    <row r="706">
      <c r="A706" s="13">
        <v>704.0</v>
      </c>
      <c r="B706" s="12" t="s">
        <v>3541</v>
      </c>
    </row>
    <row r="707">
      <c r="A707" s="13">
        <v>705.0</v>
      </c>
      <c r="B707" s="12" t="s">
        <v>3545</v>
      </c>
    </row>
    <row r="708">
      <c r="A708" s="13">
        <v>706.0</v>
      </c>
      <c r="B708" s="12" t="s">
        <v>3550</v>
      </c>
    </row>
    <row r="709">
      <c r="A709" s="13">
        <v>707.0</v>
      </c>
      <c r="B709" s="12" t="s">
        <v>3554</v>
      </c>
    </row>
    <row r="710">
      <c r="A710" s="13">
        <v>708.0</v>
      </c>
      <c r="B710" s="12" t="s">
        <v>3558</v>
      </c>
    </row>
    <row r="711">
      <c r="A711" s="13">
        <v>709.0</v>
      </c>
      <c r="B711" s="12" t="s">
        <v>3562</v>
      </c>
    </row>
    <row r="712">
      <c r="A712" s="13">
        <v>710.0</v>
      </c>
      <c r="B712" s="12" t="s">
        <v>3567</v>
      </c>
    </row>
    <row r="713">
      <c r="A713" s="13">
        <v>711.0</v>
      </c>
      <c r="B713" s="12" t="s">
        <v>3572</v>
      </c>
    </row>
    <row r="714">
      <c r="A714" s="13">
        <v>712.0</v>
      </c>
      <c r="B714" s="12" t="s">
        <v>3576</v>
      </c>
    </row>
    <row r="715">
      <c r="A715" s="13">
        <v>713.0</v>
      </c>
      <c r="B715" s="12" t="s">
        <v>3580</v>
      </c>
    </row>
    <row r="716">
      <c r="A716" s="13">
        <v>714.0</v>
      </c>
      <c r="B716" s="12" t="s">
        <v>3584</v>
      </c>
    </row>
    <row r="717">
      <c r="A717" s="13">
        <v>715.0</v>
      </c>
      <c r="B717" s="12" t="s">
        <v>3587</v>
      </c>
    </row>
    <row r="718">
      <c r="A718" s="13">
        <v>716.0</v>
      </c>
      <c r="B718" s="12" t="s">
        <v>3591</v>
      </c>
    </row>
    <row r="719">
      <c r="A719" s="13">
        <v>717.0</v>
      </c>
      <c r="B719" s="12" t="s">
        <v>3595</v>
      </c>
    </row>
    <row r="720">
      <c r="A720" s="13">
        <v>718.0</v>
      </c>
      <c r="B720" s="12" t="s">
        <v>3599</v>
      </c>
    </row>
    <row r="721">
      <c r="A721" s="13">
        <v>719.0</v>
      </c>
      <c r="B721" s="12" t="s">
        <v>3604</v>
      </c>
    </row>
    <row r="722">
      <c r="A722" s="13">
        <v>720.0</v>
      </c>
      <c r="B722" s="12" t="s">
        <v>3608</v>
      </c>
    </row>
    <row r="723">
      <c r="A723" s="13">
        <v>721.0</v>
      </c>
      <c r="B723" s="12" t="s">
        <v>3612</v>
      </c>
    </row>
    <row r="724">
      <c r="A724" s="13">
        <v>721.0</v>
      </c>
      <c r="B724" s="12" t="s">
        <v>3616</v>
      </c>
    </row>
    <row r="725">
      <c r="A725" s="13">
        <v>722.0</v>
      </c>
      <c r="B725" s="22" t="s">
        <v>3621</v>
      </c>
    </row>
    <row r="726">
      <c r="A726" s="13">
        <v>722.0</v>
      </c>
      <c r="B726" s="22" t="s">
        <v>3626</v>
      </c>
    </row>
    <row r="727">
      <c r="A727" s="13">
        <v>723.0</v>
      </c>
      <c r="B727" s="12" t="s">
        <v>3630</v>
      </c>
    </row>
    <row r="728">
      <c r="A728" s="13">
        <v>723.0</v>
      </c>
      <c r="B728" s="12" t="s">
        <v>3634</v>
      </c>
    </row>
    <row r="729">
      <c r="A729" s="13">
        <v>724.0</v>
      </c>
      <c r="B729" s="12" t="s">
        <v>3639</v>
      </c>
    </row>
    <row r="730">
      <c r="A730" s="13">
        <v>724.0</v>
      </c>
      <c r="B730" s="12" t="s">
        <v>3643</v>
      </c>
    </row>
    <row r="731">
      <c r="A731" s="13">
        <v>725.0</v>
      </c>
      <c r="B731" s="12" t="s">
        <v>3647</v>
      </c>
    </row>
    <row r="732">
      <c r="A732" s="13">
        <v>725.0</v>
      </c>
      <c r="B732" s="12" t="s">
        <v>3651</v>
      </c>
    </row>
    <row r="733">
      <c r="A733" s="13">
        <v>726.0</v>
      </c>
      <c r="B733" s="12" t="s">
        <v>3656</v>
      </c>
    </row>
    <row r="734">
      <c r="A734" s="13">
        <v>726.0</v>
      </c>
      <c r="B734" s="12" t="s">
        <v>3660</v>
      </c>
    </row>
    <row r="735">
      <c r="A735" s="13">
        <v>727.0</v>
      </c>
      <c r="B735" s="12" t="s">
        <v>3664</v>
      </c>
    </row>
    <row r="736">
      <c r="A736" s="13">
        <v>727.0</v>
      </c>
      <c r="B736" s="12" t="s">
        <v>3668</v>
      </c>
    </row>
    <row r="737">
      <c r="A737" s="13">
        <v>728.0</v>
      </c>
      <c r="B737" s="12" t="s">
        <v>3672</v>
      </c>
    </row>
    <row r="738">
      <c r="A738" s="13">
        <v>728.0</v>
      </c>
      <c r="B738" s="42" t="s">
        <v>3677</v>
      </c>
    </row>
    <row r="739">
      <c r="A739" s="13">
        <v>729.0</v>
      </c>
      <c r="B739" s="12" t="s">
        <v>3681</v>
      </c>
    </row>
    <row r="740">
      <c r="A740" s="13">
        <v>729.0</v>
      </c>
      <c r="B740" s="12" t="s">
        <v>3685</v>
      </c>
    </row>
    <row r="741">
      <c r="A741" s="13">
        <v>730.0</v>
      </c>
      <c r="B741" s="12" t="s">
        <v>3689</v>
      </c>
    </row>
    <row r="742">
      <c r="A742" s="13">
        <v>730.0</v>
      </c>
      <c r="B742" s="12" t="s">
        <v>3693</v>
      </c>
    </row>
    <row r="743">
      <c r="A743" s="13">
        <v>731.0</v>
      </c>
      <c r="B743" s="12" t="s">
        <v>3697</v>
      </c>
    </row>
    <row r="744">
      <c r="A744" s="13">
        <v>731.0</v>
      </c>
      <c r="B744" s="12" t="s">
        <v>3701</v>
      </c>
    </row>
    <row r="745">
      <c r="A745" s="13">
        <v>732.0</v>
      </c>
      <c r="B745" s="12" t="s">
        <v>3705</v>
      </c>
    </row>
    <row r="746">
      <c r="A746" s="13">
        <v>732.0</v>
      </c>
      <c r="B746" s="12" t="s">
        <v>3708</v>
      </c>
    </row>
    <row r="747">
      <c r="A747" s="13">
        <v>733.0</v>
      </c>
      <c r="B747" s="12" t="s">
        <v>3714</v>
      </c>
    </row>
    <row r="748">
      <c r="A748" s="13">
        <v>733.0</v>
      </c>
      <c r="B748" s="12" t="s">
        <v>3718</v>
      </c>
    </row>
    <row r="749">
      <c r="A749" s="13">
        <v>734.0</v>
      </c>
      <c r="B749" s="42" t="s">
        <v>3725</v>
      </c>
    </row>
    <row r="750">
      <c r="A750" s="13">
        <v>734.0</v>
      </c>
      <c r="B750" s="12" t="s">
        <v>3729</v>
      </c>
    </row>
    <row r="751">
      <c r="A751" s="13">
        <v>735.0</v>
      </c>
      <c r="B751" s="12" t="s">
        <v>3734</v>
      </c>
    </row>
    <row r="752">
      <c r="A752" s="13">
        <v>735.0</v>
      </c>
      <c r="B752" s="12" t="s">
        <v>3738</v>
      </c>
    </row>
    <row r="753">
      <c r="A753" s="13">
        <v>736.0</v>
      </c>
      <c r="B753" s="22" t="s">
        <v>3743</v>
      </c>
    </row>
    <row r="754">
      <c r="A754" s="13">
        <v>736.0</v>
      </c>
      <c r="B754" s="22" t="s">
        <v>3748</v>
      </c>
    </row>
    <row r="755">
      <c r="A755" s="13">
        <v>737.0</v>
      </c>
      <c r="B755" s="42" t="s">
        <v>3753</v>
      </c>
    </row>
    <row r="756">
      <c r="A756" s="13">
        <v>737.0</v>
      </c>
      <c r="B756" s="42" t="s">
        <v>3758</v>
      </c>
    </row>
    <row r="757">
      <c r="A757" s="13">
        <v>738.0</v>
      </c>
      <c r="B757" s="22" t="s">
        <v>3763</v>
      </c>
    </row>
    <row r="758">
      <c r="A758" s="13">
        <v>738.0</v>
      </c>
      <c r="B758" s="42" t="s">
        <v>3768</v>
      </c>
    </row>
    <row r="759">
      <c r="A759" s="13">
        <v>739.0</v>
      </c>
      <c r="B759" s="22" t="s">
        <v>3773</v>
      </c>
    </row>
    <row r="760">
      <c r="A760" s="13">
        <v>739.0</v>
      </c>
      <c r="B760" s="42" t="s">
        <v>3778</v>
      </c>
    </row>
    <row r="761">
      <c r="A761" s="13">
        <v>740.0</v>
      </c>
      <c r="B761" s="42" t="s">
        <v>3783</v>
      </c>
    </row>
    <row r="762">
      <c r="A762" s="13">
        <v>740.0</v>
      </c>
      <c r="B762" s="42" t="s">
        <v>3788</v>
      </c>
    </row>
    <row r="763">
      <c r="A763" s="13">
        <v>741.0</v>
      </c>
      <c r="B763" s="42" t="s">
        <v>3793</v>
      </c>
    </row>
    <row r="764">
      <c r="A764" s="13">
        <v>741.0</v>
      </c>
      <c r="B764" s="42" t="s">
        <v>3798</v>
      </c>
    </row>
    <row r="765">
      <c r="A765" s="13">
        <v>742.0</v>
      </c>
      <c r="B765" s="42" t="s">
        <v>3805</v>
      </c>
    </row>
    <row r="766">
      <c r="A766" s="13">
        <v>742.0</v>
      </c>
      <c r="B766" s="22" t="s">
        <v>3810</v>
      </c>
    </row>
    <row r="767">
      <c r="A767" s="13">
        <v>743.0</v>
      </c>
      <c r="B767" s="42" t="s">
        <v>3817</v>
      </c>
    </row>
    <row r="768">
      <c r="A768" s="13">
        <v>743.0</v>
      </c>
      <c r="B768" s="42" t="s">
        <v>3824</v>
      </c>
    </row>
    <row r="769">
      <c r="A769" s="13">
        <v>744.0</v>
      </c>
      <c r="B769" s="42" t="s">
        <v>3829</v>
      </c>
    </row>
    <row r="770">
      <c r="A770" s="13">
        <v>744.0</v>
      </c>
      <c r="B770" s="42" t="s">
        <v>3839</v>
      </c>
    </row>
    <row r="771">
      <c r="A771" s="13">
        <v>745.0</v>
      </c>
      <c r="B771" s="42" t="s">
        <v>3846</v>
      </c>
    </row>
    <row r="772">
      <c r="A772" s="13">
        <v>745.0</v>
      </c>
      <c r="B772" s="42" t="s">
        <v>3853</v>
      </c>
    </row>
    <row r="773">
      <c r="A773" s="13">
        <v>746.0</v>
      </c>
      <c r="B773" s="42" t="s">
        <v>3860</v>
      </c>
    </row>
    <row r="774">
      <c r="A774" s="13">
        <v>746.0</v>
      </c>
      <c r="B774" s="42" t="s">
        <v>3867</v>
      </c>
    </row>
    <row r="775">
      <c r="A775" s="13">
        <v>747.0</v>
      </c>
      <c r="B775" s="42" t="s">
        <v>3874</v>
      </c>
    </row>
    <row r="776">
      <c r="A776" s="13">
        <v>748.0</v>
      </c>
      <c r="B776" s="42" t="s">
        <v>3881</v>
      </c>
    </row>
    <row r="777">
      <c r="A777" s="13">
        <v>749.0</v>
      </c>
      <c r="B777" s="22" t="s">
        <v>3886</v>
      </c>
    </row>
    <row r="778">
      <c r="A778" s="13">
        <v>750.0</v>
      </c>
      <c r="B778" s="42" t="s">
        <v>3893</v>
      </c>
    </row>
    <row r="779">
      <c r="A779" s="13">
        <v>751.0</v>
      </c>
      <c r="B779" s="42" t="s">
        <v>3900</v>
      </c>
    </row>
    <row r="780">
      <c r="A780" s="13">
        <v>752.0</v>
      </c>
      <c r="B780" s="42" t="s">
        <v>3907</v>
      </c>
    </row>
    <row r="781">
      <c r="A781" s="13">
        <v>753.0</v>
      </c>
      <c r="B781" s="22" t="s">
        <v>3912</v>
      </c>
    </row>
    <row r="782">
      <c r="A782" s="13">
        <v>754.0</v>
      </c>
      <c r="B782" s="42" t="s">
        <v>3919</v>
      </c>
    </row>
    <row r="783">
      <c r="A783" s="13">
        <v>755.0</v>
      </c>
      <c r="B783" s="22" t="s">
        <v>3925</v>
      </c>
    </row>
    <row r="784">
      <c r="A784" s="13">
        <v>756.0</v>
      </c>
      <c r="B784" s="22" t="s">
        <v>3930</v>
      </c>
    </row>
    <row r="785">
      <c r="A785" s="13">
        <v>757.0</v>
      </c>
      <c r="B785" s="22" t="s">
        <v>3935</v>
      </c>
    </row>
    <row r="786">
      <c r="A786" s="13">
        <v>758.0</v>
      </c>
      <c r="B786" s="22" t="s">
        <v>3940</v>
      </c>
    </row>
    <row r="787">
      <c r="A787" s="13">
        <v>759.0</v>
      </c>
      <c r="B787" s="22" t="s">
        <v>3945</v>
      </c>
    </row>
    <row r="788">
      <c r="A788" s="13">
        <v>760.0</v>
      </c>
      <c r="B788" s="42" t="s">
        <v>3952</v>
      </c>
    </row>
    <row r="789">
      <c r="A789" s="13">
        <v>761.0</v>
      </c>
      <c r="B789" s="22" t="s">
        <v>3957</v>
      </c>
    </row>
    <row r="790">
      <c r="A790" s="13">
        <v>762.0</v>
      </c>
      <c r="B790" s="42" t="s">
        <v>3964</v>
      </c>
    </row>
    <row r="791">
      <c r="A791" s="13">
        <v>763.0</v>
      </c>
      <c r="B791" s="22" t="s">
        <v>3969</v>
      </c>
    </row>
    <row r="792">
      <c r="A792" s="13">
        <v>764.0</v>
      </c>
      <c r="B792" s="22" t="s">
        <v>3975</v>
      </c>
    </row>
    <row r="793">
      <c r="A793" s="13">
        <v>765.0</v>
      </c>
      <c r="B793" s="22" t="s">
        <v>3980</v>
      </c>
    </row>
    <row r="794">
      <c r="A794" s="13">
        <v>766.0</v>
      </c>
      <c r="B794" s="12" t="s">
        <v>3986</v>
      </c>
    </row>
    <row r="795">
      <c r="A795" s="13">
        <v>767.0</v>
      </c>
      <c r="B795" s="22" t="s">
        <v>3991</v>
      </c>
    </row>
    <row r="796">
      <c r="A796" s="13">
        <v>768.0</v>
      </c>
      <c r="B796" s="42" t="s">
        <v>3998</v>
      </c>
    </row>
    <row r="797">
      <c r="A797" s="13">
        <v>769.0</v>
      </c>
      <c r="B797" s="12" t="s">
        <v>4003</v>
      </c>
    </row>
    <row r="798">
      <c r="A798" s="13">
        <v>770.0</v>
      </c>
      <c r="B798" s="42" t="s">
        <v>4010</v>
      </c>
    </row>
    <row r="799">
      <c r="A799" s="13">
        <v>771.0</v>
      </c>
      <c r="B799" s="12" t="s">
        <v>4017</v>
      </c>
    </row>
    <row r="800">
      <c r="A800" s="13">
        <v>772.0</v>
      </c>
      <c r="B800" s="12" t="s">
        <v>4024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location="sv=CAwSqAIKBmxjbF9wdhJGCgNwdnESP0NnMHZaeTh4TVdSNFpHdG9ZbTFpSWg0S0dGSmxaR0poWTJzZ1UzQmxZMmxoYkhSNUlFTnZabVpsWlJBQ0dBTRKOAQoDbHFpEoYBQ2hoU1pXUmlZV05ySUZOd1pXTnBZV3gwZVNCRGIyWm1aV1ZJNnRUZXlQR3NnSUFJV2pBUUFCQUJFQUlZQUJnQkdBSWlHSEpsWkdKaFkyc2djM0JsWTJsaGJIUjVJR052Wm1abFpTb0lDQUlRQUJBQkVBS1NBUXRqYjJabVpXVmZjMmh2Y0ESEgoDdGJzEgtscmY6ITNzSUFFPRIdCgFxEhhSZWRiYWNrIFNwZWNpYWx0eSBDb2ZmZWUaEmxvY2FsLXBsYWNlLXZpZXdlchgKIIb_y8EI"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4"/>
    <hyperlink r:id="rId463" ref="B465"/>
    <hyperlink r:id="rId464" ref="B466"/>
    <hyperlink r:id="rId465" ref="B467"/>
    <hyperlink r:id="rId466" ref="B468"/>
    <hyperlink r:id="rId467" ref="B469"/>
    <hyperlink r:id="rId468" ref="B470"/>
    <hyperlink r:id="rId469" ref="B471"/>
    <hyperlink r:id="rId470" ref="B472"/>
    <hyperlink r:id="rId471" ref="B473"/>
    <hyperlink r:id="rId472" ref="B474"/>
    <hyperlink r:id="rId473" ref="B475"/>
    <hyperlink r:id="rId474" ref="B476"/>
    <hyperlink r:id="rId475" ref="B477"/>
    <hyperlink r:id="rId476" ref="B478"/>
    <hyperlink r:id="rId477" ref="B479"/>
    <hyperlink r:id="rId478" ref="B480"/>
    <hyperlink r:id="rId479" ref="B481"/>
    <hyperlink r:id="rId480" ref="B482"/>
    <hyperlink r:id="rId481" ref="B483"/>
    <hyperlink r:id="rId482" ref="B484"/>
    <hyperlink r:id="rId483" ref="B485"/>
    <hyperlink r:id="rId484" ref="B486"/>
    <hyperlink r:id="rId485" ref="B487"/>
    <hyperlink r:id="rId486" ref="B488"/>
    <hyperlink r:id="rId487" ref="B489"/>
    <hyperlink r:id="rId488" ref="B490"/>
    <hyperlink r:id="rId489" ref="B491"/>
    <hyperlink r:id="rId490" ref="B492"/>
    <hyperlink r:id="rId491" ref="B493"/>
    <hyperlink r:id="rId492" ref="B494"/>
    <hyperlink r:id="rId493" ref="B495"/>
    <hyperlink r:id="rId494" ref="B496"/>
    <hyperlink r:id="rId495" ref="B497"/>
    <hyperlink r:id="rId496" ref="B498"/>
    <hyperlink r:id="rId497" ref="B499"/>
    <hyperlink r:id="rId498" ref="B500"/>
    <hyperlink r:id="rId499" ref="B501"/>
    <hyperlink r:id="rId500" ref="B502"/>
    <hyperlink r:id="rId501" ref="B503"/>
    <hyperlink r:id="rId502" ref="B504"/>
    <hyperlink r:id="rId503" ref="B505"/>
    <hyperlink r:id="rId504" ref="B506"/>
    <hyperlink r:id="rId505" ref="B507"/>
    <hyperlink r:id="rId506" ref="B508"/>
    <hyperlink r:id="rId507" ref="B509"/>
    <hyperlink r:id="rId508" ref="B510"/>
    <hyperlink r:id="rId509" ref="B511"/>
    <hyperlink r:id="rId510" ref="B512"/>
    <hyperlink r:id="rId511" ref="B513"/>
    <hyperlink r:id="rId512" ref="B514"/>
    <hyperlink r:id="rId513" ref="B515"/>
    <hyperlink r:id="rId514" ref="B516"/>
    <hyperlink r:id="rId515" ref="B517"/>
    <hyperlink r:id="rId516" ref="B518"/>
    <hyperlink r:id="rId517" ref="B519"/>
    <hyperlink r:id="rId518" ref="B520"/>
    <hyperlink r:id="rId519" ref="B521"/>
    <hyperlink r:id="rId520" ref="B522"/>
    <hyperlink r:id="rId521" ref="B523"/>
    <hyperlink r:id="rId522" ref="B524"/>
    <hyperlink r:id="rId523" ref="B525"/>
    <hyperlink r:id="rId524" ref="B526"/>
    <hyperlink r:id="rId525" ref="B527"/>
    <hyperlink r:id="rId526" ref="B528"/>
    <hyperlink r:id="rId527" ref="B529"/>
    <hyperlink r:id="rId528" ref="B530"/>
    <hyperlink r:id="rId529" ref="B531"/>
    <hyperlink r:id="rId530" ref="B532"/>
    <hyperlink r:id="rId531" ref="B533"/>
    <hyperlink r:id="rId532" ref="B534"/>
    <hyperlink r:id="rId533" ref="B535"/>
    <hyperlink r:id="rId534" ref="B536"/>
    <hyperlink r:id="rId535" ref="B537"/>
    <hyperlink r:id="rId536" ref="B538"/>
    <hyperlink r:id="rId537" ref="B539"/>
    <hyperlink r:id="rId538" ref="B540"/>
    <hyperlink r:id="rId539" ref="B541"/>
    <hyperlink r:id="rId540" ref="B542"/>
    <hyperlink r:id="rId541" ref="B543"/>
    <hyperlink r:id="rId542" ref="B544"/>
    <hyperlink r:id="rId543" ref="B545"/>
    <hyperlink r:id="rId544" ref="B546"/>
    <hyperlink r:id="rId545" ref="B547"/>
    <hyperlink r:id="rId546" ref="B548"/>
    <hyperlink r:id="rId547" ref="B549"/>
    <hyperlink r:id="rId548" ref="B550"/>
    <hyperlink r:id="rId549" ref="B551"/>
    <hyperlink r:id="rId550" ref="B552"/>
    <hyperlink r:id="rId551" ref="B553"/>
    <hyperlink r:id="rId552" ref="B554"/>
    <hyperlink r:id="rId553" ref="B555"/>
    <hyperlink r:id="rId554" ref="B556"/>
    <hyperlink r:id="rId555" ref="B557"/>
    <hyperlink r:id="rId556" ref="B558"/>
    <hyperlink r:id="rId557" ref="B559"/>
    <hyperlink r:id="rId558" ref="B560"/>
    <hyperlink r:id="rId559" ref="B561"/>
    <hyperlink r:id="rId560" ref="B562"/>
    <hyperlink r:id="rId561" ref="B563"/>
    <hyperlink r:id="rId562" ref="B564"/>
    <hyperlink r:id="rId563" ref="B565"/>
    <hyperlink r:id="rId564" ref="B566"/>
    <hyperlink r:id="rId565" ref="B567"/>
    <hyperlink r:id="rId566" ref="B568"/>
    <hyperlink r:id="rId567" ref="B569"/>
    <hyperlink r:id="rId568" ref="B570"/>
    <hyperlink r:id="rId569" ref="B571"/>
    <hyperlink r:id="rId570" ref="B572"/>
    <hyperlink r:id="rId571" ref="B573"/>
    <hyperlink r:id="rId572" ref="B574"/>
    <hyperlink r:id="rId573" ref="B575"/>
    <hyperlink r:id="rId574" ref="B576"/>
    <hyperlink r:id="rId575" ref="B577"/>
    <hyperlink r:id="rId576" ref="B578"/>
    <hyperlink r:id="rId577" ref="B579"/>
    <hyperlink r:id="rId578" ref="B580"/>
    <hyperlink r:id="rId579" ref="B581"/>
    <hyperlink r:id="rId580" ref="B582"/>
    <hyperlink r:id="rId581" ref="B583"/>
    <hyperlink r:id="rId582" ref="B584"/>
    <hyperlink r:id="rId583" ref="B585"/>
    <hyperlink r:id="rId584" ref="B586"/>
    <hyperlink r:id="rId585" ref="B587"/>
    <hyperlink r:id="rId586" ref="B588"/>
    <hyperlink r:id="rId587" ref="B589"/>
    <hyperlink r:id="rId588" ref="B590"/>
    <hyperlink r:id="rId589" ref="B591"/>
    <hyperlink r:id="rId590" ref="B592"/>
    <hyperlink r:id="rId591" ref="B593"/>
    <hyperlink r:id="rId592" ref="B594"/>
    <hyperlink r:id="rId593" ref="B595"/>
    <hyperlink r:id="rId594" ref="B596"/>
    <hyperlink r:id="rId595" ref="B597"/>
    <hyperlink r:id="rId596" ref="B598"/>
    <hyperlink r:id="rId597" ref="B599"/>
    <hyperlink r:id="rId598" ref="B600"/>
    <hyperlink r:id="rId599" ref="B601"/>
    <hyperlink r:id="rId600" ref="B602"/>
    <hyperlink r:id="rId601" ref="B603"/>
    <hyperlink r:id="rId602" ref="B604"/>
    <hyperlink r:id="rId603" ref="B605"/>
    <hyperlink r:id="rId604" ref="B606"/>
    <hyperlink r:id="rId605" ref="B607"/>
    <hyperlink r:id="rId606" ref="B608"/>
    <hyperlink r:id="rId607" ref="B609"/>
    <hyperlink r:id="rId608" ref="B610"/>
    <hyperlink r:id="rId609" ref="B611"/>
    <hyperlink r:id="rId610" ref="B612"/>
    <hyperlink r:id="rId611" ref="B613"/>
    <hyperlink r:id="rId612" ref="B614"/>
    <hyperlink r:id="rId613" ref="B615"/>
    <hyperlink r:id="rId614" ref="B616"/>
    <hyperlink r:id="rId615" ref="B617"/>
    <hyperlink r:id="rId616" ref="B618"/>
    <hyperlink r:id="rId617" ref="B619"/>
    <hyperlink r:id="rId618" ref="B620"/>
    <hyperlink r:id="rId619" ref="B621"/>
    <hyperlink r:id="rId620" ref="B622"/>
    <hyperlink r:id="rId621" ref="B623"/>
    <hyperlink r:id="rId622" ref="B624"/>
    <hyperlink r:id="rId623" ref="B625"/>
    <hyperlink r:id="rId624" ref="B626"/>
    <hyperlink r:id="rId625" ref="B627"/>
    <hyperlink r:id="rId626" ref="B628"/>
    <hyperlink r:id="rId627" ref="B629"/>
    <hyperlink r:id="rId628" ref="B630"/>
    <hyperlink r:id="rId629" ref="B631"/>
    <hyperlink r:id="rId630" ref="B632"/>
    <hyperlink r:id="rId631" ref="B633"/>
    <hyperlink r:id="rId632" ref="B634"/>
    <hyperlink r:id="rId633" ref="B635"/>
    <hyperlink r:id="rId634" ref="B636"/>
    <hyperlink r:id="rId635" ref="B637"/>
    <hyperlink r:id="rId636" ref="B638"/>
    <hyperlink r:id="rId637" ref="B639"/>
    <hyperlink r:id="rId638" ref="B640"/>
    <hyperlink r:id="rId639" ref="B641"/>
    <hyperlink r:id="rId640" ref="B642"/>
    <hyperlink r:id="rId641" ref="B643"/>
    <hyperlink r:id="rId642" ref="B644"/>
    <hyperlink r:id="rId643" ref="B645"/>
    <hyperlink r:id="rId644" ref="B646"/>
    <hyperlink r:id="rId645" ref="B647"/>
    <hyperlink r:id="rId646" ref="B648"/>
    <hyperlink r:id="rId647" ref="B649"/>
    <hyperlink r:id="rId648" ref="B650"/>
    <hyperlink r:id="rId649" ref="B651"/>
    <hyperlink r:id="rId650" ref="B652"/>
    <hyperlink r:id="rId651" ref="B653"/>
    <hyperlink r:id="rId652" ref="B654"/>
    <hyperlink r:id="rId653" ref="B655"/>
    <hyperlink r:id="rId654" ref="B656"/>
    <hyperlink r:id="rId655" ref="B657"/>
    <hyperlink r:id="rId656" ref="B658"/>
    <hyperlink r:id="rId657" ref="B659"/>
    <hyperlink r:id="rId658" ref="B660"/>
    <hyperlink r:id="rId659" ref="B661"/>
    <hyperlink r:id="rId660" ref="B662"/>
    <hyperlink r:id="rId661" ref="B663"/>
    <hyperlink r:id="rId662" ref="B664"/>
    <hyperlink r:id="rId663" ref="B665"/>
    <hyperlink r:id="rId664" ref="B666"/>
    <hyperlink r:id="rId665" ref="B667"/>
    <hyperlink r:id="rId666" ref="B668"/>
    <hyperlink r:id="rId667" ref="B669"/>
    <hyperlink r:id="rId668" ref="B670"/>
    <hyperlink r:id="rId669" ref="B671"/>
    <hyperlink r:id="rId670" ref="B672"/>
    <hyperlink r:id="rId671" ref="B673"/>
    <hyperlink r:id="rId672" ref="B674"/>
    <hyperlink r:id="rId673" ref="B675"/>
    <hyperlink r:id="rId674" ref="B676"/>
    <hyperlink r:id="rId675" ref="B677"/>
    <hyperlink r:id="rId676" ref="B678"/>
    <hyperlink r:id="rId677" ref="B679"/>
    <hyperlink r:id="rId678" ref="B680"/>
    <hyperlink r:id="rId679" ref="B681"/>
    <hyperlink r:id="rId680" ref="B682"/>
    <hyperlink r:id="rId681" ref="B683"/>
    <hyperlink r:id="rId682" ref="B684"/>
    <hyperlink r:id="rId683" ref="B685"/>
    <hyperlink r:id="rId684" ref="B686"/>
    <hyperlink r:id="rId685" ref="B687"/>
    <hyperlink r:id="rId686" ref="B688"/>
    <hyperlink r:id="rId687" ref="B689"/>
    <hyperlink r:id="rId688" ref="B690"/>
    <hyperlink r:id="rId689" ref="B691"/>
    <hyperlink r:id="rId690" ref="B692"/>
    <hyperlink r:id="rId691" ref="B693"/>
    <hyperlink r:id="rId692" ref="B694"/>
    <hyperlink r:id="rId693" ref="B695"/>
    <hyperlink r:id="rId694" ref="B696"/>
    <hyperlink r:id="rId695" ref="B697"/>
    <hyperlink r:id="rId696" ref="B698"/>
    <hyperlink r:id="rId697" ref="B699"/>
    <hyperlink r:id="rId698" ref="B700"/>
    <hyperlink r:id="rId699" ref="B701"/>
    <hyperlink r:id="rId700" ref="B702"/>
    <hyperlink r:id="rId701" ref="B703"/>
    <hyperlink r:id="rId702" ref="B704"/>
    <hyperlink r:id="rId703" ref="B705"/>
    <hyperlink r:id="rId704" ref="B706"/>
    <hyperlink r:id="rId705" ref="B707"/>
    <hyperlink r:id="rId706" ref="B708"/>
    <hyperlink r:id="rId707" ref="B709"/>
    <hyperlink r:id="rId708" ref="B710"/>
    <hyperlink r:id="rId709" ref="B711"/>
    <hyperlink r:id="rId710" ref="B712"/>
    <hyperlink r:id="rId711" ref="B713"/>
    <hyperlink r:id="rId712" ref="B714"/>
    <hyperlink r:id="rId713" ref="B715"/>
    <hyperlink r:id="rId714" ref="B716"/>
    <hyperlink r:id="rId715" ref="B717"/>
    <hyperlink r:id="rId716" ref="B718"/>
    <hyperlink r:id="rId717" ref="B719"/>
    <hyperlink r:id="rId718" ref="B720"/>
    <hyperlink r:id="rId719" ref="B721"/>
    <hyperlink r:id="rId720" ref="B722"/>
    <hyperlink r:id="rId721" ref="B723"/>
    <hyperlink r:id="rId722" ref="B724"/>
    <hyperlink r:id="rId723" ref="B725"/>
    <hyperlink r:id="rId724" ref="B726"/>
    <hyperlink r:id="rId725" ref="B727"/>
    <hyperlink r:id="rId726" ref="B728"/>
    <hyperlink r:id="rId727" ref="B729"/>
    <hyperlink r:id="rId728" ref="B730"/>
    <hyperlink r:id="rId729" ref="B731"/>
    <hyperlink r:id="rId730" ref="B732"/>
    <hyperlink r:id="rId731" ref="B733"/>
    <hyperlink r:id="rId732" ref="B734"/>
    <hyperlink r:id="rId733" ref="B735"/>
    <hyperlink r:id="rId734" ref="B736"/>
    <hyperlink r:id="rId735" ref="B737"/>
    <hyperlink r:id="rId736" ref="B738"/>
    <hyperlink r:id="rId737" ref="B739"/>
    <hyperlink r:id="rId738" ref="B740"/>
    <hyperlink r:id="rId739" ref="B741"/>
    <hyperlink r:id="rId740" ref="B742"/>
    <hyperlink r:id="rId741" ref="B743"/>
    <hyperlink r:id="rId742" ref="B744"/>
    <hyperlink r:id="rId743" ref="B745"/>
    <hyperlink r:id="rId744" ref="B746"/>
    <hyperlink r:id="rId745" ref="B747"/>
    <hyperlink r:id="rId746" ref="B748"/>
    <hyperlink r:id="rId747" ref="B749"/>
    <hyperlink r:id="rId748" ref="B750"/>
    <hyperlink r:id="rId749" ref="B751"/>
    <hyperlink r:id="rId750" ref="B752"/>
    <hyperlink r:id="rId751" ref="B753"/>
    <hyperlink r:id="rId752" ref="B754"/>
    <hyperlink r:id="rId753" ref="B755"/>
    <hyperlink r:id="rId754" ref="B756"/>
    <hyperlink r:id="rId755" ref="B757"/>
    <hyperlink r:id="rId756" ref="B758"/>
    <hyperlink r:id="rId757" ref="B759"/>
    <hyperlink r:id="rId758" ref="B760"/>
    <hyperlink r:id="rId759" ref="B761"/>
    <hyperlink r:id="rId760" ref="B762"/>
    <hyperlink r:id="rId761" ref="B763"/>
    <hyperlink r:id="rId762" ref="B764"/>
    <hyperlink r:id="rId763" ref="B765"/>
    <hyperlink r:id="rId764" ref="B766"/>
    <hyperlink r:id="rId765" ref="B767"/>
    <hyperlink r:id="rId766" ref="B768"/>
    <hyperlink r:id="rId767" ref="B769"/>
    <hyperlink r:id="rId768" ref="B770"/>
    <hyperlink r:id="rId769" ref="B771"/>
    <hyperlink r:id="rId770" ref="B772"/>
    <hyperlink r:id="rId771" ref="B773"/>
    <hyperlink r:id="rId772" ref="B774"/>
    <hyperlink r:id="rId773" ref="B775"/>
    <hyperlink r:id="rId774" ref="B776"/>
    <hyperlink r:id="rId775" ref="B777"/>
    <hyperlink r:id="rId776" ref="B778"/>
    <hyperlink r:id="rId777" ref="B779"/>
    <hyperlink r:id="rId778" ref="B780"/>
    <hyperlink r:id="rId779" ref="B781"/>
    <hyperlink r:id="rId780" ref="B782"/>
    <hyperlink r:id="rId781" ref="B783"/>
    <hyperlink r:id="rId782" ref="B784"/>
    <hyperlink r:id="rId783" ref="B785"/>
    <hyperlink r:id="rId784" ref="B786"/>
    <hyperlink r:id="rId785" ref="B787"/>
    <hyperlink r:id="rId786" ref="B788"/>
    <hyperlink r:id="rId787" ref="B789"/>
    <hyperlink r:id="rId788" ref="B790"/>
    <hyperlink r:id="rId789" ref="B791"/>
    <hyperlink r:id="rId790" ref="B792"/>
    <hyperlink r:id="rId791" ref="B793"/>
    <hyperlink r:id="rId792" ref="B794"/>
    <hyperlink r:id="rId793" ref="B795"/>
    <hyperlink r:id="rId794" ref="B796"/>
    <hyperlink r:id="rId795" ref="B797"/>
    <hyperlink r:id="rId796" ref="B798"/>
    <hyperlink r:id="rId797" ref="B799"/>
    <hyperlink r:id="rId798" ref="B800"/>
  </hyperlinks>
  <drawing r:id="rId79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7.75"/>
    <col customWidth="1" min="2" max="2" width="24.88"/>
    <col customWidth="1" min="3" max="3" width="48.5"/>
    <col customWidth="1" min="10" max="10" width="35.63"/>
  </cols>
  <sheetData>
    <row r="1">
      <c r="A1" s="136" t="s">
        <v>5032</v>
      </c>
      <c r="B1" s="136" t="s">
        <v>1</v>
      </c>
      <c r="C1" s="136" t="s">
        <v>2</v>
      </c>
      <c r="D1" s="136" t="s">
        <v>3</v>
      </c>
      <c r="E1" s="136" t="s">
        <v>6</v>
      </c>
      <c r="F1" s="136" t="s">
        <v>7</v>
      </c>
      <c r="G1" s="136" t="s">
        <v>8</v>
      </c>
      <c r="H1" s="137" t="s">
        <v>11</v>
      </c>
      <c r="I1" s="137" t="s">
        <v>12</v>
      </c>
      <c r="J1" s="136" t="s">
        <v>13</v>
      </c>
      <c r="K1" s="136" t="s">
        <v>14</v>
      </c>
      <c r="L1" s="136" t="s">
        <v>15</v>
      </c>
    </row>
    <row r="2">
      <c r="A2" s="138">
        <v>1.0</v>
      </c>
      <c r="B2" s="138" t="s">
        <v>3199</v>
      </c>
      <c r="C2" s="138" t="s">
        <v>4026</v>
      </c>
      <c r="D2" s="138" t="s">
        <v>5033</v>
      </c>
      <c r="E2" s="138" t="s">
        <v>21</v>
      </c>
      <c r="F2" s="138">
        <v>0.0</v>
      </c>
      <c r="G2" s="139">
        <v>46085.0</v>
      </c>
      <c r="H2" s="140">
        <v>0.3333333333333333</v>
      </c>
      <c r="I2" s="140">
        <v>0.6666666666666666</v>
      </c>
      <c r="J2" s="138" t="s">
        <v>5034</v>
      </c>
      <c r="K2" s="141">
        <v>-7.3086482E7</v>
      </c>
      <c r="L2" s="141">
        <v>1.128216622E9</v>
      </c>
    </row>
    <row r="3">
      <c r="A3" s="138">
        <f t="shared" ref="A3:A43" si="1">A2+1</f>
        <v>2</v>
      </c>
      <c r="B3" s="138" t="s">
        <v>4032</v>
      </c>
      <c r="C3" s="138" t="s">
        <v>4033</v>
      </c>
      <c r="D3" s="138" t="s">
        <v>5033</v>
      </c>
      <c r="E3" s="138" t="s">
        <v>21</v>
      </c>
      <c r="F3" s="138">
        <v>15000.0</v>
      </c>
      <c r="G3" s="139">
        <v>46116.0</v>
      </c>
      <c r="H3" s="140">
        <v>0.25</v>
      </c>
      <c r="I3" s="140">
        <v>0.75</v>
      </c>
      <c r="J3" s="138" t="s">
        <v>5035</v>
      </c>
      <c r="K3" s="141">
        <v>-7.2952211E7</v>
      </c>
      <c r="L3" s="141">
        <v>1.128035603E9</v>
      </c>
    </row>
    <row r="4">
      <c r="A4" s="138">
        <f t="shared" si="1"/>
        <v>3</v>
      </c>
      <c r="B4" s="138" t="s">
        <v>4039</v>
      </c>
      <c r="C4" s="138" t="s">
        <v>4040</v>
      </c>
      <c r="D4" s="138" t="s">
        <v>5036</v>
      </c>
      <c r="E4" s="138" t="s">
        <v>21</v>
      </c>
      <c r="F4" s="138">
        <v>35000.0</v>
      </c>
      <c r="G4" s="139">
        <v>46116.0</v>
      </c>
      <c r="H4" s="140">
        <v>0.0</v>
      </c>
      <c r="I4" s="140">
        <v>0.9993055555555556</v>
      </c>
      <c r="J4" s="138" t="s">
        <v>5037</v>
      </c>
      <c r="K4" s="141">
        <v>-7.2356933E7</v>
      </c>
      <c r="L4" s="141">
        <v>1.127955234E9</v>
      </c>
    </row>
    <row r="5">
      <c r="A5" s="138">
        <f t="shared" si="1"/>
        <v>4</v>
      </c>
      <c r="B5" s="138" t="s">
        <v>4044</v>
      </c>
      <c r="C5" s="138" t="s">
        <v>4045</v>
      </c>
      <c r="D5" s="138" t="s">
        <v>5036</v>
      </c>
      <c r="E5" s="138" t="s">
        <v>21</v>
      </c>
      <c r="F5" s="138">
        <v>0.0</v>
      </c>
      <c r="G5" s="139">
        <v>46177.0</v>
      </c>
      <c r="H5" s="140">
        <v>0.2916666666666667</v>
      </c>
      <c r="I5" s="140">
        <v>0.875</v>
      </c>
      <c r="J5" s="138" t="s">
        <v>5038</v>
      </c>
      <c r="K5" s="141">
        <v>-7.2614722E7</v>
      </c>
      <c r="L5" s="141">
        <v>1.127428284E9</v>
      </c>
    </row>
    <row r="6">
      <c r="A6" s="138">
        <f t="shared" si="1"/>
        <v>5</v>
      </c>
      <c r="B6" s="138" t="s">
        <v>4050</v>
      </c>
      <c r="C6" s="138" t="s">
        <v>4051</v>
      </c>
      <c r="D6" s="138" t="s">
        <v>5039</v>
      </c>
      <c r="E6" s="138" t="s">
        <v>21</v>
      </c>
      <c r="F6" s="138">
        <v>15000.0</v>
      </c>
      <c r="G6" s="139">
        <v>46116.0</v>
      </c>
      <c r="H6" s="140">
        <v>0.3333333333333333</v>
      </c>
      <c r="I6" s="140">
        <v>0.875</v>
      </c>
      <c r="J6" s="138" t="s">
        <v>5040</v>
      </c>
      <c r="K6" s="141">
        <v>-7.2654304E7</v>
      </c>
      <c r="L6" s="141">
        <v>1.127503052E9</v>
      </c>
    </row>
    <row r="7">
      <c r="A7" s="138">
        <f t="shared" si="1"/>
        <v>6</v>
      </c>
      <c r="B7" s="138" t="s">
        <v>2177</v>
      </c>
      <c r="C7" s="138" t="s">
        <v>4056</v>
      </c>
      <c r="D7" s="138" t="s">
        <v>5036</v>
      </c>
      <c r="E7" s="138" t="s">
        <v>21</v>
      </c>
      <c r="F7" s="138">
        <v>0.0</v>
      </c>
      <c r="G7" s="139">
        <v>46116.0</v>
      </c>
      <c r="H7" s="140">
        <v>0.0</v>
      </c>
      <c r="I7" s="140">
        <v>0.9993055555555556</v>
      </c>
      <c r="J7" s="138" t="s">
        <v>5041</v>
      </c>
      <c r="K7" s="141">
        <v>-7.3182202E7</v>
      </c>
      <c r="L7" s="141">
        <v>1.127842405E9</v>
      </c>
    </row>
    <row r="8">
      <c r="A8" s="138">
        <f t="shared" si="1"/>
        <v>7</v>
      </c>
      <c r="B8" s="138" t="s">
        <v>4058</v>
      </c>
      <c r="C8" s="138" t="s">
        <v>4059</v>
      </c>
      <c r="D8" s="138" t="s">
        <v>5036</v>
      </c>
      <c r="E8" s="138" t="s">
        <v>21</v>
      </c>
      <c r="F8" s="138">
        <v>0.0</v>
      </c>
      <c r="G8" s="139">
        <v>46026.0</v>
      </c>
      <c r="H8" s="140">
        <v>0.0</v>
      </c>
      <c r="I8" s="140">
        <v>0.9993055555555556</v>
      </c>
      <c r="J8" s="138" t="s">
        <v>5042</v>
      </c>
      <c r="K8" s="141">
        <v>-7.2662139E7</v>
      </c>
      <c r="L8" s="141">
        <v>1.12795281E8</v>
      </c>
    </row>
    <row r="9">
      <c r="A9" s="138">
        <f t="shared" si="1"/>
        <v>8</v>
      </c>
      <c r="B9" s="138" t="s">
        <v>3391</v>
      </c>
      <c r="C9" s="138" t="s">
        <v>4065</v>
      </c>
      <c r="D9" s="138" t="s">
        <v>5036</v>
      </c>
      <c r="E9" s="138" t="s">
        <v>21</v>
      </c>
      <c r="F9" s="138">
        <v>0.0</v>
      </c>
      <c r="G9" s="139">
        <v>46146.0</v>
      </c>
      <c r="H9" s="140">
        <v>0.0</v>
      </c>
      <c r="I9" s="140">
        <v>0.9993055555555556</v>
      </c>
      <c r="J9" s="138" t="s">
        <v>5043</v>
      </c>
      <c r="K9" s="141">
        <v>-7.3275604E7</v>
      </c>
      <c r="L9" s="141">
        <v>1.127312242E9</v>
      </c>
    </row>
    <row r="10">
      <c r="A10" s="138">
        <f t="shared" si="1"/>
        <v>9</v>
      </c>
      <c r="B10" s="138" t="s">
        <v>4070</v>
      </c>
      <c r="C10" s="138" t="s">
        <v>4071</v>
      </c>
      <c r="D10" s="138" t="s">
        <v>5033</v>
      </c>
      <c r="E10" s="138" t="s">
        <v>21</v>
      </c>
      <c r="F10" s="138">
        <v>0.0</v>
      </c>
      <c r="G10" s="139">
        <v>46085.0</v>
      </c>
      <c r="H10" s="140">
        <v>0.0</v>
      </c>
      <c r="I10" s="140">
        <v>0.9993055555555556</v>
      </c>
      <c r="J10" s="138" t="s">
        <v>5044</v>
      </c>
      <c r="K10" s="141">
        <v>-7.2941909E7</v>
      </c>
      <c r="L10" s="141">
        <v>1.128017238E9</v>
      </c>
    </row>
    <row r="11">
      <c r="A11" s="138">
        <f t="shared" si="1"/>
        <v>10</v>
      </c>
      <c r="B11" s="138" t="s">
        <v>2829</v>
      </c>
      <c r="C11" s="138" t="s">
        <v>4077</v>
      </c>
      <c r="D11" s="138" t="s">
        <v>5036</v>
      </c>
      <c r="E11" s="138" t="s">
        <v>21</v>
      </c>
      <c r="F11" s="138">
        <v>0.0</v>
      </c>
      <c r="G11" s="139">
        <v>46085.0</v>
      </c>
      <c r="H11" s="140">
        <v>0.0</v>
      </c>
      <c r="I11" s="140">
        <v>0.9993055555555556</v>
      </c>
      <c r="J11" s="138" t="s">
        <v>5045</v>
      </c>
      <c r="K11" s="141">
        <v>-7.2732153E7</v>
      </c>
      <c r="L11" s="141">
        <v>1.12744102E8</v>
      </c>
    </row>
    <row r="12">
      <c r="A12" s="138">
        <f t="shared" si="1"/>
        <v>11</v>
      </c>
      <c r="B12" s="138" t="s">
        <v>4082</v>
      </c>
      <c r="C12" s="138" t="s">
        <v>5046</v>
      </c>
      <c r="D12" s="138" t="s">
        <v>129</v>
      </c>
      <c r="E12" s="138" t="s">
        <v>21</v>
      </c>
      <c r="F12" s="138">
        <v>0.0</v>
      </c>
      <c r="G12" s="139">
        <v>46146.0</v>
      </c>
      <c r="H12" s="140">
        <v>0.4583333333333333</v>
      </c>
      <c r="I12" s="140">
        <v>0.9166666666666666</v>
      </c>
      <c r="J12" s="138" t="s">
        <v>5047</v>
      </c>
      <c r="K12" s="141">
        <v>-7251022.0</v>
      </c>
      <c r="L12" s="141">
        <v>1.126620053E9</v>
      </c>
    </row>
    <row r="13">
      <c r="A13" s="138">
        <f t="shared" si="1"/>
        <v>12</v>
      </c>
      <c r="B13" s="138" t="s">
        <v>616</v>
      </c>
      <c r="C13" s="138" t="s">
        <v>4088</v>
      </c>
      <c r="D13" s="138" t="s">
        <v>5036</v>
      </c>
      <c r="E13" s="138" t="s">
        <v>21</v>
      </c>
      <c r="F13" s="138">
        <v>0.0</v>
      </c>
      <c r="G13" s="139">
        <v>46057.0</v>
      </c>
      <c r="H13" s="140">
        <v>0.125</v>
      </c>
      <c r="I13" s="140">
        <v>0.9583333333333334</v>
      </c>
      <c r="J13" s="138" t="s">
        <v>5048</v>
      </c>
      <c r="K13" s="141">
        <v>-7.2220559E7</v>
      </c>
      <c r="L13" s="141">
        <v>1.127319967E9</v>
      </c>
    </row>
    <row r="14">
      <c r="A14" s="138">
        <f t="shared" si="1"/>
        <v>13</v>
      </c>
      <c r="B14" s="138" t="s">
        <v>3568</v>
      </c>
      <c r="C14" s="138" t="s">
        <v>4093</v>
      </c>
      <c r="D14" s="138" t="s">
        <v>5036</v>
      </c>
      <c r="E14" s="138" t="s">
        <v>21</v>
      </c>
      <c r="F14" s="138">
        <v>35000.0</v>
      </c>
      <c r="G14" s="139">
        <v>46057.0</v>
      </c>
      <c r="H14" s="140">
        <v>0.375</v>
      </c>
      <c r="I14" s="140">
        <v>0.7083333333333334</v>
      </c>
      <c r="J14" s="138" t="s">
        <v>5049</v>
      </c>
      <c r="K14" s="141">
        <v>-7.2522964E7</v>
      </c>
      <c r="L14" s="141">
        <v>1.127966952E9</v>
      </c>
    </row>
    <row r="15">
      <c r="A15" s="138">
        <f t="shared" si="1"/>
        <v>14</v>
      </c>
      <c r="B15" s="138" t="s">
        <v>523</v>
      </c>
      <c r="C15" s="138" t="s">
        <v>4099</v>
      </c>
      <c r="D15" s="138" t="s">
        <v>5036</v>
      </c>
      <c r="E15" s="138" t="s">
        <v>21</v>
      </c>
      <c r="F15" s="138">
        <v>50000.0</v>
      </c>
      <c r="G15" s="139">
        <v>46116.0</v>
      </c>
      <c r="H15" s="140">
        <v>0.5</v>
      </c>
      <c r="I15" s="140">
        <v>0.7916666666666666</v>
      </c>
      <c r="J15" s="138" t="s">
        <v>5050</v>
      </c>
      <c r="K15" s="141">
        <v>-7.1968193E7</v>
      </c>
      <c r="L15" s="141">
        <v>1.127324578E9</v>
      </c>
    </row>
    <row r="16">
      <c r="A16" s="138">
        <f t="shared" si="1"/>
        <v>15</v>
      </c>
      <c r="B16" s="138" t="s">
        <v>2852</v>
      </c>
      <c r="C16" s="138" t="s">
        <v>4104</v>
      </c>
      <c r="D16" s="138" t="s">
        <v>5033</v>
      </c>
      <c r="E16" s="138" t="s">
        <v>21</v>
      </c>
      <c r="F16" s="138">
        <v>0.0</v>
      </c>
      <c r="G16" s="139">
        <v>46116.0</v>
      </c>
      <c r="H16" s="140">
        <v>0.2916666666666667</v>
      </c>
      <c r="I16" s="140">
        <v>0.7083333333333334</v>
      </c>
      <c r="J16" s="138" t="s">
        <v>5051</v>
      </c>
      <c r="K16" s="141">
        <v>-7.3123655E7</v>
      </c>
      <c r="L16" s="141">
        <v>1.127889021E9</v>
      </c>
    </row>
    <row r="17">
      <c r="A17" s="138">
        <f t="shared" si="1"/>
        <v>16</v>
      </c>
      <c r="B17" s="138" t="s">
        <v>2443</v>
      </c>
      <c r="C17" s="138" t="s">
        <v>4109</v>
      </c>
      <c r="D17" s="138" t="s">
        <v>5036</v>
      </c>
      <c r="E17" s="138" t="s">
        <v>21</v>
      </c>
      <c r="F17" s="138">
        <v>0.0</v>
      </c>
      <c r="G17" s="139">
        <v>46146.0</v>
      </c>
      <c r="H17" s="140">
        <v>0.3125</v>
      </c>
      <c r="I17" s="140">
        <v>0.6666666666666666</v>
      </c>
      <c r="J17" s="138" t="s">
        <v>5052</v>
      </c>
      <c r="K17" s="141">
        <v>-7.2573072E7</v>
      </c>
      <c r="L17" s="141">
        <v>1.127437199E9</v>
      </c>
    </row>
    <row r="18">
      <c r="A18" s="138">
        <f t="shared" si="1"/>
        <v>17</v>
      </c>
      <c r="B18" s="138" t="s">
        <v>4114</v>
      </c>
      <c r="C18" s="138" t="s">
        <v>4115</v>
      </c>
      <c r="D18" s="138" t="s">
        <v>5033</v>
      </c>
      <c r="E18" s="138" t="s">
        <v>21</v>
      </c>
      <c r="F18" s="138">
        <v>15000.0</v>
      </c>
      <c r="G18" s="139">
        <v>46085.0</v>
      </c>
      <c r="H18" s="140">
        <v>0.3333333333333333</v>
      </c>
      <c r="I18" s="140">
        <v>0.6666666666666666</v>
      </c>
      <c r="J18" s="138" t="s">
        <v>5053</v>
      </c>
      <c r="K18" s="141">
        <v>-7.2959546E7</v>
      </c>
      <c r="L18" s="141">
        <v>1.127366094E9</v>
      </c>
    </row>
    <row r="19">
      <c r="A19" s="138">
        <f t="shared" si="1"/>
        <v>18</v>
      </c>
      <c r="B19" s="138" t="s">
        <v>4120</v>
      </c>
      <c r="C19" s="138" t="s">
        <v>4121</v>
      </c>
      <c r="D19" s="138" t="s">
        <v>5039</v>
      </c>
      <c r="E19" s="138" t="s">
        <v>21</v>
      </c>
      <c r="F19" s="138">
        <v>0.0</v>
      </c>
      <c r="G19" s="139">
        <v>46146.0</v>
      </c>
      <c r="H19" s="140">
        <v>0.375</v>
      </c>
      <c r="I19" s="140">
        <v>0.7083333333333334</v>
      </c>
      <c r="J19" s="138" t="s">
        <v>5054</v>
      </c>
      <c r="K19" s="141">
        <v>-7278736.0</v>
      </c>
      <c r="L19" s="141">
        <v>1.12718453E8</v>
      </c>
    </row>
    <row r="20">
      <c r="A20" s="138">
        <f t="shared" si="1"/>
        <v>19</v>
      </c>
      <c r="B20" s="138" t="s">
        <v>2255</v>
      </c>
      <c r="C20" s="138" t="s">
        <v>4126</v>
      </c>
      <c r="D20" s="138" t="s">
        <v>5055</v>
      </c>
      <c r="E20" s="138" t="s">
        <v>21</v>
      </c>
      <c r="F20" s="138">
        <v>0.0</v>
      </c>
      <c r="G20" s="139">
        <v>46207.0</v>
      </c>
      <c r="H20" s="140">
        <v>0.16666666666666666</v>
      </c>
      <c r="I20" s="140">
        <v>0.9166666666666666</v>
      </c>
      <c r="J20" s="138" t="s">
        <v>5056</v>
      </c>
      <c r="K20" s="141">
        <v>-7.2522754E7</v>
      </c>
      <c r="L20" s="141">
        <v>1.127468796E9</v>
      </c>
    </row>
    <row r="21">
      <c r="A21" s="138">
        <f t="shared" si="1"/>
        <v>20</v>
      </c>
      <c r="B21" s="138" t="s">
        <v>4129</v>
      </c>
      <c r="C21" s="138" t="s">
        <v>4130</v>
      </c>
      <c r="D21" s="138" t="s">
        <v>5055</v>
      </c>
      <c r="E21" s="138" t="s">
        <v>21</v>
      </c>
      <c r="F21" s="138">
        <v>0.0</v>
      </c>
      <c r="G21" s="139">
        <v>46269.0</v>
      </c>
      <c r="H21" s="140">
        <v>0.0</v>
      </c>
      <c r="I21" s="140">
        <v>0.9993055555555556</v>
      </c>
      <c r="J21" s="138" t="s">
        <v>5057</v>
      </c>
      <c r="K21" s="141">
        <v>-7.3366141E7</v>
      </c>
      <c r="L21" s="141">
        <v>1.127151806E9</v>
      </c>
    </row>
    <row r="22">
      <c r="A22" s="138">
        <f t="shared" si="1"/>
        <v>21</v>
      </c>
      <c r="B22" s="138" t="s">
        <v>2349</v>
      </c>
      <c r="C22" s="138" t="s">
        <v>4136</v>
      </c>
      <c r="D22" s="138" t="s">
        <v>5039</v>
      </c>
      <c r="E22" s="138" t="s">
        <v>21</v>
      </c>
      <c r="F22" s="138">
        <v>2000.0</v>
      </c>
      <c r="G22" s="139">
        <v>46146.0</v>
      </c>
      <c r="H22" s="140">
        <v>0.3333333333333333</v>
      </c>
      <c r="I22" s="140">
        <v>0.5833333333333334</v>
      </c>
      <c r="J22" s="138" t="s">
        <v>5058</v>
      </c>
      <c r="K22" s="141">
        <v>-7227185.0</v>
      </c>
      <c r="L22" s="141">
        <v>1.12718997E8</v>
      </c>
    </row>
    <row r="23">
      <c r="A23" s="138">
        <f t="shared" si="1"/>
        <v>22</v>
      </c>
      <c r="B23" s="138" t="s">
        <v>4141</v>
      </c>
      <c r="C23" s="138" t="s">
        <v>4142</v>
      </c>
      <c r="D23" s="138" t="s">
        <v>5039</v>
      </c>
      <c r="E23" s="138" t="s">
        <v>21</v>
      </c>
      <c r="F23" s="138">
        <v>0.0</v>
      </c>
      <c r="G23" s="139">
        <v>46146.0</v>
      </c>
      <c r="H23" s="140">
        <v>0.0</v>
      </c>
      <c r="I23" s="140">
        <v>0.9993055555555556</v>
      </c>
      <c r="J23" s="138" t="s">
        <v>5059</v>
      </c>
      <c r="K23" s="141">
        <v>-7.2367447E7</v>
      </c>
      <c r="L23" s="141">
        <v>1.127383009E9</v>
      </c>
    </row>
    <row r="24">
      <c r="A24" s="138">
        <f t="shared" si="1"/>
        <v>23</v>
      </c>
      <c r="B24" s="138" t="s">
        <v>2992</v>
      </c>
      <c r="C24" s="138" t="s">
        <v>4147</v>
      </c>
      <c r="D24" s="138" t="s">
        <v>5039</v>
      </c>
      <c r="E24" s="138" t="s">
        <v>21</v>
      </c>
      <c r="F24" s="138">
        <v>5000.0</v>
      </c>
      <c r="G24" s="139">
        <v>46177.0</v>
      </c>
      <c r="H24" s="140">
        <v>0.3333333333333333</v>
      </c>
      <c r="I24" s="140">
        <v>0.6666666666666666</v>
      </c>
      <c r="J24" s="138" t="s">
        <v>5060</v>
      </c>
      <c r="K24" s="141">
        <v>-7.2353939E7</v>
      </c>
      <c r="L24" s="141">
        <v>1.127367646E9</v>
      </c>
    </row>
    <row r="25">
      <c r="A25" s="138">
        <f t="shared" si="1"/>
        <v>24</v>
      </c>
      <c r="B25" s="138" t="s">
        <v>5061</v>
      </c>
      <c r="C25" s="138" t="s">
        <v>5062</v>
      </c>
      <c r="D25" s="138" t="s">
        <v>5039</v>
      </c>
      <c r="E25" s="138" t="s">
        <v>21</v>
      </c>
      <c r="F25" s="138">
        <v>0.0</v>
      </c>
      <c r="G25" s="139">
        <v>46116.0</v>
      </c>
      <c r="H25" s="140">
        <v>0.041666666666666664</v>
      </c>
      <c r="I25" s="140">
        <v>0.125</v>
      </c>
      <c r="J25" s="138" t="s">
        <v>5063</v>
      </c>
      <c r="K25" s="141">
        <v>-7.2567553E7</v>
      </c>
      <c r="L25" s="141">
        <v>1.127942203E9</v>
      </c>
    </row>
    <row r="26">
      <c r="A26" s="138">
        <f t="shared" si="1"/>
        <v>25</v>
      </c>
      <c r="B26" s="138" t="s">
        <v>4151</v>
      </c>
      <c r="C26" s="138" t="s">
        <v>4152</v>
      </c>
      <c r="D26" s="138" t="s">
        <v>5039</v>
      </c>
      <c r="E26" s="138" t="s">
        <v>21</v>
      </c>
      <c r="F26" s="138">
        <v>10000.0</v>
      </c>
      <c r="G26" s="139">
        <v>46146.0</v>
      </c>
      <c r="H26" s="140">
        <v>0.2916666666666667</v>
      </c>
      <c r="I26" s="140">
        <v>0.8333333333333334</v>
      </c>
      <c r="J26" s="138" t="s">
        <v>5064</v>
      </c>
      <c r="K26" s="141">
        <v>-7246944.0</v>
      </c>
      <c r="L26" s="141">
        <v>1.12802222E8</v>
      </c>
    </row>
    <row r="27">
      <c r="A27" s="138">
        <f t="shared" si="1"/>
        <v>26</v>
      </c>
      <c r="B27" s="138" t="s">
        <v>5065</v>
      </c>
      <c r="C27" s="138" t="s">
        <v>4158</v>
      </c>
      <c r="D27" s="138" t="s">
        <v>5039</v>
      </c>
      <c r="E27" s="138" t="s">
        <v>21</v>
      </c>
      <c r="F27" s="138">
        <v>5000.0</v>
      </c>
      <c r="G27" s="139">
        <v>46207.0</v>
      </c>
      <c r="H27" s="140">
        <v>0.3333333333333333</v>
      </c>
      <c r="I27" s="140">
        <v>0.625</v>
      </c>
      <c r="J27" s="138" t="s">
        <v>5066</v>
      </c>
      <c r="K27" s="141">
        <v>-7.2454369E7</v>
      </c>
      <c r="L27" s="141">
        <v>1.127378985E9</v>
      </c>
    </row>
    <row r="28">
      <c r="A28" s="138">
        <f t="shared" si="1"/>
        <v>27</v>
      </c>
      <c r="B28" s="138" t="s">
        <v>5067</v>
      </c>
      <c r="C28" s="138" t="s">
        <v>5068</v>
      </c>
      <c r="D28" s="138" t="s">
        <v>5039</v>
      </c>
      <c r="E28" s="138" t="s">
        <v>21</v>
      </c>
      <c r="F28" s="138">
        <v>0.0</v>
      </c>
      <c r="G28" s="139">
        <v>46207.0</v>
      </c>
      <c r="H28" s="140">
        <v>0.3333333333333333</v>
      </c>
      <c r="I28" s="140">
        <v>0.625</v>
      </c>
      <c r="J28" s="138" t="s">
        <v>5069</v>
      </c>
      <c r="K28" s="141">
        <v>-7246926.0</v>
      </c>
      <c r="L28" s="141">
        <v>1.1273781E7</v>
      </c>
    </row>
    <row r="29">
      <c r="A29" s="138">
        <f t="shared" si="1"/>
        <v>28</v>
      </c>
      <c r="B29" s="138" t="s">
        <v>3515</v>
      </c>
      <c r="C29" s="138" t="s">
        <v>4170</v>
      </c>
      <c r="D29" s="138" t="s">
        <v>5039</v>
      </c>
      <c r="E29" s="138" t="s">
        <v>21</v>
      </c>
      <c r="F29" s="138">
        <v>0.0</v>
      </c>
      <c r="G29" s="139">
        <v>46146.0</v>
      </c>
      <c r="H29" s="140">
        <v>0.3333333333333333</v>
      </c>
      <c r="I29" s="140">
        <v>0.625</v>
      </c>
      <c r="J29" s="138" t="s">
        <v>5070</v>
      </c>
      <c r="K29" s="141">
        <v>-7.2562972E7</v>
      </c>
      <c r="L29" s="141">
        <v>1.127379955E9</v>
      </c>
    </row>
    <row r="30">
      <c r="A30" s="138">
        <f t="shared" si="1"/>
        <v>29</v>
      </c>
      <c r="B30" s="138" t="s">
        <v>4175</v>
      </c>
      <c r="C30" s="138" t="s">
        <v>4176</v>
      </c>
      <c r="D30" s="138" t="s">
        <v>5039</v>
      </c>
      <c r="E30" s="138" t="s">
        <v>21</v>
      </c>
      <c r="F30" s="138">
        <v>0.0</v>
      </c>
      <c r="G30" s="139">
        <v>46177.0</v>
      </c>
      <c r="H30" s="140">
        <v>0.2916666666666667</v>
      </c>
      <c r="I30" s="140">
        <v>0.625</v>
      </c>
      <c r="J30" s="138" t="s">
        <v>5071</v>
      </c>
      <c r="K30" s="141">
        <v>-7.1954748E7</v>
      </c>
      <c r="L30" s="141">
        <v>1.127395206E9</v>
      </c>
    </row>
    <row r="31">
      <c r="A31" s="138">
        <f t="shared" si="1"/>
        <v>30</v>
      </c>
      <c r="B31" s="138" t="s">
        <v>4181</v>
      </c>
      <c r="C31" s="138" t="s">
        <v>4182</v>
      </c>
      <c r="D31" s="138" t="s">
        <v>5039</v>
      </c>
      <c r="E31" s="138" t="s">
        <v>21</v>
      </c>
      <c r="F31" s="138">
        <v>0.0</v>
      </c>
      <c r="G31" s="139">
        <v>46177.0</v>
      </c>
      <c r="H31" s="140">
        <v>0.0</v>
      </c>
      <c r="I31" s="140">
        <v>0.9993055555555556</v>
      </c>
      <c r="J31" s="138" t="s">
        <v>5072</v>
      </c>
      <c r="K31" s="141">
        <v>-7.2960492E7</v>
      </c>
      <c r="L31" s="141">
        <v>1.127387012E9</v>
      </c>
    </row>
    <row r="32">
      <c r="A32" s="138">
        <f t="shared" si="1"/>
        <v>31</v>
      </c>
      <c r="B32" s="138" t="s">
        <v>4187</v>
      </c>
      <c r="C32" s="138" t="s">
        <v>4188</v>
      </c>
      <c r="D32" s="138" t="s">
        <v>5073</v>
      </c>
      <c r="E32" s="138" t="s">
        <v>21</v>
      </c>
      <c r="F32" s="138">
        <v>15000.0</v>
      </c>
      <c r="G32" s="139">
        <v>46057.0</v>
      </c>
      <c r="H32" s="140">
        <v>0.3333333333333333</v>
      </c>
      <c r="I32" s="140">
        <v>0.6666666666666666</v>
      </c>
      <c r="J32" s="138" t="s">
        <v>5074</v>
      </c>
      <c r="K32" s="141">
        <v>-7.2509164E7</v>
      </c>
      <c r="L32" s="141">
        <v>1.128009332E9</v>
      </c>
    </row>
    <row r="33">
      <c r="A33" s="138">
        <f t="shared" si="1"/>
        <v>32</v>
      </c>
      <c r="B33" s="138" t="s">
        <v>4193</v>
      </c>
      <c r="C33" s="138" t="s">
        <v>4194</v>
      </c>
      <c r="D33" s="138" t="s">
        <v>5036</v>
      </c>
      <c r="E33" s="138" t="s">
        <v>21</v>
      </c>
      <c r="F33" s="138">
        <v>35000.0</v>
      </c>
      <c r="G33" s="139">
        <v>46026.0</v>
      </c>
      <c r="H33" s="140">
        <v>0.375</v>
      </c>
      <c r="I33" s="140">
        <v>0.75</v>
      </c>
      <c r="J33" s="138" t="s">
        <v>5075</v>
      </c>
      <c r="K33" s="141">
        <v>-7.2477963E7</v>
      </c>
      <c r="L33" s="141">
        <v>1.127998235E9</v>
      </c>
    </row>
    <row r="34">
      <c r="A34" s="138">
        <f t="shared" si="1"/>
        <v>33</v>
      </c>
      <c r="B34" s="138" t="s">
        <v>4199</v>
      </c>
      <c r="C34" s="138" t="s">
        <v>4200</v>
      </c>
      <c r="D34" s="138" t="s">
        <v>5039</v>
      </c>
      <c r="E34" s="138" t="s">
        <v>21</v>
      </c>
      <c r="F34" s="138">
        <v>0.0</v>
      </c>
      <c r="G34" s="139">
        <v>46207.0</v>
      </c>
      <c r="H34" s="140">
        <v>0.3333333333333333</v>
      </c>
      <c r="I34" s="140">
        <v>0.6666666666666666</v>
      </c>
      <c r="J34" s="138" t="s">
        <v>5076</v>
      </c>
      <c r="K34" s="141">
        <v>-7.2592948E7</v>
      </c>
      <c r="L34" s="141">
        <v>1.127470512E9</v>
      </c>
    </row>
    <row r="35">
      <c r="A35" s="138">
        <f t="shared" si="1"/>
        <v>34</v>
      </c>
      <c r="B35" s="138" t="s">
        <v>4205</v>
      </c>
      <c r="C35" s="138" t="s">
        <v>4206</v>
      </c>
      <c r="D35" s="138" t="s">
        <v>5039</v>
      </c>
      <c r="E35" s="138" t="s">
        <v>21</v>
      </c>
      <c r="F35" s="138">
        <v>0.0</v>
      </c>
      <c r="G35" s="139">
        <v>46085.0</v>
      </c>
      <c r="H35" s="140">
        <v>0.3333333333333333</v>
      </c>
      <c r="I35" s="140">
        <v>0.7083333333333334</v>
      </c>
      <c r="J35" s="138" t="s">
        <v>5077</v>
      </c>
      <c r="K35" s="141">
        <v>-7.2472841E7</v>
      </c>
      <c r="L35" s="141">
        <v>1.128010814E9</v>
      </c>
    </row>
    <row r="36">
      <c r="A36" s="138">
        <f t="shared" si="1"/>
        <v>35</v>
      </c>
      <c r="B36" s="138" t="s">
        <v>4211</v>
      </c>
      <c r="C36" s="138" t="s">
        <v>4212</v>
      </c>
      <c r="D36" s="138" t="s">
        <v>5039</v>
      </c>
      <c r="E36" s="138" t="s">
        <v>21</v>
      </c>
      <c r="F36" s="138">
        <v>0.0</v>
      </c>
      <c r="G36" s="139">
        <v>46177.0</v>
      </c>
      <c r="H36" s="140">
        <v>0.0</v>
      </c>
      <c r="I36" s="140">
        <v>0.9993055555555556</v>
      </c>
      <c r="J36" s="138" t="s">
        <v>5078</v>
      </c>
      <c r="K36" s="141">
        <v>-7.2677755E7</v>
      </c>
      <c r="L36" s="141">
        <v>1.127443898E9</v>
      </c>
    </row>
    <row r="37">
      <c r="A37" s="138">
        <f t="shared" si="1"/>
        <v>36</v>
      </c>
      <c r="B37" s="138" t="s">
        <v>4217</v>
      </c>
      <c r="C37" s="138" t="s">
        <v>4218</v>
      </c>
      <c r="D37" s="138" t="s">
        <v>5036</v>
      </c>
      <c r="E37" s="138" t="s">
        <v>21</v>
      </c>
      <c r="F37" s="138">
        <v>125000.0</v>
      </c>
      <c r="G37" s="139">
        <v>46116.0</v>
      </c>
      <c r="H37" s="140">
        <v>0.4166666666666667</v>
      </c>
      <c r="I37" s="140">
        <v>0.75</v>
      </c>
      <c r="J37" s="138" t="s">
        <v>5079</v>
      </c>
      <c r="K37" s="141">
        <v>-7.2516189E7</v>
      </c>
      <c r="L37" s="141">
        <v>1.128009694E9</v>
      </c>
    </row>
    <row r="38">
      <c r="A38" s="138">
        <f t="shared" si="1"/>
        <v>37</v>
      </c>
      <c r="B38" s="138" t="s">
        <v>4223</v>
      </c>
      <c r="C38" s="138" t="s">
        <v>4224</v>
      </c>
      <c r="D38" s="138" t="s">
        <v>5036</v>
      </c>
      <c r="E38" s="138" t="s">
        <v>21</v>
      </c>
      <c r="F38" s="138">
        <v>0.0</v>
      </c>
      <c r="G38" s="139">
        <v>46116.0</v>
      </c>
      <c r="H38" s="140">
        <v>0.0</v>
      </c>
      <c r="I38" s="140">
        <v>0.9993055555555556</v>
      </c>
      <c r="J38" s="138" t="s">
        <v>5080</v>
      </c>
      <c r="K38" s="141">
        <v>-7.2516046E7</v>
      </c>
      <c r="L38" s="141">
        <v>1.127545983E9</v>
      </c>
    </row>
    <row r="39">
      <c r="A39" s="138">
        <f t="shared" si="1"/>
        <v>38</v>
      </c>
      <c r="B39" s="138" t="s">
        <v>2615</v>
      </c>
      <c r="C39" s="138" t="s">
        <v>4229</v>
      </c>
      <c r="D39" s="138" t="s">
        <v>5039</v>
      </c>
      <c r="E39" s="138" t="s">
        <v>21</v>
      </c>
      <c r="F39" s="138">
        <v>2000.0</v>
      </c>
      <c r="G39" s="139">
        <v>46116.0</v>
      </c>
      <c r="H39" s="140">
        <v>0.3333333333333333</v>
      </c>
      <c r="I39" s="140">
        <v>0.6458333333333334</v>
      </c>
      <c r="J39" s="138" t="s">
        <v>5081</v>
      </c>
      <c r="K39" s="141">
        <v>-7.4338593E7</v>
      </c>
      <c r="L39" s="141">
        <v>1.127199058E9</v>
      </c>
    </row>
    <row r="40">
      <c r="A40" s="138">
        <f t="shared" si="1"/>
        <v>39</v>
      </c>
      <c r="B40" s="138" t="s">
        <v>2874</v>
      </c>
      <c r="C40" s="138" t="s">
        <v>4234</v>
      </c>
      <c r="D40" s="138" t="s">
        <v>5036</v>
      </c>
      <c r="E40" s="138" t="s">
        <v>21</v>
      </c>
      <c r="F40" s="138">
        <v>0.0</v>
      </c>
      <c r="G40" s="139">
        <v>46177.0</v>
      </c>
      <c r="H40" s="140">
        <v>0.0</v>
      </c>
      <c r="I40" s="140">
        <v>0.9993055555555556</v>
      </c>
      <c r="J40" s="138" t="s">
        <v>5082</v>
      </c>
      <c r="K40" s="141">
        <v>-7.2913468E7</v>
      </c>
      <c r="L40" s="141">
        <v>1.127398218E9</v>
      </c>
    </row>
    <row r="41">
      <c r="A41" s="138">
        <f t="shared" si="1"/>
        <v>40</v>
      </c>
      <c r="B41" s="138" t="s">
        <v>4239</v>
      </c>
      <c r="C41" s="138" t="s">
        <v>4240</v>
      </c>
      <c r="D41" s="138" t="s">
        <v>5036</v>
      </c>
      <c r="E41" s="138" t="s">
        <v>21</v>
      </c>
      <c r="F41" s="138">
        <v>0.0</v>
      </c>
      <c r="G41" s="139">
        <v>46116.0</v>
      </c>
      <c r="H41" s="140">
        <v>0.0</v>
      </c>
      <c r="I41" s="140">
        <v>0.9993055555555556</v>
      </c>
      <c r="J41" s="138" t="s">
        <v>5083</v>
      </c>
      <c r="K41" s="141">
        <v>-7.2752955E7</v>
      </c>
      <c r="L41" s="141">
        <v>1.127549381E9</v>
      </c>
    </row>
    <row r="42">
      <c r="A42" s="138">
        <f t="shared" si="1"/>
        <v>41</v>
      </c>
      <c r="B42" s="138" t="s">
        <v>2145</v>
      </c>
      <c r="C42" s="138" t="s">
        <v>4245</v>
      </c>
      <c r="D42" s="138" t="s">
        <v>5036</v>
      </c>
      <c r="E42" s="138" t="s">
        <v>21</v>
      </c>
      <c r="F42" s="138">
        <v>0.0</v>
      </c>
      <c r="G42" s="139">
        <v>46177.0</v>
      </c>
      <c r="H42" s="140">
        <v>0.2916666666666667</v>
      </c>
      <c r="I42" s="140">
        <v>0.7083333333333334</v>
      </c>
      <c r="J42" s="138" t="s">
        <v>5084</v>
      </c>
      <c r="K42" s="141">
        <v>-7.2943303E7</v>
      </c>
      <c r="L42" s="141">
        <v>1.127617534E9</v>
      </c>
    </row>
    <row r="43">
      <c r="A43" s="138">
        <f t="shared" si="1"/>
        <v>42</v>
      </c>
      <c r="B43" s="138" t="s">
        <v>5085</v>
      </c>
      <c r="C43" s="138" t="s">
        <v>4248</v>
      </c>
      <c r="D43" s="138" t="s">
        <v>5055</v>
      </c>
      <c r="E43" s="138" t="s">
        <v>21</v>
      </c>
      <c r="F43" s="138">
        <v>10000.0</v>
      </c>
      <c r="G43" s="139">
        <v>46238.0</v>
      </c>
      <c r="H43" s="140">
        <v>0.3333333333333333</v>
      </c>
      <c r="I43" s="140">
        <v>0.7916666666666666</v>
      </c>
      <c r="J43" s="138" t="s">
        <v>5086</v>
      </c>
      <c r="K43" s="141">
        <v>-7.2420758E7</v>
      </c>
      <c r="L43" s="141">
        <v>1.127368158E9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7.75"/>
    <col customWidth="1" min="2" max="2" width="24.88"/>
    <col customWidth="1" min="3" max="3" width="48.5"/>
    <col customWidth="1" min="10" max="10" width="35.63"/>
  </cols>
  <sheetData>
    <row r="1">
      <c r="A1" s="136" t="s">
        <v>5032</v>
      </c>
      <c r="B1" s="136" t="s">
        <v>1</v>
      </c>
      <c r="C1" s="136" t="s">
        <v>2</v>
      </c>
      <c r="D1" s="136" t="s">
        <v>3</v>
      </c>
      <c r="E1" s="136" t="s">
        <v>6</v>
      </c>
      <c r="F1" s="136" t="s">
        <v>7</v>
      </c>
      <c r="G1" s="136" t="s">
        <v>8</v>
      </c>
      <c r="H1" s="137" t="s">
        <v>11</v>
      </c>
      <c r="I1" s="137" t="s">
        <v>12</v>
      </c>
      <c r="J1" s="136" t="s">
        <v>13</v>
      </c>
      <c r="K1" s="136" t="s">
        <v>14</v>
      </c>
      <c r="L1" s="136" t="s">
        <v>15</v>
      </c>
    </row>
    <row r="2">
      <c r="A2" s="138">
        <v>1.0</v>
      </c>
      <c r="B2" s="138" t="s">
        <v>3199</v>
      </c>
      <c r="C2" s="138" t="s">
        <v>5087</v>
      </c>
      <c r="D2" s="138" t="s">
        <v>5033</v>
      </c>
      <c r="E2" s="138" t="s">
        <v>21</v>
      </c>
      <c r="F2" s="138">
        <v>0.0</v>
      </c>
      <c r="G2" s="139">
        <v>46085.0</v>
      </c>
      <c r="H2" s="140">
        <v>0.3333333333333333</v>
      </c>
      <c r="I2" s="140">
        <v>0.6666666666666666</v>
      </c>
      <c r="J2" s="138" t="s">
        <v>5034</v>
      </c>
      <c r="K2" s="141">
        <v>-7.3086482E7</v>
      </c>
      <c r="L2" s="141">
        <v>1.128216622E9</v>
      </c>
    </row>
    <row r="3">
      <c r="A3" s="138">
        <f t="shared" ref="A3:A43" si="1">A2+1</f>
        <v>2</v>
      </c>
      <c r="B3" s="138" t="s">
        <v>4032</v>
      </c>
      <c r="C3" s="138" t="s">
        <v>4033</v>
      </c>
      <c r="D3" s="138" t="s">
        <v>5033</v>
      </c>
      <c r="E3" s="138" t="s">
        <v>21</v>
      </c>
      <c r="F3" s="138">
        <v>15000.0</v>
      </c>
      <c r="G3" s="139">
        <v>46116.0</v>
      </c>
      <c r="H3" s="140">
        <v>0.25</v>
      </c>
      <c r="I3" s="140">
        <v>0.75</v>
      </c>
      <c r="J3" s="138" t="s">
        <v>5035</v>
      </c>
      <c r="K3" s="141">
        <v>-7.2952211E7</v>
      </c>
      <c r="L3" s="141">
        <v>1.128035603E9</v>
      </c>
    </row>
    <row r="4">
      <c r="A4" s="138">
        <f t="shared" si="1"/>
        <v>3</v>
      </c>
      <c r="B4" s="138" t="s">
        <v>4039</v>
      </c>
      <c r="C4" s="138" t="s">
        <v>4040</v>
      </c>
      <c r="D4" s="138" t="s">
        <v>5036</v>
      </c>
      <c r="E4" s="138" t="s">
        <v>21</v>
      </c>
      <c r="F4" s="138">
        <v>35000.0</v>
      </c>
      <c r="G4" s="139">
        <v>46116.0</v>
      </c>
      <c r="H4" s="140">
        <v>0.0</v>
      </c>
      <c r="I4" s="140">
        <v>0.9993055555555556</v>
      </c>
      <c r="J4" s="138" t="s">
        <v>5037</v>
      </c>
      <c r="K4" s="141">
        <v>-7.2356933E7</v>
      </c>
      <c r="L4" s="141">
        <v>1.127955234E9</v>
      </c>
    </row>
    <row r="5">
      <c r="A5" s="138">
        <f t="shared" si="1"/>
        <v>4</v>
      </c>
      <c r="B5" s="138" t="s">
        <v>4044</v>
      </c>
      <c r="C5" s="138" t="s">
        <v>4045</v>
      </c>
      <c r="D5" s="138" t="s">
        <v>5036</v>
      </c>
      <c r="E5" s="138" t="s">
        <v>21</v>
      </c>
      <c r="F5" s="138">
        <v>0.0</v>
      </c>
      <c r="G5" s="139">
        <v>46177.0</v>
      </c>
      <c r="H5" s="140">
        <v>0.2916666666666667</v>
      </c>
      <c r="I5" s="140">
        <v>0.875</v>
      </c>
      <c r="J5" s="138" t="s">
        <v>5038</v>
      </c>
      <c r="K5" s="141">
        <v>-7.2614722E7</v>
      </c>
      <c r="L5" s="141">
        <v>1.127428284E9</v>
      </c>
    </row>
    <row r="6">
      <c r="A6" s="138">
        <f t="shared" si="1"/>
        <v>5</v>
      </c>
      <c r="B6" s="138" t="s">
        <v>4050</v>
      </c>
      <c r="C6" s="138" t="s">
        <v>4051</v>
      </c>
      <c r="D6" s="138" t="s">
        <v>5039</v>
      </c>
      <c r="E6" s="138" t="s">
        <v>21</v>
      </c>
      <c r="F6" s="138">
        <v>15000.0</v>
      </c>
      <c r="G6" s="139">
        <v>46116.0</v>
      </c>
      <c r="H6" s="140">
        <v>0.3333333333333333</v>
      </c>
      <c r="I6" s="140">
        <v>0.875</v>
      </c>
      <c r="J6" s="138" t="s">
        <v>5040</v>
      </c>
      <c r="K6" s="141">
        <v>-7.2654304E7</v>
      </c>
      <c r="L6" s="141">
        <v>1.127503052E9</v>
      </c>
    </row>
    <row r="7">
      <c r="A7" s="138">
        <f t="shared" si="1"/>
        <v>6</v>
      </c>
      <c r="B7" s="138" t="s">
        <v>2177</v>
      </c>
      <c r="C7" s="138" t="s">
        <v>4056</v>
      </c>
      <c r="D7" s="138" t="s">
        <v>5036</v>
      </c>
      <c r="E7" s="138" t="s">
        <v>21</v>
      </c>
      <c r="F7" s="138">
        <v>0.0</v>
      </c>
      <c r="G7" s="139">
        <v>46116.0</v>
      </c>
      <c r="H7" s="140">
        <v>0.0</v>
      </c>
      <c r="I7" s="140">
        <v>0.9993055555555556</v>
      </c>
      <c r="J7" s="138" t="s">
        <v>5041</v>
      </c>
      <c r="K7" s="141">
        <v>-7.3182202E7</v>
      </c>
      <c r="L7" s="141">
        <v>1.127842405E9</v>
      </c>
    </row>
    <row r="8">
      <c r="A8" s="138">
        <f t="shared" si="1"/>
        <v>7</v>
      </c>
      <c r="B8" s="138" t="s">
        <v>4058</v>
      </c>
      <c r="C8" s="138" t="s">
        <v>4059</v>
      </c>
      <c r="D8" s="138" t="s">
        <v>5036</v>
      </c>
      <c r="E8" s="138" t="s">
        <v>21</v>
      </c>
      <c r="F8" s="138">
        <v>0.0</v>
      </c>
      <c r="G8" s="139">
        <v>46026.0</v>
      </c>
      <c r="H8" s="140">
        <v>0.0</v>
      </c>
      <c r="I8" s="140">
        <v>0.9993055555555556</v>
      </c>
      <c r="J8" s="138" t="s">
        <v>5042</v>
      </c>
      <c r="K8" s="141">
        <v>-7.2662139E7</v>
      </c>
      <c r="L8" s="141">
        <v>1.12795281E8</v>
      </c>
    </row>
    <row r="9">
      <c r="A9" s="138">
        <f t="shared" si="1"/>
        <v>8</v>
      </c>
      <c r="B9" s="138" t="s">
        <v>3391</v>
      </c>
      <c r="C9" s="138" t="s">
        <v>4065</v>
      </c>
      <c r="D9" s="138" t="s">
        <v>5036</v>
      </c>
      <c r="E9" s="138" t="s">
        <v>21</v>
      </c>
      <c r="F9" s="138">
        <v>0.0</v>
      </c>
      <c r="G9" s="139">
        <v>46146.0</v>
      </c>
      <c r="H9" s="140">
        <v>0.0</v>
      </c>
      <c r="I9" s="140">
        <v>0.9993055555555556</v>
      </c>
      <c r="J9" s="138" t="s">
        <v>5043</v>
      </c>
      <c r="K9" s="141">
        <v>-7.3275604E7</v>
      </c>
      <c r="L9" s="141">
        <v>1.127312242E9</v>
      </c>
    </row>
    <row r="10">
      <c r="A10" s="138">
        <f t="shared" si="1"/>
        <v>9</v>
      </c>
      <c r="B10" s="138" t="s">
        <v>4070</v>
      </c>
      <c r="C10" s="138" t="s">
        <v>4071</v>
      </c>
      <c r="D10" s="138" t="s">
        <v>5033</v>
      </c>
      <c r="E10" s="138" t="s">
        <v>21</v>
      </c>
      <c r="F10" s="138">
        <v>0.0</v>
      </c>
      <c r="G10" s="139">
        <v>46085.0</v>
      </c>
      <c r="H10" s="140">
        <v>0.0</v>
      </c>
      <c r="I10" s="140">
        <v>0.9993055555555556</v>
      </c>
      <c r="J10" s="138" t="s">
        <v>5044</v>
      </c>
      <c r="K10" s="141">
        <v>-7.2941909E7</v>
      </c>
      <c r="L10" s="141">
        <v>1.128017238E9</v>
      </c>
    </row>
    <row r="11">
      <c r="A11" s="138">
        <f t="shared" si="1"/>
        <v>10</v>
      </c>
      <c r="B11" s="138" t="s">
        <v>2829</v>
      </c>
      <c r="C11" s="138" t="s">
        <v>4077</v>
      </c>
      <c r="D11" s="138" t="s">
        <v>5036</v>
      </c>
      <c r="E11" s="138" t="s">
        <v>21</v>
      </c>
      <c r="F11" s="138">
        <v>0.0</v>
      </c>
      <c r="G11" s="139">
        <v>46085.0</v>
      </c>
      <c r="H11" s="140">
        <v>0.0</v>
      </c>
      <c r="I11" s="140">
        <v>0.9993055555555556</v>
      </c>
      <c r="J11" s="138" t="s">
        <v>5045</v>
      </c>
      <c r="K11" s="141">
        <v>-7.2732153E7</v>
      </c>
      <c r="L11" s="141">
        <v>1.12744102E8</v>
      </c>
    </row>
    <row r="12">
      <c r="A12" s="138">
        <f t="shared" si="1"/>
        <v>11</v>
      </c>
      <c r="B12" s="138" t="s">
        <v>4082</v>
      </c>
      <c r="C12" s="138" t="s">
        <v>5046</v>
      </c>
      <c r="D12" s="138" t="s">
        <v>129</v>
      </c>
      <c r="E12" s="138" t="s">
        <v>21</v>
      </c>
      <c r="F12" s="138">
        <v>0.0</v>
      </c>
      <c r="G12" s="139">
        <v>46146.0</v>
      </c>
      <c r="H12" s="140">
        <v>0.4583333333333333</v>
      </c>
      <c r="I12" s="140">
        <v>0.9166666666666666</v>
      </c>
      <c r="J12" s="138" t="s">
        <v>5047</v>
      </c>
      <c r="K12" s="141">
        <v>-7251022.0</v>
      </c>
      <c r="L12" s="141">
        <v>1.126620053E9</v>
      </c>
    </row>
    <row r="13">
      <c r="A13" s="138">
        <f t="shared" si="1"/>
        <v>12</v>
      </c>
      <c r="B13" s="138" t="s">
        <v>616</v>
      </c>
      <c r="C13" s="138" t="s">
        <v>4088</v>
      </c>
      <c r="D13" s="138" t="s">
        <v>5036</v>
      </c>
      <c r="E13" s="138" t="s">
        <v>21</v>
      </c>
      <c r="F13" s="138">
        <v>0.0</v>
      </c>
      <c r="G13" s="139">
        <v>46057.0</v>
      </c>
      <c r="H13" s="140">
        <v>0.125</v>
      </c>
      <c r="I13" s="140">
        <v>0.9583333333333334</v>
      </c>
      <c r="J13" s="138" t="s">
        <v>5048</v>
      </c>
      <c r="K13" s="141">
        <v>-7.2220559E7</v>
      </c>
      <c r="L13" s="141">
        <v>1.127319967E9</v>
      </c>
    </row>
    <row r="14">
      <c r="A14" s="138">
        <f t="shared" si="1"/>
        <v>13</v>
      </c>
      <c r="B14" s="138" t="s">
        <v>3568</v>
      </c>
      <c r="C14" s="138" t="s">
        <v>4093</v>
      </c>
      <c r="D14" s="138" t="s">
        <v>5036</v>
      </c>
      <c r="E14" s="138" t="s">
        <v>21</v>
      </c>
      <c r="F14" s="138">
        <v>35000.0</v>
      </c>
      <c r="G14" s="139">
        <v>46057.0</v>
      </c>
      <c r="H14" s="140">
        <v>0.375</v>
      </c>
      <c r="I14" s="140">
        <v>0.7083333333333334</v>
      </c>
      <c r="J14" s="138" t="s">
        <v>5049</v>
      </c>
      <c r="K14" s="141">
        <v>-7.2522964E7</v>
      </c>
      <c r="L14" s="141">
        <v>1.127966952E9</v>
      </c>
    </row>
    <row r="15">
      <c r="A15" s="138">
        <f t="shared" si="1"/>
        <v>14</v>
      </c>
      <c r="B15" s="138" t="s">
        <v>523</v>
      </c>
      <c r="C15" s="138" t="s">
        <v>4099</v>
      </c>
      <c r="D15" s="138" t="s">
        <v>5036</v>
      </c>
      <c r="E15" s="138" t="s">
        <v>21</v>
      </c>
      <c r="F15" s="138">
        <v>50000.0</v>
      </c>
      <c r="G15" s="139">
        <v>46116.0</v>
      </c>
      <c r="H15" s="140">
        <v>0.5</v>
      </c>
      <c r="I15" s="140">
        <v>0.7916666666666666</v>
      </c>
      <c r="J15" s="138" t="s">
        <v>5050</v>
      </c>
      <c r="K15" s="141">
        <v>-7.1968193E7</v>
      </c>
      <c r="L15" s="141">
        <v>1.127324578E9</v>
      </c>
    </row>
    <row r="16">
      <c r="A16" s="138">
        <f t="shared" si="1"/>
        <v>15</v>
      </c>
      <c r="B16" s="138" t="s">
        <v>2852</v>
      </c>
      <c r="C16" s="138" t="s">
        <v>4104</v>
      </c>
      <c r="D16" s="138" t="s">
        <v>5033</v>
      </c>
      <c r="E16" s="138" t="s">
        <v>21</v>
      </c>
      <c r="F16" s="138">
        <v>0.0</v>
      </c>
      <c r="G16" s="139">
        <v>46116.0</v>
      </c>
      <c r="H16" s="140">
        <v>0.2916666666666667</v>
      </c>
      <c r="I16" s="140">
        <v>0.7083333333333334</v>
      </c>
      <c r="J16" s="138" t="s">
        <v>5051</v>
      </c>
      <c r="K16" s="141">
        <v>-7.3123655E7</v>
      </c>
      <c r="L16" s="141">
        <v>1.127889021E9</v>
      </c>
    </row>
    <row r="17">
      <c r="A17" s="138">
        <f t="shared" si="1"/>
        <v>16</v>
      </c>
      <c r="B17" s="138" t="s">
        <v>2443</v>
      </c>
      <c r="C17" s="138" t="s">
        <v>4109</v>
      </c>
      <c r="D17" s="138" t="s">
        <v>5036</v>
      </c>
      <c r="E17" s="138" t="s">
        <v>21</v>
      </c>
      <c r="F17" s="138">
        <v>0.0</v>
      </c>
      <c r="G17" s="139">
        <v>46146.0</v>
      </c>
      <c r="H17" s="140">
        <v>0.3125</v>
      </c>
      <c r="I17" s="140">
        <v>0.6666666666666666</v>
      </c>
      <c r="J17" s="138" t="s">
        <v>5052</v>
      </c>
      <c r="K17" s="141">
        <v>-7.2573072E7</v>
      </c>
      <c r="L17" s="141">
        <v>1.127437199E9</v>
      </c>
    </row>
    <row r="18">
      <c r="A18" s="138">
        <f t="shared" si="1"/>
        <v>17</v>
      </c>
      <c r="B18" s="138" t="s">
        <v>4114</v>
      </c>
      <c r="C18" s="138" t="s">
        <v>4115</v>
      </c>
      <c r="D18" s="138" t="s">
        <v>5033</v>
      </c>
      <c r="E18" s="138" t="s">
        <v>21</v>
      </c>
      <c r="F18" s="138">
        <v>15000.0</v>
      </c>
      <c r="G18" s="139">
        <v>46085.0</v>
      </c>
      <c r="H18" s="140">
        <v>0.3333333333333333</v>
      </c>
      <c r="I18" s="140">
        <v>0.6666666666666666</v>
      </c>
      <c r="J18" s="138" t="s">
        <v>5053</v>
      </c>
      <c r="K18" s="141">
        <v>-7.2959546E7</v>
      </c>
      <c r="L18" s="141">
        <v>1.127366094E9</v>
      </c>
    </row>
    <row r="19">
      <c r="A19" s="138">
        <f t="shared" si="1"/>
        <v>18</v>
      </c>
      <c r="B19" s="138" t="s">
        <v>4120</v>
      </c>
      <c r="C19" s="138" t="s">
        <v>4121</v>
      </c>
      <c r="D19" s="138" t="s">
        <v>5039</v>
      </c>
      <c r="E19" s="138" t="s">
        <v>21</v>
      </c>
      <c r="F19" s="138">
        <v>0.0</v>
      </c>
      <c r="G19" s="139">
        <v>46146.0</v>
      </c>
      <c r="H19" s="140">
        <v>0.375</v>
      </c>
      <c r="I19" s="140">
        <v>0.7083333333333334</v>
      </c>
      <c r="J19" s="138" t="s">
        <v>5054</v>
      </c>
      <c r="K19" s="141">
        <v>-7278736.0</v>
      </c>
      <c r="L19" s="141">
        <v>1.12718453E8</v>
      </c>
    </row>
    <row r="20">
      <c r="A20" s="138">
        <f t="shared" si="1"/>
        <v>19</v>
      </c>
      <c r="B20" s="138" t="s">
        <v>2255</v>
      </c>
      <c r="C20" s="138" t="s">
        <v>4126</v>
      </c>
      <c r="D20" s="138" t="s">
        <v>5055</v>
      </c>
      <c r="E20" s="138" t="s">
        <v>21</v>
      </c>
      <c r="F20" s="138">
        <v>0.0</v>
      </c>
      <c r="G20" s="139">
        <v>46207.0</v>
      </c>
      <c r="H20" s="140">
        <v>0.16666666666666666</v>
      </c>
      <c r="I20" s="140">
        <v>0.9166666666666666</v>
      </c>
      <c r="J20" s="138" t="s">
        <v>5056</v>
      </c>
      <c r="K20" s="141">
        <v>-7.2522754E7</v>
      </c>
      <c r="L20" s="141">
        <v>1.127468796E9</v>
      </c>
    </row>
    <row r="21">
      <c r="A21" s="138">
        <f t="shared" si="1"/>
        <v>20</v>
      </c>
      <c r="B21" s="138" t="s">
        <v>4129</v>
      </c>
      <c r="C21" s="138" t="s">
        <v>4130</v>
      </c>
      <c r="D21" s="138" t="s">
        <v>5055</v>
      </c>
      <c r="E21" s="138" t="s">
        <v>21</v>
      </c>
      <c r="F21" s="138">
        <v>0.0</v>
      </c>
      <c r="G21" s="139">
        <v>46269.0</v>
      </c>
      <c r="H21" s="140">
        <v>0.0</v>
      </c>
      <c r="I21" s="140">
        <v>0.9993055555555556</v>
      </c>
      <c r="J21" s="138" t="s">
        <v>5057</v>
      </c>
      <c r="K21" s="141">
        <v>-7.3366141E7</v>
      </c>
      <c r="L21" s="141">
        <v>1.127151806E9</v>
      </c>
    </row>
    <row r="22">
      <c r="A22" s="138">
        <f t="shared" si="1"/>
        <v>21</v>
      </c>
      <c r="B22" s="138" t="s">
        <v>2349</v>
      </c>
      <c r="C22" s="138" t="s">
        <v>4136</v>
      </c>
      <c r="D22" s="138" t="s">
        <v>5039</v>
      </c>
      <c r="E22" s="138" t="s">
        <v>21</v>
      </c>
      <c r="F22" s="138">
        <v>2000.0</v>
      </c>
      <c r="G22" s="139">
        <v>46146.0</v>
      </c>
      <c r="H22" s="140">
        <v>0.3333333333333333</v>
      </c>
      <c r="I22" s="140">
        <v>0.5833333333333334</v>
      </c>
      <c r="J22" s="138" t="s">
        <v>5058</v>
      </c>
      <c r="K22" s="141">
        <v>-7227185.0</v>
      </c>
      <c r="L22" s="141">
        <v>1.12718997E8</v>
      </c>
    </row>
    <row r="23">
      <c r="A23" s="138">
        <f t="shared" si="1"/>
        <v>22</v>
      </c>
      <c r="B23" s="138" t="s">
        <v>4141</v>
      </c>
      <c r="C23" s="138" t="s">
        <v>4142</v>
      </c>
      <c r="D23" s="138" t="s">
        <v>5039</v>
      </c>
      <c r="E23" s="138" t="s">
        <v>21</v>
      </c>
      <c r="F23" s="138">
        <v>0.0</v>
      </c>
      <c r="G23" s="139">
        <v>46146.0</v>
      </c>
      <c r="H23" s="140">
        <v>0.0</v>
      </c>
      <c r="I23" s="140">
        <v>0.9993055555555556</v>
      </c>
      <c r="J23" s="138" t="s">
        <v>5059</v>
      </c>
      <c r="K23" s="141">
        <v>-7.2367447E7</v>
      </c>
      <c r="L23" s="141">
        <v>1.127383009E9</v>
      </c>
    </row>
    <row r="24">
      <c r="A24" s="138">
        <f t="shared" si="1"/>
        <v>23</v>
      </c>
      <c r="B24" s="138" t="s">
        <v>2992</v>
      </c>
      <c r="C24" s="138" t="s">
        <v>4147</v>
      </c>
      <c r="D24" s="138" t="s">
        <v>5039</v>
      </c>
      <c r="E24" s="138" t="s">
        <v>21</v>
      </c>
      <c r="F24" s="138">
        <v>5000.0</v>
      </c>
      <c r="G24" s="139">
        <v>46177.0</v>
      </c>
      <c r="H24" s="140">
        <v>0.3333333333333333</v>
      </c>
      <c r="I24" s="140">
        <v>0.6666666666666666</v>
      </c>
      <c r="J24" s="138" t="s">
        <v>5060</v>
      </c>
      <c r="K24" s="141">
        <v>-7.2353939E7</v>
      </c>
      <c r="L24" s="141">
        <v>1.127367646E9</v>
      </c>
    </row>
    <row r="25">
      <c r="A25" s="138">
        <f t="shared" si="1"/>
        <v>24</v>
      </c>
      <c r="B25" s="138" t="s">
        <v>5061</v>
      </c>
      <c r="C25" s="138" t="s">
        <v>5062</v>
      </c>
      <c r="D25" s="138" t="s">
        <v>5039</v>
      </c>
      <c r="E25" s="138" t="s">
        <v>21</v>
      </c>
      <c r="F25" s="138">
        <v>0.0</v>
      </c>
      <c r="G25" s="139">
        <v>46116.0</v>
      </c>
      <c r="H25" s="140">
        <v>0.041666666666666664</v>
      </c>
      <c r="I25" s="140">
        <v>0.125</v>
      </c>
      <c r="J25" s="138" t="s">
        <v>5063</v>
      </c>
      <c r="K25" s="141">
        <v>-7.2567553E7</v>
      </c>
      <c r="L25" s="141">
        <v>1.127942203E9</v>
      </c>
    </row>
    <row r="26">
      <c r="A26" s="138">
        <f t="shared" si="1"/>
        <v>25</v>
      </c>
      <c r="B26" s="138" t="s">
        <v>4151</v>
      </c>
      <c r="C26" s="138" t="s">
        <v>4152</v>
      </c>
      <c r="D26" s="138" t="s">
        <v>5039</v>
      </c>
      <c r="E26" s="138" t="s">
        <v>21</v>
      </c>
      <c r="F26" s="138">
        <v>10000.0</v>
      </c>
      <c r="G26" s="139">
        <v>46146.0</v>
      </c>
      <c r="H26" s="140">
        <v>0.2916666666666667</v>
      </c>
      <c r="I26" s="140">
        <v>0.8333333333333334</v>
      </c>
      <c r="J26" s="138" t="s">
        <v>5064</v>
      </c>
      <c r="K26" s="141">
        <v>-7246944.0</v>
      </c>
      <c r="L26" s="141">
        <v>1.12802222E8</v>
      </c>
    </row>
    <row r="27">
      <c r="A27" s="138">
        <f t="shared" si="1"/>
        <v>26</v>
      </c>
      <c r="B27" s="138" t="s">
        <v>5065</v>
      </c>
      <c r="C27" s="138" t="s">
        <v>4158</v>
      </c>
      <c r="D27" s="138" t="s">
        <v>5039</v>
      </c>
      <c r="E27" s="138" t="s">
        <v>21</v>
      </c>
      <c r="F27" s="138">
        <v>5000.0</v>
      </c>
      <c r="G27" s="139">
        <v>46207.0</v>
      </c>
      <c r="H27" s="140">
        <v>0.3333333333333333</v>
      </c>
      <c r="I27" s="140">
        <v>0.625</v>
      </c>
      <c r="J27" s="138" t="s">
        <v>5066</v>
      </c>
      <c r="K27" s="141">
        <v>-7.2454369E7</v>
      </c>
      <c r="L27" s="141">
        <v>1.127378985E9</v>
      </c>
    </row>
    <row r="28">
      <c r="A28" s="138">
        <f t="shared" si="1"/>
        <v>27</v>
      </c>
      <c r="B28" s="138" t="s">
        <v>5067</v>
      </c>
      <c r="C28" s="138" t="s">
        <v>5068</v>
      </c>
      <c r="D28" s="138" t="s">
        <v>5039</v>
      </c>
      <c r="E28" s="138" t="s">
        <v>21</v>
      </c>
      <c r="F28" s="138">
        <v>0.0</v>
      </c>
      <c r="G28" s="139">
        <v>46207.0</v>
      </c>
      <c r="H28" s="140">
        <v>0.3333333333333333</v>
      </c>
      <c r="I28" s="140">
        <v>0.625</v>
      </c>
      <c r="J28" s="138" t="s">
        <v>5069</v>
      </c>
      <c r="K28" s="141">
        <v>-7246926.0</v>
      </c>
      <c r="L28" s="141">
        <v>1.1273781E7</v>
      </c>
    </row>
    <row r="29">
      <c r="A29" s="138">
        <f t="shared" si="1"/>
        <v>28</v>
      </c>
      <c r="B29" s="138" t="s">
        <v>3515</v>
      </c>
      <c r="C29" s="138" t="s">
        <v>4170</v>
      </c>
      <c r="D29" s="138" t="s">
        <v>5039</v>
      </c>
      <c r="E29" s="138" t="s">
        <v>21</v>
      </c>
      <c r="F29" s="138">
        <v>0.0</v>
      </c>
      <c r="G29" s="139">
        <v>46146.0</v>
      </c>
      <c r="H29" s="140">
        <v>0.3333333333333333</v>
      </c>
      <c r="I29" s="140">
        <v>0.625</v>
      </c>
      <c r="J29" s="138" t="s">
        <v>5070</v>
      </c>
      <c r="K29" s="141">
        <v>-7.2562972E7</v>
      </c>
      <c r="L29" s="141">
        <v>1.127379955E9</v>
      </c>
    </row>
    <row r="30">
      <c r="A30" s="138">
        <f t="shared" si="1"/>
        <v>29</v>
      </c>
      <c r="B30" s="138" t="s">
        <v>4175</v>
      </c>
      <c r="C30" s="138" t="s">
        <v>4176</v>
      </c>
      <c r="D30" s="138" t="s">
        <v>5039</v>
      </c>
      <c r="E30" s="138" t="s">
        <v>21</v>
      </c>
      <c r="F30" s="138">
        <v>0.0</v>
      </c>
      <c r="G30" s="139">
        <v>46177.0</v>
      </c>
      <c r="H30" s="140">
        <v>0.2916666666666667</v>
      </c>
      <c r="I30" s="140">
        <v>0.625</v>
      </c>
      <c r="J30" s="138" t="s">
        <v>5071</v>
      </c>
      <c r="K30" s="141">
        <v>-7.1954748E7</v>
      </c>
      <c r="L30" s="141">
        <v>1.127395206E9</v>
      </c>
    </row>
    <row r="31">
      <c r="A31" s="138">
        <f t="shared" si="1"/>
        <v>30</v>
      </c>
      <c r="B31" s="138" t="s">
        <v>4181</v>
      </c>
      <c r="C31" s="138" t="s">
        <v>4182</v>
      </c>
      <c r="D31" s="138" t="s">
        <v>5039</v>
      </c>
      <c r="E31" s="138" t="s">
        <v>21</v>
      </c>
      <c r="F31" s="138">
        <v>0.0</v>
      </c>
      <c r="G31" s="139">
        <v>46177.0</v>
      </c>
      <c r="H31" s="140">
        <v>0.0</v>
      </c>
      <c r="I31" s="140">
        <v>0.9993055555555556</v>
      </c>
      <c r="J31" s="138" t="s">
        <v>5072</v>
      </c>
      <c r="K31" s="141">
        <v>-7.2960492E7</v>
      </c>
      <c r="L31" s="141">
        <v>1.127387012E9</v>
      </c>
    </row>
    <row r="32">
      <c r="A32" s="138">
        <f t="shared" si="1"/>
        <v>31</v>
      </c>
      <c r="B32" s="138" t="s">
        <v>4187</v>
      </c>
      <c r="C32" s="138" t="s">
        <v>4188</v>
      </c>
      <c r="D32" s="138" t="s">
        <v>5073</v>
      </c>
      <c r="E32" s="138" t="s">
        <v>21</v>
      </c>
      <c r="F32" s="138">
        <v>15000.0</v>
      </c>
      <c r="G32" s="139">
        <v>46057.0</v>
      </c>
      <c r="H32" s="140">
        <v>0.3333333333333333</v>
      </c>
      <c r="I32" s="140">
        <v>0.6666666666666666</v>
      </c>
      <c r="J32" s="138" t="s">
        <v>5074</v>
      </c>
      <c r="K32" s="141">
        <v>-7.2509164E7</v>
      </c>
      <c r="L32" s="141">
        <v>1.128009332E9</v>
      </c>
    </row>
    <row r="33">
      <c r="A33" s="138">
        <f t="shared" si="1"/>
        <v>32</v>
      </c>
      <c r="B33" s="138" t="s">
        <v>4193</v>
      </c>
      <c r="C33" s="138" t="s">
        <v>4194</v>
      </c>
      <c r="D33" s="138" t="s">
        <v>5036</v>
      </c>
      <c r="E33" s="138" t="s">
        <v>21</v>
      </c>
      <c r="F33" s="138">
        <v>35000.0</v>
      </c>
      <c r="G33" s="139">
        <v>46026.0</v>
      </c>
      <c r="H33" s="140">
        <v>0.375</v>
      </c>
      <c r="I33" s="140">
        <v>0.75</v>
      </c>
      <c r="J33" s="138" t="s">
        <v>5075</v>
      </c>
      <c r="K33" s="141">
        <v>-7.2477963E7</v>
      </c>
      <c r="L33" s="141">
        <v>1.127998235E9</v>
      </c>
    </row>
    <row r="34">
      <c r="A34" s="138">
        <f t="shared" si="1"/>
        <v>33</v>
      </c>
      <c r="B34" s="138" t="s">
        <v>4199</v>
      </c>
      <c r="C34" s="138" t="s">
        <v>4200</v>
      </c>
      <c r="D34" s="138" t="s">
        <v>5039</v>
      </c>
      <c r="E34" s="138" t="s">
        <v>21</v>
      </c>
      <c r="F34" s="138">
        <v>0.0</v>
      </c>
      <c r="G34" s="139">
        <v>46207.0</v>
      </c>
      <c r="H34" s="140">
        <v>0.3333333333333333</v>
      </c>
      <c r="I34" s="140">
        <v>0.6666666666666666</v>
      </c>
      <c r="J34" s="138" t="s">
        <v>5076</v>
      </c>
      <c r="K34" s="141">
        <v>-7.2592948E7</v>
      </c>
      <c r="L34" s="141">
        <v>1.127470512E9</v>
      </c>
    </row>
    <row r="35">
      <c r="A35" s="138">
        <f t="shared" si="1"/>
        <v>34</v>
      </c>
      <c r="B35" s="138" t="s">
        <v>4205</v>
      </c>
      <c r="C35" s="138" t="s">
        <v>4206</v>
      </c>
      <c r="D35" s="138" t="s">
        <v>5039</v>
      </c>
      <c r="E35" s="138" t="s">
        <v>21</v>
      </c>
      <c r="F35" s="138">
        <v>0.0</v>
      </c>
      <c r="G35" s="139">
        <v>46085.0</v>
      </c>
      <c r="H35" s="140">
        <v>0.3333333333333333</v>
      </c>
      <c r="I35" s="140">
        <v>0.7083333333333334</v>
      </c>
      <c r="J35" s="138" t="s">
        <v>5077</v>
      </c>
      <c r="K35" s="141">
        <v>-7.2472841E7</v>
      </c>
      <c r="L35" s="141">
        <v>1.128010814E9</v>
      </c>
    </row>
    <row r="36">
      <c r="A36" s="138">
        <f t="shared" si="1"/>
        <v>35</v>
      </c>
      <c r="B36" s="138" t="s">
        <v>4211</v>
      </c>
      <c r="C36" s="138" t="s">
        <v>4212</v>
      </c>
      <c r="D36" s="138" t="s">
        <v>5039</v>
      </c>
      <c r="E36" s="138" t="s">
        <v>21</v>
      </c>
      <c r="F36" s="138">
        <v>0.0</v>
      </c>
      <c r="G36" s="139">
        <v>46177.0</v>
      </c>
      <c r="H36" s="140">
        <v>0.0</v>
      </c>
      <c r="I36" s="140">
        <v>0.9993055555555556</v>
      </c>
      <c r="J36" s="138" t="s">
        <v>5078</v>
      </c>
      <c r="K36" s="141">
        <v>-7.2677755E7</v>
      </c>
      <c r="L36" s="141">
        <v>1.127443898E9</v>
      </c>
    </row>
    <row r="37">
      <c r="A37" s="138">
        <f t="shared" si="1"/>
        <v>36</v>
      </c>
      <c r="B37" s="138" t="s">
        <v>4217</v>
      </c>
      <c r="C37" s="138" t="s">
        <v>4218</v>
      </c>
      <c r="D37" s="138" t="s">
        <v>5036</v>
      </c>
      <c r="E37" s="138" t="s">
        <v>21</v>
      </c>
      <c r="F37" s="138">
        <v>125000.0</v>
      </c>
      <c r="G37" s="139">
        <v>46116.0</v>
      </c>
      <c r="H37" s="140">
        <v>0.4166666666666667</v>
      </c>
      <c r="I37" s="140">
        <v>0.75</v>
      </c>
      <c r="J37" s="138" t="s">
        <v>5079</v>
      </c>
      <c r="K37" s="141">
        <v>-7.2516189E7</v>
      </c>
      <c r="L37" s="141">
        <v>1.128009694E9</v>
      </c>
    </row>
    <row r="38">
      <c r="A38" s="138">
        <f t="shared" si="1"/>
        <v>37</v>
      </c>
      <c r="B38" s="138" t="s">
        <v>4223</v>
      </c>
      <c r="C38" s="138" t="s">
        <v>4224</v>
      </c>
      <c r="D38" s="138" t="s">
        <v>5036</v>
      </c>
      <c r="E38" s="138" t="s">
        <v>21</v>
      </c>
      <c r="F38" s="138">
        <v>0.0</v>
      </c>
      <c r="G38" s="139">
        <v>46116.0</v>
      </c>
      <c r="H38" s="140">
        <v>0.0</v>
      </c>
      <c r="I38" s="140">
        <v>0.9993055555555556</v>
      </c>
      <c r="J38" s="138" t="s">
        <v>5080</v>
      </c>
      <c r="K38" s="141">
        <v>-7.2516046E7</v>
      </c>
      <c r="L38" s="141">
        <v>1.127545983E9</v>
      </c>
    </row>
    <row r="39">
      <c r="A39" s="138">
        <f t="shared" si="1"/>
        <v>38</v>
      </c>
      <c r="B39" s="138" t="s">
        <v>2615</v>
      </c>
      <c r="C39" s="138" t="s">
        <v>4229</v>
      </c>
      <c r="D39" s="138" t="s">
        <v>5039</v>
      </c>
      <c r="E39" s="138" t="s">
        <v>21</v>
      </c>
      <c r="F39" s="138">
        <v>2000.0</v>
      </c>
      <c r="G39" s="139">
        <v>46116.0</v>
      </c>
      <c r="H39" s="140">
        <v>0.3333333333333333</v>
      </c>
      <c r="I39" s="140">
        <v>0.6458333333333334</v>
      </c>
      <c r="J39" s="138" t="s">
        <v>5081</v>
      </c>
      <c r="K39" s="141">
        <v>-7.4338593E7</v>
      </c>
      <c r="L39" s="141">
        <v>1.127199058E9</v>
      </c>
    </row>
    <row r="40">
      <c r="A40" s="138">
        <f t="shared" si="1"/>
        <v>39</v>
      </c>
      <c r="B40" s="138" t="s">
        <v>2874</v>
      </c>
      <c r="C40" s="138" t="s">
        <v>4234</v>
      </c>
      <c r="D40" s="138" t="s">
        <v>5036</v>
      </c>
      <c r="E40" s="138" t="s">
        <v>21</v>
      </c>
      <c r="F40" s="138">
        <v>0.0</v>
      </c>
      <c r="G40" s="139">
        <v>46177.0</v>
      </c>
      <c r="H40" s="140">
        <v>0.0</v>
      </c>
      <c r="I40" s="140">
        <v>0.9993055555555556</v>
      </c>
      <c r="J40" s="138" t="s">
        <v>5082</v>
      </c>
      <c r="K40" s="141">
        <v>-7.2913468E7</v>
      </c>
      <c r="L40" s="141">
        <v>1.127398218E9</v>
      </c>
    </row>
    <row r="41">
      <c r="A41" s="138">
        <f t="shared" si="1"/>
        <v>40</v>
      </c>
      <c r="B41" s="138" t="s">
        <v>4239</v>
      </c>
      <c r="C41" s="138" t="s">
        <v>4240</v>
      </c>
      <c r="D41" s="138" t="s">
        <v>5036</v>
      </c>
      <c r="E41" s="138" t="s">
        <v>21</v>
      </c>
      <c r="F41" s="138">
        <v>0.0</v>
      </c>
      <c r="G41" s="139">
        <v>46116.0</v>
      </c>
      <c r="H41" s="140">
        <v>0.0</v>
      </c>
      <c r="I41" s="140">
        <v>0.9993055555555556</v>
      </c>
      <c r="J41" s="138" t="s">
        <v>5083</v>
      </c>
      <c r="K41" s="141">
        <v>-7.2752955E7</v>
      </c>
      <c r="L41" s="141">
        <v>1.127549381E9</v>
      </c>
    </row>
    <row r="42">
      <c r="A42" s="138">
        <f t="shared" si="1"/>
        <v>41</v>
      </c>
      <c r="B42" s="138" t="s">
        <v>2145</v>
      </c>
      <c r="C42" s="138" t="s">
        <v>4245</v>
      </c>
      <c r="D42" s="138" t="s">
        <v>5036</v>
      </c>
      <c r="E42" s="138" t="s">
        <v>21</v>
      </c>
      <c r="F42" s="138">
        <v>0.0</v>
      </c>
      <c r="G42" s="139">
        <v>46177.0</v>
      </c>
      <c r="H42" s="140">
        <v>0.2916666666666667</v>
      </c>
      <c r="I42" s="140">
        <v>0.7083333333333334</v>
      </c>
      <c r="J42" s="138" t="s">
        <v>5084</v>
      </c>
      <c r="K42" s="141">
        <v>-7.2943303E7</v>
      </c>
      <c r="L42" s="141">
        <v>1.127617534E9</v>
      </c>
    </row>
    <row r="43">
      <c r="A43" s="138">
        <f t="shared" si="1"/>
        <v>42</v>
      </c>
      <c r="B43" s="138" t="s">
        <v>5085</v>
      </c>
      <c r="C43" s="138" t="s">
        <v>4248</v>
      </c>
      <c r="D43" s="138" t="s">
        <v>5055</v>
      </c>
      <c r="E43" s="138" t="s">
        <v>21</v>
      </c>
      <c r="F43" s="138">
        <v>10000.0</v>
      </c>
      <c r="G43" s="139">
        <v>46238.0</v>
      </c>
      <c r="H43" s="140">
        <v>0.3333333333333333</v>
      </c>
      <c r="I43" s="140">
        <v>0.7916666666666666</v>
      </c>
      <c r="J43" s="138" t="s">
        <v>5086</v>
      </c>
      <c r="K43" s="141">
        <v>-7.2420758E7</v>
      </c>
      <c r="L43" s="141">
        <v>1.127368158E9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3" max="3" width="71.63"/>
  </cols>
  <sheetData>
    <row r="1">
      <c r="A1" s="136" t="s">
        <v>5032</v>
      </c>
      <c r="B1" s="136" t="s">
        <v>1</v>
      </c>
      <c r="C1" s="142" t="s">
        <v>2</v>
      </c>
      <c r="D1" s="136" t="s">
        <v>3</v>
      </c>
      <c r="E1" s="136" t="s">
        <v>6</v>
      </c>
      <c r="F1" s="136" t="s">
        <v>7</v>
      </c>
      <c r="G1" s="136" t="s">
        <v>8</v>
      </c>
      <c r="H1" s="137" t="s">
        <v>11</v>
      </c>
      <c r="I1" s="137" t="s">
        <v>12</v>
      </c>
      <c r="J1" s="136" t="s">
        <v>13</v>
      </c>
      <c r="K1" s="136" t="s">
        <v>14</v>
      </c>
      <c r="L1" s="136" t="s">
        <v>15</v>
      </c>
    </row>
    <row r="2">
      <c r="A2" s="138">
        <v>1.0</v>
      </c>
      <c r="B2" s="138" t="s">
        <v>3199</v>
      </c>
      <c r="C2" s="143" t="s">
        <v>4026</v>
      </c>
      <c r="D2" s="138" t="s">
        <v>5033</v>
      </c>
      <c r="E2" s="138" t="s">
        <v>21</v>
      </c>
      <c r="F2" s="138">
        <v>0.0</v>
      </c>
      <c r="G2" s="139">
        <v>46085.0</v>
      </c>
      <c r="H2" s="140">
        <v>0.3333333333333333</v>
      </c>
      <c r="I2" s="140">
        <v>0.6666666666666666</v>
      </c>
      <c r="J2" s="138" t="s">
        <v>5034</v>
      </c>
      <c r="K2" s="141">
        <v>-7.3086482E7</v>
      </c>
      <c r="L2" s="141">
        <v>1.128216622E9</v>
      </c>
    </row>
    <row r="3">
      <c r="A3" s="138">
        <v>1.0</v>
      </c>
      <c r="B3" s="138" t="s">
        <v>3199</v>
      </c>
      <c r="C3" s="144" t="s">
        <v>5088</v>
      </c>
      <c r="D3" s="138" t="s">
        <v>5033</v>
      </c>
      <c r="E3" s="138" t="s">
        <v>21</v>
      </c>
      <c r="F3" s="138"/>
      <c r="G3" s="139"/>
      <c r="H3" s="140"/>
      <c r="I3" s="140"/>
      <c r="J3" s="138"/>
      <c r="K3" s="141"/>
      <c r="L3" s="141"/>
    </row>
    <row r="4">
      <c r="A4" s="138">
        <f>A2+1</f>
        <v>2</v>
      </c>
      <c r="B4" s="138" t="s">
        <v>4032</v>
      </c>
      <c r="C4" s="143" t="s">
        <v>4033</v>
      </c>
      <c r="D4" s="138" t="s">
        <v>5033</v>
      </c>
      <c r="E4" s="138" t="s">
        <v>21</v>
      </c>
      <c r="F4" s="138">
        <v>15000.0</v>
      </c>
      <c r="G4" s="139">
        <v>46116.0</v>
      </c>
      <c r="H4" s="140">
        <v>0.25</v>
      </c>
      <c r="I4" s="140">
        <v>0.75</v>
      </c>
      <c r="J4" s="138" t="s">
        <v>5035</v>
      </c>
      <c r="K4" s="141">
        <v>-7.2952211E7</v>
      </c>
      <c r="L4" s="141">
        <v>1.128035603E9</v>
      </c>
    </row>
    <row r="5">
      <c r="A5" s="138">
        <v>2.0</v>
      </c>
      <c r="B5" s="138" t="s">
        <v>4032</v>
      </c>
      <c r="C5" s="144" t="s">
        <v>5089</v>
      </c>
      <c r="D5" s="138" t="s">
        <v>5033</v>
      </c>
      <c r="E5" s="138" t="s">
        <v>21</v>
      </c>
      <c r="F5" s="138"/>
      <c r="G5" s="139"/>
      <c r="H5" s="140"/>
      <c r="I5" s="140"/>
      <c r="J5" s="138"/>
      <c r="K5" s="141"/>
      <c r="L5" s="141"/>
    </row>
    <row r="6">
      <c r="A6" s="138">
        <f>A4+1</f>
        <v>3</v>
      </c>
      <c r="B6" s="138" t="s">
        <v>4039</v>
      </c>
      <c r="C6" s="143" t="s">
        <v>4040</v>
      </c>
      <c r="D6" s="138" t="s">
        <v>5036</v>
      </c>
      <c r="E6" s="138" t="s">
        <v>21</v>
      </c>
      <c r="F6" s="138">
        <v>35000.0</v>
      </c>
      <c r="G6" s="139">
        <v>46116.0</v>
      </c>
      <c r="H6" s="140">
        <v>0.0</v>
      </c>
      <c r="I6" s="140">
        <v>0.9993055555555556</v>
      </c>
      <c r="J6" s="138" t="s">
        <v>5037</v>
      </c>
      <c r="K6" s="141">
        <v>-7.2356933E7</v>
      </c>
      <c r="L6" s="141">
        <v>1.127955234E9</v>
      </c>
    </row>
    <row r="7">
      <c r="A7" s="138">
        <v>3.0</v>
      </c>
      <c r="B7" s="138" t="s">
        <v>4039</v>
      </c>
      <c r="C7" s="6" t="s">
        <v>5090</v>
      </c>
      <c r="D7" s="138"/>
      <c r="E7" s="138"/>
      <c r="F7" s="138"/>
      <c r="G7" s="139"/>
      <c r="H7" s="140"/>
      <c r="I7" s="140"/>
      <c r="J7" s="138"/>
      <c r="K7" s="141"/>
      <c r="L7" s="141"/>
    </row>
    <row r="8">
      <c r="A8" s="138">
        <f>A6+1</f>
        <v>4</v>
      </c>
      <c r="B8" s="138" t="s">
        <v>4044</v>
      </c>
      <c r="C8" s="143" t="s">
        <v>4045</v>
      </c>
      <c r="D8" s="138" t="s">
        <v>5036</v>
      </c>
      <c r="E8" s="138" t="s">
        <v>21</v>
      </c>
      <c r="F8" s="138">
        <v>0.0</v>
      </c>
      <c r="G8" s="139">
        <v>46177.0</v>
      </c>
      <c r="H8" s="140">
        <v>0.2916666666666667</v>
      </c>
      <c r="I8" s="140">
        <v>0.875</v>
      </c>
      <c r="J8" s="138" t="s">
        <v>5038</v>
      </c>
      <c r="K8" s="141">
        <v>-7.2614722E7</v>
      </c>
      <c r="L8" s="141">
        <v>1.127428284E9</v>
      </c>
    </row>
    <row r="9">
      <c r="A9" s="138">
        <v>4.0</v>
      </c>
      <c r="B9" s="138" t="s">
        <v>4044</v>
      </c>
      <c r="C9" s="6" t="s">
        <v>5091</v>
      </c>
      <c r="D9" s="138"/>
      <c r="E9" s="138"/>
      <c r="F9" s="138"/>
      <c r="G9" s="139"/>
      <c r="H9" s="140"/>
      <c r="I9" s="140"/>
      <c r="J9" s="138"/>
      <c r="K9" s="141"/>
      <c r="L9" s="141"/>
    </row>
    <row r="10">
      <c r="A10" s="138">
        <f>A8+1</f>
        <v>5</v>
      </c>
      <c r="B10" s="138" t="s">
        <v>4050</v>
      </c>
      <c r="C10" s="143" t="s">
        <v>4051</v>
      </c>
      <c r="D10" s="138" t="s">
        <v>5039</v>
      </c>
      <c r="E10" s="138" t="s">
        <v>21</v>
      </c>
      <c r="F10" s="138">
        <v>15000.0</v>
      </c>
      <c r="G10" s="139">
        <v>46116.0</v>
      </c>
      <c r="H10" s="140">
        <v>0.3333333333333333</v>
      </c>
      <c r="I10" s="140">
        <v>0.875</v>
      </c>
      <c r="J10" s="138" t="s">
        <v>5040</v>
      </c>
      <c r="K10" s="141">
        <v>-7.2654304E7</v>
      </c>
      <c r="L10" s="141">
        <v>1.127503052E9</v>
      </c>
    </row>
    <row r="11">
      <c r="A11" s="138">
        <v>5.0</v>
      </c>
      <c r="B11" s="138" t="s">
        <v>4050</v>
      </c>
      <c r="C11" s="143" t="s">
        <v>5092</v>
      </c>
      <c r="D11" s="138"/>
      <c r="E11" s="138"/>
      <c r="F11" s="138"/>
      <c r="G11" s="139"/>
      <c r="H11" s="140"/>
      <c r="I11" s="140"/>
      <c r="J11" s="138"/>
      <c r="K11" s="141"/>
      <c r="L11" s="141"/>
    </row>
    <row r="12">
      <c r="A12" s="138">
        <f>A10+1</f>
        <v>6</v>
      </c>
      <c r="B12" s="138" t="s">
        <v>2177</v>
      </c>
      <c r="C12" s="143" t="s">
        <v>4056</v>
      </c>
      <c r="D12" s="138" t="s">
        <v>5036</v>
      </c>
      <c r="E12" s="138" t="s">
        <v>21</v>
      </c>
      <c r="F12" s="138">
        <v>0.0</v>
      </c>
      <c r="G12" s="139">
        <v>46116.0</v>
      </c>
      <c r="H12" s="140">
        <v>0.0</v>
      </c>
      <c r="I12" s="140">
        <v>0.9993055555555556</v>
      </c>
      <c r="J12" s="138" t="s">
        <v>5041</v>
      </c>
      <c r="K12" s="141">
        <v>-7.3182202E7</v>
      </c>
      <c r="L12" s="141">
        <v>1.127842405E9</v>
      </c>
    </row>
    <row r="13">
      <c r="A13" s="138">
        <v>6.0</v>
      </c>
      <c r="B13" s="138" t="s">
        <v>2177</v>
      </c>
      <c r="C13" s="6" t="s">
        <v>5093</v>
      </c>
      <c r="D13" s="138"/>
      <c r="E13" s="138"/>
      <c r="F13" s="138"/>
      <c r="G13" s="139"/>
      <c r="H13" s="140"/>
      <c r="I13" s="140"/>
      <c r="J13" s="138"/>
      <c r="K13" s="141"/>
      <c r="L13" s="141"/>
    </row>
    <row r="14">
      <c r="A14" s="138">
        <f>A12+1</f>
        <v>7</v>
      </c>
      <c r="B14" s="138" t="s">
        <v>4058</v>
      </c>
      <c r="C14" s="143" t="s">
        <v>4059</v>
      </c>
      <c r="D14" s="138" t="s">
        <v>5036</v>
      </c>
      <c r="E14" s="138" t="s">
        <v>21</v>
      </c>
      <c r="F14" s="138">
        <v>0.0</v>
      </c>
      <c r="G14" s="139">
        <v>46026.0</v>
      </c>
      <c r="H14" s="140">
        <v>0.0</v>
      </c>
      <c r="I14" s="140">
        <v>0.9993055555555556</v>
      </c>
      <c r="J14" s="138" t="s">
        <v>5042</v>
      </c>
      <c r="K14" s="141">
        <v>-7.2662139E7</v>
      </c>
      <c r="L14" s="141">
        <v>1.12795281E8</v>
      </c>
    </row>
    <row r="15">
      <c r="A15" s="138">
        <v>7.0</v>
      </c>
      <c r="B15" s="138" t="s">
        <v>4058</v>
      </c>
      <c r="C15" s="6" t="s">
        <v>5094</v>
      </c>
      <c r="D15" s="138"/>
      <c r="E15" s="138"/>
      <c r="F15" s="138"/>
      <c r="G15" s="139"/>
      <c r="H15" s="140"/>
      <c r="I15" s="140"/>
      <c r="J15" s="138"/>
      <c r="K15" s="141"/>
      <c r="L15" s="141"/>
    </row>
    <row r="16">
      <c r="A16" s="138">
        <f>A14+1</f>
        <v>8</v>
      </c>
      <c r="B16" s="138" t="s">
        <v>3391</v>
      </c>
      <c r="C16" s="143" t="s">
        <v>4065</v>
      </c>
      <c r="D16" s="138" t="s">
        <v>5036</v>
      </c>
      <c r="E16" s="138" t="s">
        <v>21</v>
      </c>
      <c r="F16" s="138">
        <v>0.0</v>
      </c>
      <c r="G16" s="139">
        <v>46146.0</v>
      </c>
      <c r="H16" s="140">
        <v>0.0</v>
      </c>
      <c r="I16" s="140">
        <v>0.9993055555555556</v>
      </c>
      <c r="J16" s="138" t="s">
        <v>5043</v>
      </c>
      <c r="K16" s="141">
        <v>-7.3275604E7</v>
      </c>
      <c r="L16" s="141">
        <v>1.127312242E9</v>
      </c>
    </row>
    <row r="17">
      <c r="A17" s="138">
        <v>8.0</v>
      </c>
      <c r="B17" s="138" t="s">
        <v>3391</v>
      </c>
      <c r="C17" s="143" t="s">
        <v>5095</v>
      </c>
      <c r="D17" s="138"/>
      <c r="E17" s="138"/>
      <c r="F17" s="138"/>
      <c r="G17" s="139"/>
      <c r="H17" s="140"/>
      <c r="I17" s="140"/>
      <c r="J17" s="138"/>
      <c r="K17" s="141"/>
      <c r="L17" s="141"/>
    </row>
    <row r="18">
      <c r="A18" s="138">
        <f>A16+1</f>
        <v>9</v>
      </c>
      <c r="B18" s="138" t="s">
        <v>4070</v>
      </c>
      <c r="C18" s="143" t="s">
        <v>4071</v>
      </c>
      <c r="D18" s="138" t="s">
        <v>5033</v>
      </c>
      <c r="E18" s="138" t="s">
        <v>21</v>
      </c>
      <c r="F18" s="138">
        <v>0.0</v>
      </c>
      <c r="G18" s="139">
        <v>46085.0</v>
      </c>
      <c r="H18" s="140">
        <v>0.0</v>
      </c>
      <c r="I18" s="140">
        <v>0.9993055555555556</v>
      </c>
      <c r="J18" s="138" t="s">
        <v>5044</v>
      </c>
      <c r="K18" s="141">
        <v>-7.2941909E7</v>
      </c>
      <c r="L18" s="141">
        <v>1.128017238E9</v>
      </c>
    </row>
    <row r="19">
      <c r="A19" s="138">
        <v>9.0</v>
      </c>
      <c r="B19" s="138" t="s">
        <v>4070</v>
      </c>
      <c r="C19" s="143" t="s">
        <v>5096</v>
      </c>
      <c r="D19" s="138"/>
      <c r="E19" s="138"/>
      <c r="F19" s="138"/>
      <c r="G19" s="139"/>
      <c r="H19" s="140"/>
      <c r="I19" s="140"/>
      <c r="J19" s="138"/>
      <c r="K19" s="141"/>
      <c r="L19" s="141"/>
    </row>
    <row r="20">
      <c r="A20" s="138">
        <f>A18+1</f>
        <v>10</v>
      </c>
      <c r="B20" s="138" t="s">
        <v>2829</v>
      </c>
      <c r="C20" s="143" t="s">
        <v>4077</v>
      </c>
      <c r="D20" s="138" t="s">
        <v>5036</v>
      </c>
      <c r="E20" s="138" t="s">
        <v>21</v>
      </c>
      <c r="F20" s="138">
        <v>0.0</v>
      </c>
      <c r="G20" s="139">
        <v>46085.0</v>
      </c>
      <c r="H20" s="140">
        <v>0.0</v>
      </c>
      <c r="I20" s="140">
        <v>0.9993055555555556</v>
      </c>
      <c r="J20" s="138" t="s">
        <v>5045</v>
      </c>
      <c r="K20" s="141">
        <v>-7.2732153E7</v>
      </c>
      <c r="L20" s="141">
        <v>1.12744102E8</v>
      </c>
    </row>
    <row r="21">
      <c r="A21" s="138">
        <v>10.0</v>
      </c>
      <c r="B21" s="138" t="s">
        <v>2829</v>
      </c>
      <c r="C21" s="6" t="s">
        <v>5097</v>
      </c>
      <c r="D21" s="138"/>
      <c r="E21" s="138"/>
      <c r="F21" s="138"/>
      <c r="G21" s="139"/>
      <c r="H21" s="140"/>
      <c r="I21" s="140"/>
      <c r="J21" s="138"/>
      <c r="K21" s="141"/>
      <c r="L21" s="141"/>
    </row>
    <row r="22">
      <c r="A22" s="138">
        <f>A20+1</f>
        <v>11</v>
      </c>
      <c r="B22" s="138" t="s">
        <v>4082</v>
      </c>
      <c r="C22" s="143" t="s">
        <v>5046</v>
      </c>
      <c r="D22" s="138" t="s">
        <v>129</v>
      </c>
      <c r="E22" s="138" t="s">
        <v>21</v>
      </c>
      <c r="F22" s="138">
        <v>0.0</v>
      </c>
      <c r="G22" s="139">
        <v>46146.0</v>
      </c>
      <c r="H22" s="140">
        <v>0.4583333333333333</v>
      </c>
      <c r="I22" s="140">
        <v>0.9166666666666666</v>
      </c>
      <c r="J22" s="138" t="s">
        <v>5047</v>
      </c>
      <c r="K22" s="141">
        <v>-7251022.0</v>
      </c>
      <c r="L22" s="141">
        <v>1.126620053E9</v>
      </c>
    </row>
    <row r="23">
      <c r="A23" s="138">
        <v>11.0</v>
      </c>
      <c r="B23" s="138" t="s">
        <v>4082</v>
      </c>
      <c r="C23" s="6" t="s">
        <v>5098</v>
      </c>
      <c r="D23" s="138"/>
      <c r="E23" s="138"/>
      <c r="F23" s="138"/>
      <c r="G23" s="139"/>
      <c r="H23" s="140"/>
      <c r="I23" s="140"/>
      <c r="J23" s="138"/>
      <c r="K23" s="141"/>
      <c r="L23" s="141"/>
    </row>
    <row r="24">
      <c r="A24" s="138">
        <f>A22+1</f>
        <v>12</v>
      </c>
      <c r="B24" s="138" t="s">
        <v>616</v>
      </c>
      <c r="C24" s="143" t="s">
        <v>4088</v>
      </c>
      <c r="D24" s="138" t="s">
        <v>5036</v>
      </c>
      <c r="E24" s="138" t="s">
        <v>21</v>
      </c>
      <c r="F24" s="138">
        <v>0.0</v>
      </c>
      <c r="G24" s="139">
        <v>46057.0</v>
      </c>
      <c r="H24" s="140">
        <v>0.125</v>
      </c>
      <c r="I24" s="140">
        <v>0.9583333333333334</v>
      </c>
      <c r="J24" s="138" t="s">
        <v>5048</v>
      </c>
      <c r="K24" s="141">
        <v>-7.2220559E7</v>
      </c>
      <c r="L24" s="141">
        <v>1.127319967E9</v>
      </c>
    </row>
    <row r="25">
      <c r="A25" s="138">
        <v>12.0</v>
      </c>
      <c r="B25" s="138" t="s">
        <v>616</v>
      </c>
      <c r="C25" s="6" t="s">
        <v>5099</v>
      </c>
      <c r="D25" s="138"/>
      <c r="E25" s="138"/>
      <c r="F25" s="138"/>
      <c r="G25" s="139"/>
      <c r="H25" s="140"/>
      <c r="I25" s="140"/>
      <c r="J25" s="138"/>
      <c r="K25" s="141"/>
      <c r="L25" s="141"/>
    </row>
    <row r="26">
      <c r="A26" s="138">
        <f>A24+1</f>
        <v>13</v>
      </c>
      <c r="B26" s="138" t="s">
        <v>3568</v>
      </c>
      <c r="C26" s="143" t="s">
        <v>4093</v>
      </c>
      <c r="D26" s="138" t="s">
        <v>5036</v>
      </c>
      <c r="E26" s="138" t="s">
        <v>21</v>
      </c>
      <c r="F26" s="138">
        <v>35000.0</v>
      </c>
      <c r="G26" s="139">
        <v>46057.0</v>
      </c>
      <c r="H26" s="140">
        <v>0.375</v>
      </c>
      <c r="I26" s="140">
        <v>0.7083333333333334</v>
      </c>
      <c r="J26" s="138" t="s">
        <v>5049</v>
      </c>
      <c r="K26" s="141">
        <v>-7.2522964E7</v>
      </c>
      <c r="L26" s="141">
        <v>1.127966952E9</v>
      </c>
    </row>
    <row r="27">
      <c r="A27" s="138">
        <f>13</f>
        <v>13</v>
      </c>
      <c r="B27" s="138" t="s">
        <v>3568</v>
      </c>
      <c r="C27" s="6" t="s">
        <v>5100</v>
      </c>
      <c r="D27" s="138"/>
      <c r="E27" s="138"/>
      <c r="F27" s="138"/>
      <c r="G27" s="139"/>
      <c r="H27" s="140"/>
      <c r="I27" s="140"/>
      <c r="J27" s="138"/>
      <c r="K27" s="141"/>
      <c r="L27" s="141"/>
    </row>
    <row r="28">
      <c r="A28" s="138">
        <f>A26+1</f>
        <v>14</v>
      </c>
      <c r="B28" s="138" t="s">
        <v>523</v>
      </c>
      <c r="C28" s="143" t="s">
        <v>4099</v>
      </c>
      <c r="D28" s="138" t="s">
        <v>5036</v>
      </c>
      <c r="E28" s="138" t="s">
        <v>21</v>
      </c>
      <c r="F28" s="138">
        <v>50000.0</v>
      </c>
      <c r="G28" s="139">
        <v>46116.0</v>
      </c>
      <c r="H28" s="140">
        <v>0.5</v>
      </c>
      <c r="I28" s="140">
        <v>0.7916666666666666</v>
      </c>
      <c r="J28" s="138" t="s">
        <v>5050</v>
      </c>
      <c r="K28" s="141">
        <v>-7.1968193E7</v>
      </c>
      <c r="L28" s="141">
        <v>1.127324578E9</v>
      </c>
    </row>
    <row r="29">
      <c r="A29" s="138">
        <f>14</f>
        <v>14</v>
      </c>
      <c r="B29" s="138" t="s">
        <v>523</v>
      </c>
      <c r="C29" s="6" t="s">
        <v>5101</v>
      </c>
      <c r="D29" s="138"/>
      <c r="E29" s="138"/>
      <c r="F29" s="138"/>
      <c r="G29" s="139"/>
      <c r="H29" s="140"/>
      <c r="I29" s="140"/>
      <c r="J29" s="138"/>
      <c r="K29" s="141"/>
      <c r="L29" s="141"/>
    </row>
    <row r="30">
      <c r="A30" s="138">
        <f>A28+1</f>
        <v>15</v>
      </c>
      <c r="B30" s="138" t="s">
        <v>2852</v>
      </c>
      <c r="C30" s="143" t="s">
        <v>4104</v>
      </c>
      <c r="D30" s="138" t="s">
        <v>5033</v>
      </c>
      <c r="E30" s="138" t="s">
        <v>21</v>
      </c>
      <c r="F30" s="138">
        <v>0.0</v>
      </c>
      <c r="G30" s="139">
        <v>46116.0</v>
      </c>
      <c r="H30" s="140">
        <v>0.2916666666666667</v>
      </c>
      <c r="I30" s="140">
        <v>0.7083333333333334</v>
      </c>
      <c r="J30" s="138" t="s">
        <v>5051</v>
      </c>
      <c r="K30" s="141">
        <v>-7.3123655E7</v>
      </c>
      <c r="L30" s="141">
        <v>1.127889021E9</v>
      </c>
    </row>
    <row r="31">
      <c r="A31" s="138">
        <v>15.0</v>
      </c>
      <c r="B31" s="138" t="s">
        <v>2852</v>
      </c>
      <c r="C31" s="6" t="s">
        <v>5102</v>
      </c>
      <c r="D31" s="138"/>
      <c r="E31" s="138"/>
      <c r="F31" s="138"/>
      <c r="G31" s="139"/>
      <c r="H31" s="140"/>
      <c r="I31" s="140"/>
      <c r="J31" s="138"/>
      <c r="K31" s="141"/>
      <c r="L31" s="141"/>
    </row>
    <row r="32">
      <c r="A32" s="138">
        <f>A30+1</f>
        <v>16</v>
      </c>
      <c r="B32" s="138" t="s">
        <v>2443</v>
      </c>
      <c r="C32" s="143" t="s">
        <v>4109</v>
      </c>
      <c r="D32" s="138" t="s">
        <v>5036</v>
      </c>
      <c r="E32" s="138" t="s">
        <v>21</v>
      </c>
      <c r="F32" s="138">
        <v>0.0</v>
      </c>
      <c r="G32" s="139">
        <v>46146.0</v>
      </c>
      <c r="H32" s="140">
        <v>0.3125</v>
      </c>
      <c r="I32" s="140">
        <v>0.6666666666666666</v>
      </c>
      <c r="J32" s="138" t="s">
        <v>5052</v>
      </c>
      <c r="K32" s="141">
        <v>-7.2573072E7</v>
      </c>
      <c r="L32" s="141">
        <v>1.127437199E9</v>
      </c>
    </row>
    <row r="33">
      <c r="A33" s="138">
        <v>16.0</v>
      </c>
      <c r="B33" s="138" t="s">
        <v>2443</v>
      </c>
      <c r="C33" s="6" t="s">
        <v>5103</v>
      </c>
      <c r="D33" s="138"/>
      <c r="E33" s="138"/>
      <c r="F33" s="138"/>
      <c r="G33" s="139"/>
      <c r="H33" s="140"/>
      <c r="I33" s="140"/>
      <c r="J33" s="138"/>
      <c r="K33" s="141"/>
      <c r="L33" s="141"/>
    </row>
    <row r="34">
      <c r="A34" s="138">
        <f>A32+1</f>
        <v>17</v>
      </c>
      <c r="B34" s="138" t="s">
        <v>4114</v>
      </c>
      <c r="C34" s="143" t="s">
        <v>4115</v>
      </c>
      <c r="D34" s="138" t="s">
        <v>5033</v>
      </c>
      <c r="E34" s="138" t="s">
        <v>21</v>
      </c>
      <c r="F34" s="138">
        <v>15000.0</v>
      </c>
      <c r="G34" s="139">
        <v>46085.0</v>
      </c>
      <c r="H34" s="140">
        <v>0.3333333333333333</v>
      </c>
      <c r="I34" s="140">
        <v>0.6666666666666666</v>
      </c>
      <c r="J34" s="138" t="s">
        <v>5053</v>
      </c>
      <c r="K34" s="141">
        <v>-7.2959546E7</v>
      </c>
      <c r="L34" s="141">
        <v>1.127366094E9</v>
      </c>
    </row>
    <row r="35">
      <c r="A35" s="138">
        <v>17.0</v>
      </c>
      <c r="B35" s="138" t="s">
        <v>4114</v>
      </c>
      <c r="C35" s="6" t="s">
        <v>5104</v>
      </c>
      <c r="D35" s="138"/>
      <c r="E35" s="138"/>
      <c r="F35" s="138"/>
      <c r="G35" s="139"/>
      <c r="H35" s="140"/>
      <c r="I35" s="140"/>
      <c r="J35" s="138"/>
      <c r="K35" s="141"/>
      <c r="L35" s="141"/>
    </row>
    <row r="36">
      <c r="A36" s="138">
        <f>A34+1</f>
        <v>18</v>
      </c>
      <c r="B36" s="138" t="s">
        <v>4120</v>
      </c>
      <c r="C36" s="143" t="s">
        <v>4121</v>
      </c>
      <c r="D36" s="138" t="s">
        <v>5039</v>
      </c>
      <c r="E36" s="138" t="s">
        <v>21</v>
      </c>
      <c r="F36" s="138">
        <v>0.0</v>
      </c>
      <c r="G36" s="139">
        <v>46146.0</v>
      </c>
      <c r="H36" s="140">
        <v>0.375</v>
      </c>
      <c r="I36" s="140">
        <v>0.7083333333333334</v>
      </c>
      <c r="J36" s="138" t="s">
        <v>5054</v>
      </c>
      <c r="K36" s="141">
        <v>-7278736.0</v>
      </c>
      <c r="L36" s="141">
        <v>1.12718453E8</v>
      </c>
    </row>
    <row r="37">
      <c r="A37" s="138">
        <v>18.0</v>
      </c>
      <c r="B37" s="138" t="s">
        <v>4120</v>
      </c>
      <c r="C37" s="6" t="s">
        <v>5105</v>
      </c>
      <c r="D37" s="138"/>
      <c r="E37" s="138"/>
      <c r="F37" s="138"/>
      <c r="G37" s="139"/>
      <c r="H37" s="140"/>
      <c r="I37" s="140"/>
      <c r="J37" s="138"/>
      <c r="K37" s="141"/>
      <c r="L37" s="141"/>
    </row>
    <row r="38">
      <c r="A38" s="138">
        <f>A36+1</f>
        <v>19</v>
      </c>
      <c r="B38" s="138" t="s">
        <v>2255</v>
      </c>
      <c r="C38" s="143" t="s">
        <v>4126</v>
      </c>
      <c r="D38" s="138" t="s">
        <v>5055</v>
      </c>
      <c r="E38" s="138" t="s">
        <v>21</v>
      </c>
      <c r="F38" s="138">
        <v>0.0</v>
      </c>
      <c r="G38" s="139">
        <v>46207.0</v>
      </c>
      <c r="H38" s="140">
        <v>0.16666666666666666</v>
      </c>
      <c r="I38" s="140">
        <v>0.9166666666666666</v>
      </c>
      <c r="J38" s="138" t="s">
        <v>5056</v>
      </c>
      <c r="K38" s="141">
        <v>-7.2522754E7</v>
      </c>
      <c r="L38" s="141">
        <v>1.127468796E9</v>
      </c>
    </row>
    <row r="39">
      <c r="A39" s="138">
        <v>19.0</v>
      </c>
      <c r="B39" s="138" t="s">
        <v>2255</v>
      </c>
      <c r="C39" s="6" t="s">
        <v>5106</v>
      </c>
      <c r="D39" s="138"/>
      <c r="E39" s="138"/>
      <c r="F39" s="138"/>
      <c r="G39" s="139"/>
      <c r="H39" s="140"/>
      <c r="I39" s="140"/>
      <c r="J39" s="138"/>
      <c r="K39" s="141"/>
      <c r="L39" s="141"/>
    </row>
    <row r="40">
      <c r="A40" s="138">
        <f>A38+1</f>
        <v>20</v>
      </c>
      <c r="B40" s="138" t="s">
        <v>4129</v>
      </c>
      <c r="C40" s="143" t="s">
        <v>4130</v>
      </c>
      <c r="D40" s="138" t="s">
        <v>5055</v>
      </c>
      <c r="E40" s="138" t="s">
        <v>21</v>
      </c>
      <c r="F40" s="138">
        <v>0.0</v>
      </c>
      <c r="G40" s="139">
        <v>46269.0</v>
      </c>
      <c r="H40" s="140">
        <v>0.0</v>
      </c>
      <c r="I40" s="140">
        <v>0.9993055555555556</v>
      </c>
      <c r="J40" s="138" t="s">
        <v>5057</v>
      </c>
      <c r="K40" s="141">
        <v>-7.3366141E7</v>
      </c>
      <c r="L40" s="141">
        <v>1.127151806E9</v>
      </c>
    </row>
    <row r="41">
      <c r="A41" s="138">
        <v>20.0</v>
      </c>
      <c r="B41" s="138" t="s">
        <v>4129</v>
      </c>
      <c r="C41" s="6" t="s">
        <v>5107</v>
      </c>
      <c r="D41" s="138"/>
      <c r="E41" s="138"/>
      <c r="F41" s="138"/>
      <c r="G41" s="139"/>
      <c r="H41" s="140"/>
      <c r="I41" s="140"/>
      <c r="J41" s="138"/>
      <c r="K41" s="141"/>
      <c r="L41" s="141"/>
    </row>
    <row r="42">
      <c r="A42" s="138">
        <f>A40+1</f>
        <v>21</v>
      </c>
      <c r="B42" s="138" t="s">
        <v>2349</v>
      </c>
      <c r="C42" s="143" t="s">
        <v>4136</v>
      </c>
      <c r="D42" s="138" t="s">
        <v>5039</v>
      </c>
      <c r="E42" s="138" t="s">
        <v>21</v>
      </c>
      <c r="F42" s="138">
        <v>2000.0</v>
      </c>
      <c r="G42" s="139">
        <v>46146.0</v>
      </c>
      <c r="H42" s="140">
        <v>0.3333333333333333</v>
      </c>
      <c r="I42" s="140">
        <v>0.5833333333333334</v>
      </c>
      <c r="J42" s="138" t="s">
        <v>5058</v>
      </c>
      <c r="K42" s="141">
        <v>-7227185.0</v>
      </c>
      <c r="L42" s="141">
        <v>1.12718997E8</v>
      </c>
    </row>
    <row r="43">
      <c r="A43" s="138">
        <v>21.0</v>
      </c>
      <c r="B43" s="138" t="s">
        <v>2349</v>
      </c>
      <c r="C43" s="6" t="s">
        <v>5108</v>
      </c>
      <c r="D43" s="138"/>
      <c r="E43" s="138"/>
      <c r="F43" s="138"/>
      <c r="G43" s="139"/>
      <c r="H43" s="140"/>
      <c r="I43" s="140"/>
      <c r="J43" s="138"/>
      <c r="K43" s="141"/>
      <c r="L43" s="141"/>
    </row>
    <row r="44">
      <c r="A44" s="138">
        <f t="shared" ref="A44:A85" si="1">A42+1</f>
        <v>22</v>
      </c>
      <c r="B44" s="138" t="s">
        <v>4141</v>
      </c>
      <c r="C44" s="138" t="s">
        <v>4142</v>
      </c>
      <c r="D44" s="138" t="s">
        <v>5039</v>
      </c>
      <c r="E44" s="138" t="s">
        <v>21</v>
      </c>
      <c r="F44" s="138">
        <v>0.0</v>
      </c>
      <c r="G44" s="139">
        <v>46146.0</v>
      </c>
      <c r="H44" s="140">
        <v>0.0</v>
      </c>
      <c r="I44" s="140">
        <v>0.9993055555555556</v>
      </c>
      <c r="J44" s="138" t="s">
        <v>5059</v>
      </c>
      <c r="K44" s="141">
        <v>-7.2367447E7</v>
      </c>
      <c r="L44" s="141">
        <v>1.127383009E9</v>
      </c>
    </row>
    <row r="45">
      <c r="A45" s="138">
        <f t="shared" si="1"/>
        <v>22</v>
      </c>
      <c r="B45" s="138" t="s">
        <v>4141</v>
      </c>
      <c r="C45" s="6" t="s">
        <v>5109</v>
      </c>
      <c r="D45" s="138" t="s">
        <v>5039</v>
      </c>
      <c r="E45" s="138" t="s">
        <v>21</v>
      </c>
      <c r="F45" s="138">
        <v>0.0</v>
      </c>
      <c r="G45" s="139">
        <v>46147.0</v>
      </c>
      <c r="H45" s="140">
        <v>0.041666666666666664</v>
      </c>
      <c r="I45" s="140">
        <v>1.0409722222222222</v>
      </c>
      <c r="J45" s="138" t="s">
        <v>5059</v>
      </c>
      <c r="K45" s="141">
        <v>-7.2367447E7</v>
      </c>
      <c r="L45" s="141">
        <v>1.127383009E9</v>
      </c>
    </row>
    <row r="46">
      <c r="A46" s="138">
        <f t="shared" si="1"/>
        <v>23</v>
      </c>
      <c r="B46" s="138" t="s">
        <v>2992</v>
      </c>
      <c r="C46" s="138" t="s">
        <v>4147</v>
      </c>
      <c r="D46" s="138" t="s">
        <v>5039</v>
      </c>
      <c r="E46" s="138" t="s">
        <v>21</v>
      </c>
      <c r="F46" s="138">
        <v>5000.0</v>
      </c>
      <c r="G46" s="139">
        <v>46177.0</v>
      </c>
      <c r="H46" s="140">
        <v>0.3333333333333333</v>
      </c>
      <c r="I46" s="140">
        <v>0.6666666666666666</v>
      </c>
      <c r="J46" s="138" t="s">
        <v>5060</v>
      </c>
      <c r="K46" s="141">
        <v>-7.2353939E7</v>
      </c>
      <c r="L46" s="141">
        <v>1.127367646E9</v>
      </c>
    </row>
    <row r="47">
      <c r="A47" s="138">
        <f t="shared" si="1"/>
        <v>23</v>
      </c>
      <c r="B47" s="138" t="s">
        <v>2992</v>
      </c>
      <c r="C47" s="6" t="s">
        <v>5110</v>
      </c>
      <c r="D47" s="138" t="s">
        <v>5039</v>
      </c>
      <c r="E47" s="138" t="s">
        <v>21</v>
      </c>
      <c r="F47" s="138">
        <v>5000.0</v>
      </c>
      <c r="G47" s="139">
        <v>46178.0</v>
      </c>
      <c r="H47" s="140">
        <v>0.375</v>
      </c>
      <c r="I47" s="140">
        <v>0.7083333333333334</v>
      </c>
      <c r="J47" s="138" t="s">
        <v>5060</v>
      </c>
      <c r="K47" s="141">
        <v>-7.2353939E7</v>
      </c>
      <c r="L47" s="141">
        <v>1.127367646E9</v>
      </c>
    </row>
    <row r="48">
      <c r="A48" s="138">
        <f t="shared" si="1"/>
        <v>24</v>
      </c>
      <c r="B48" s="138" t="s">
        <v>5061</v>
      </c>
      <c r="C48" s="138" t="s">
        <v>5062</v>
      </c>
      <c r="D48" s="138" t="s">
        <v>5039</v>
      </c>
      <c r="E48" s="138" t="s">
        <v>21</v>
      </c>
      <c r="F48" s="138">
        <v>0.0</v>
      </c>
      <c r="G48" s="139">
        <v>46116.0</v>
      </c>
      <c r="H48" s="140">
        <v>0.041666666666666664</v>
      </c>
      <c r="I48" s="140">
        <v>0.125</v>
      </c>
      <c r="J48" s="138" t="s">
        <v>5063</v>
      </c>
      <c r="K48" s="141">
        <v>-7.2567553E7</v>
      </c>
      <c r="L48" s="141">
        <v>1.127942203E9</v>
      </c>
    </row>
    <row r="49">
      <c r="A49" s="138">
        <f t="shared" si="1"/>
        <v>24</v>
      </c>
      <c r="B49" s="138" t="s">
        <v>5061</v>
      </c>
      <c r="C49" s="6" t="s">
        <v>5111</v>
      </c>
      <c r="D49" s="138" t="s">
        <v>5039</v>
      </c>
      <c r="E49" s="138" t="s">
        <v>21</v>
      </c>
      <c r="F49" s="138">
        <v>0.0</v>
      </c>
      <c r="G49" s="139">
        <v>46117.0</v>
      </c>
      <c r="H49" s="140">
        <v>0.08333333333333333</v>
      </c>
      <c r="I49" s="140">
        <v>0.16666666666666666</v>
      </c>
      <c r="J49" s="138" t="s">
        <v>5063</v>
      </c>
      <c r="K49" s="141">
        <v>-7.2567553E7</v>
      </c>
      <c r="L49" s="141">
        <v>1.127942203E9</v>
      </c>
    </row>
    <row r="50">
      <c r="A50" s="138">
        <f t="shared" si="1"/>
        <v>25</v>
      </c>
      <c r="B50" s="138" t="s">
        <v>4151</v>
      </c>
      <c r="C50" s="138" t="s">
        <v>4152</v>
      </c>
      <c r="D50" s="138" t="s">
        <v>5039</v>
      </c>
      <c r="E50" s="138" t="s">
        <v>21</v>
      </c>
      <c r="F50" s="138">
        <v>10000.0</v>
      </c>
      <c r="G50" s="139">
        <v>46146.0</v>
      </c>
      <c r="H50" s="140">
        <v>0.2916666666666667</v>
      </c>
      <c r="I50" s="140">
        <v>0.8333333333333334</v>
      </c>
      <c r="J50" s="138" t="s">
        <v>5064</v>
      </c>
      <c r="K50" s="141">
        <v>-7246944.0</v>
      </c>
      <c r="L50" s="141">
        <v>1.12802222E8</v>
      </c>
    </row>
    <row r="51">
      <c r="A51" s="138">
        <f t="shared" si="1"/>
        <v>25</v>
      </c>
      <c r="B51" s="138" t="s">
        <v>4151</v>
      </c>
      <c r="C51" s="6" t="s">
        <v>5112</v>
      </c>
      <c r="D51" s="138" t="s">
        <v>5039</v>
      </c>
      <c r="E51" s="138" t="s">
        <v>21</v>
      </c>
      <c r="F51" s="138">
        <v>10000.0</v>
      </c>
      <c r="G51" s="139">
        <v>46147.0</v>
      </c>
      <c r="H51" s="140">
        <v>0.3333333333333333</v>
      </c>
      <c r="I51" s="140">
        <v>0.875</v>
      </c>
      <c r="J51" s="138" t="s">
        <v>5064</v>
      </c>
      <c r="K51" s="141">
        <v>-7246944.0</v>
      </c>
      <c r="L51" s="141">
        <v>1.12802222E8</v>
      </c>
    </row>
    <row r="52">
      <c r="A52" s="138">
        <f t="shared" si="1"/>
        <v>26</v>
      </c>
      <c r="B52" s="138" t="s">
        <v>5065</v>
      </c>
      <c r="C52" s="138" t="s">
        <v>4158</v>
      </c>
      <c r="D52" s="138" t="s">
        <v>5039</v>
      </c>
      <c r="E52" s="138" t="s">
        <v>21</v>
      </c>
      <c r="F52" s="138">
        <v>5000.0</v>
      </c>
      <c r="G52" s="139">
        <v>46207.0</v>
      </c>
      <c r="H52" s="140">
        <v>0.3333333333333333</v>
      </c>
      <c r="I52" s="140">
        <v>0.625</v>
      </c>
      <c r="J52" s="138" t="s">
        <v>5066</v>
      </c>
      <c r="K52" s="141">
        <v>-7.2454369E7</v>
      </c>
      <c r="L52" s="141">
        <v>1.127378985E9</v>
      </c>
    </row>
    <row r="53">
      <c r="A53" s="138">
        <f t="shared" si="1"/>
        <v>26</v>
      </c>
      <c r="B53" s="138" t="s">
        <v>5065</v>
      </c>
      <c r="C53" s="6" t="s">
        <v>5113</v>
      </c>
      <c r="D53" s="138" t="s">
        <v>5039</v>
      </c>
      <c r="E53" s="138" t="s">
        <v>21</v>
      </c>
      <c r="F53" s="138">
        <v>5000.0</v>
      </c>
      <c r="G53" s="139">
        <v>46208.0</v>
      </c>
      <c r="H53" s="140">
        <v>0.375</v>
      </c>
      <c r="I53" s="140">
        <v>0.6666666666666666</v>
      </c>
      <c r="J53" s="138" t="s">
        <v>5066</v>
      </c>
      <c r="K53" s="141">
        <v>-7.2454369E7</v>
      </c>
      <c r="L53" s="141">
        <v>1.127378985E9</v>
      </c>
    </row>
    <row r="54">
      <c r="A54" s="138">
        <f t="shared" si="1"/>
        <v>27</v>
      </c>
      <c r="B54" s="138" t="s">
        <v>5067</v>
      </c>
      <c r="C54" s="138" t="s">
        <v>5068</v>
      </c>
      <c r="D54" s="138" t="s">
        <v>5039</v>
      </c>
      <c r="E54" s="138" t="s">
        <v>21</v>
      </c>
      <c r="F54" s="138">
        <v>0.0</v>
      </c>
      <c r="G54" s="139">
        <v>46207.0</v>
      </c>
      <c r="H54" s="140">
        <v>0.3333333333333333</v>
      </c>
      <c r="I54" s="140">
        <v>0.625</v>
      </c>
      <c r="J54" s="138" t="s">
        <v>5069</v>
      </c>
      <c r="K54" s="141">
        <v>-7246926.0</v>
      </c>
      <c r="L54" s="141">
        <v>1.1273781E7</v>
      </c>
    </row>
    <row r="55">
      <c r="A55" s="138">
        <f t="shared" si="1"/>
        <v>27</v>
      </c>
      <c r="B55" s="138" t="s">
        <v>5067</v>
      </c>
      <c r="C55" s="6" t="s">
        <v>5114</v>
      </c>
      <c r="D55" s="138" t="s">
        <v>5039</v>
      </c>
      <c r="E55" s="138" t="s">
        <v>21</v>
      </c>
      <c r="F55" s="138">
        <v>0.0</v>
      </c>
      <c r="G55" s="139">
        <v>46208.0</v>
      </c>
      <c r="H55" s="140">
        <v>0.375</v>
      </c>
      <c r="I55" s="140">
        <v>0.6666666666666666</v>
      </c>
      <c r="J55" s="138" t="s">
        <v>5069</v>
      </c>
      <c r="K55" s="141">
        <v>-7246926.0</v>
      </c>
      <c r="L55" s="141">
        <v>1.1273781E7</v>
      </c>
    </row>
    <row r="56">
      <c r="A56" s="138">
        <f t="shared" si="1"/>
        <v>28</v>
      </c>
      <c r="B56" s="138" t="s">
        <v>3515</v>
      </c>
      <c r="C56" s="138" t="s">
        <v>4170</v>
      </c>
      <c r="D56" s="138" t="s">
        <v>5039</v>
      </c>
      <c r="E56" s="138" t="s">
        <v>21</v>
      </c>
      <c r="F56" s="138">
        <v>0.0</v>
      </c>
      <c r="G56" s="139">
        <v>46146.0</v>
      </c>
      <c r="H56" s="140">
        <v>0.3333333333333333</v>
      </c>
      <c r="I56" s="140">
        <v>0.625</v>
      </c>
      <c r="J56" s="138" t="s">
        <v>5070</v>
      </c>
      <c r="K56" s="141">
        <v>-7.2562972E7</v>
      </c>
      <c r="L56" s="141">
        <v>1.127379955E9</v>
      </c>
    </row>
    <row r="57">
      <c r="A57" s="138">
        <f t="shared" si="1"/>
        <v>28</v>
      </c>
      <c r="B57" s="138" t="s">
        <v>3515</v>
      </c>
      <c r="C57" s="6" t="s">
        <v>5115</v>
      </c>
      <c r="D57" s="138" t="s">
        <v>5039</v>
      </c>
      <c r="E57" s="138" t="s">
        <v>21</v>
      </c>
      <c r="F57" s="138">
        <v>0.0</v>
      </c>
      <c r="G57" s="139">
        <v>46147.0</v>
      </c>
      <c r="H57" s="140">
        <v>0.375</v>
      </c>
      <c r="I57" s="140">
        <v>0.6666666666666666</v>
      </c>
      <c r="J57" s="138" t="s">
        <v>5070</v>
      </c>
      <c r="K57" s="141">
        <v>-7.2562972E7</v>
      </c>
      <c r="L57" s="141">
        <v>1.127379955E9</v>
      </c>
    </row>
    <row r="58">
      <c r="A58" s="138">
        <f t="shared" si="1"/>
        <v>29</v>
      </c>
      <c r="B58" s="138" t="s">
        <v>4175</v>
      </c>
      <c r="C58" s="138" t="s">
        <v>4176</v>
      </c>
      <c r="D58" s="138" t="s">
        <v>5039</v>
      </c>
      <c r="E58" s="138" t="s">
        <v>21</v>
      </c>
      <c r="F58" s="138">
        <v>0.0</v>
      </c>
      <c r="G58" s="139">
        <v>46177.0</v>
      </c>
      <c r="H58" s="140">
        <v>0.2916666666666667</v>
      </c>
      <c r="I58" s="140">
        <v>0.625</v>
      </c>
      <c r="J58" s="138" t="s">
        <v>5071</v>
      </c>
      <c r="K58" s="141">
        <v>-7.1954748E7</v>
      </c>
      <c r="L58" s="141">
        <v>1.127395206E9</v>
      </c>
    </row>
    <row r="59">
      <c r="A59" s="138">
        <f t="shared" si="1"/>
        <v>29</v>
      </c>
      <c r="B59" s="138" t="s">
        <v>4175</v>
      </c>
      <c r="C59" s="6" t="s">
        <v>5116</v>
      </c>
      <c r="D59" s="138" t="s">
        <v>5039</v>
      </c>
      <c r="E59" s="138" t="s">
        <v>21</v>
      </c>
      <c r="F59" s="138">
        <v>0.0</v>
      </c>
      <c r="G59" s="139">
        <v>46178.0</v>
      </c>
      <c r="H59" s="140">
        <v>0.3333333333333333</v>
      </c>
      <c r="I59" s="140">
        <v>0.6666666666666666</v>
      </c>
      <c r="J59" s="138" t="s">
        <v>5071</v>
      </c>
      <c r="K59" s="141">
        <v>-7.1954748E7</v>
      </c>
      <c r="L59" s="141">
        <v>1.127395206E9</v>
      </c>
    </row>
    <row r="60">
      <c r="A60" s="138">
        <f t="shared" si="1"/>
        <v>30</v>
      </c>
      <c r="B60" s="138" t="s">
        <v>4181</v>
      </c>
      <c r="C60" s="138" t="s">
        <v>4182</v>
      </c>
      <c r="D60" s="138" t="s">
        <v>5039</v>
      </c>
      <c r="E60" s="138" t="s">
        <v>21</v>
      </c>
      <c r="F60" s="138">
        <v>0.0</v>
      </c>
      <c r="G60" s="139">
        <v>46177.0</v>
      </c>
      <c r="H60" s="140">
        <v>0.0</v>
      </c>
      <c r="I60" s="140">
        <v>0.9993055555555556</v>
      </c>
      <c r="J60" s="138" t="s">
        <v>5072</v>
      </c>
      <c r="K60" s="141">
        <v>-7.2960492E7</v>
      </c>
      <c r="L60" s="141">
        <v>1.127387012E9</v>
      </c>
    </row>
    <row r="61">
      <c r="A61" s="138">
        <f t="shared" si="1"/>
        <v>30</v>
      </c>
      <c r="B61" s="138" t="s">
        <v>4181</v>
      </c>
      <c r="C61" s="6" t="s">
        <v>5117</v>
      </c>
      <c r="D61" s="138" t="s">
        <v>5039</v>
      </c>
      <c r="E61" s="138" t="s">
        <v>21</v>
      </c>
      <c r="F61" s="138">
        <v>0.0</v>
      </c>
      <c r="G61" s="139">
        <v>46178.0</v>
      </c>
      <c r="H61" s="140">
        <v>0.041666666666666664</v>
      </c>
      <c r="I61" s="140">
        <v>1.0409722222222222</v>
      </c>
      <c r="J61" s="138" t="s">
        <v>5072</v>
      </c>
      <c r="K61" s="141">
        <v>-7.2960492E7</v>
      </c>
      <c r="L61" s="141">
        <v>1.127387012E9</v>
      </c>
    </row>
    <row r="62">
      <c r="A62" s="138">
        <f t="shared" si="1"/>
        <v>31</v>
      </c>
      <c r="B62" s="138" t="s">
        <v>4187</v>
      </c>
      <c r="C62" s="138" t="s">
        <v>4188</v>
      </c>
      <c r="D62" s="138" t="s">
        <v>5073</v>
      </c>
      <c r="E62" s="138" t="s">
        <v>21</v>
      </c>
      <c r="F62" s="138">
        <v>15000.0</v>
      </c>
      <c r="G62" s="139">
        <v>46057.0</v>
      </c>
      <c r="H62" s="140">
        <v>0.3333333333333333</v>
      </c>
      <c r="I62" s="140">
        <v>0.6666666666666666</v>
      </c>
      <c r="J62" s="138" t="s">
        <v>5074</v>
      </c>
      <c r="K62" s="141">
        <v>-7.2509164E7</v>
      </c>
      <c r="L62" s="141">
        <v>1.128009332E9</v>
      </c>
    </row>
    <row r="63">
      <c r="A63" s="138">
        <f t="shared" si="1"/>
        <v>31</v>
      </c>
      <c r="B63" s="138" t="s">
        <v>4187</v>
      </c>
      <c r="C63" s="6" t="s">
        <v>5118</v>
      </c>
      <c r="D63" s="138" t="s">
        <v>5073</v>
      </c>
      <c r="E63" s="138" t="s">
        <v>21</v>
      </c>
      <c r="F63" s="138">
        <v>15000.0</v>
      </c>
      <c r="G63" s="139">
        <v>46058.0</v>
      </c>
      <c r="H63" s="140">
        <v>0.375</v>
      </c>
      <c r="I63" s="140">
        <v>0.7083333333333334</v>
      </c>
      <c r="J63" s="138" t="s">
        <v>5074</v>
      </c>
      <c r="K63" s="141">
        <v>-7.2509164E7</v>
      </c>
      <c r="L63" s="141">
        <v>1.128009332E9</v>
      </c>
    </row>
    <row r="64">
      <c r="A64" s="138">
        <f t="shared" si="1"/>
        <v>32</v>
      </c>
      <c r="B64" s="138" t="s">
        <v>4193</v>
      </c>
      <c r="C64" s="138" t="s">
        <v>4194</v>
      </c>
      <c r="D64" s="138" t="s">
        <v>5036</v>
      </c>
      <c r="E64" s="138" t="s">
        <v>21</v>
      </c>
      <c r="F64" s="138">
        <v>35000.0</v>
      </c>
      <c r="G64" s="139">
        <v>46026.0</v>
      </c>
      <c r="H64" s="140">
        <v>0.375</v>
      </c>
      <c r="I64" s="140">
        <v>0.75</v>
      </c>
      <c r="J64" s="138" t="s">
        <v>5075</v>
      </c>
      <c r="K64" s="141">
        <v>-7.2477963E7</v>
      </c>
      <c r="L64" s="141">
        <v>1.127998235E9</v>
      </c>
    </row>
    <row r="65">
      <c r="A65" s="138">
        <f t="shared" si="1"/>
        <v>32</v>
      </c>
      <c r="B65" s="138" t="s">
        <v>4193</v>
      </c>
      <c r="C65" s="6" t="s">
        <v>5119</v>
      </c>
      <c r="D65" s="138" t="s">
        <v>5036</v>
      </c>
      <c r="E65" s="138" t="s">
        <v>21</v>
      </c>
      <c r="F65" s="138">
        <v>35000.0</v>
      </c>
      <c r="G65" s="139">
        <v>46027.0</v>
      </c>
      <c r="H65" s="140">
        <v>0.4166666666666667</v>
      </c>
      <c r="I65" s="140">
        <v>0.7916666666666666</v>
      </c>
      <c r="J65" s="138" t="s">
        <v>5075</v>
      </c>
      <c r="K65" s="141">
        <v>-7.2477963E7</v>
      </c>
      <c r="L65" s="141">
        <v>1.127998235E9</v>
      </c>
    </row>
    <row r="66">
      <c r="A66" s="138">
        <f t="shared" si="1"/>
        <v>33</v>
      </c>
      <c r="B66" s="138" t="s">
        <v>4199</v>
      </c>
      <c r="C66" s="138" t="s">
        <v>4200</v>
      </c>
      <c r="D66" s="138" t="s">
        <v>5039</v>
      </c>
      <c r="E66" s="138" t="s">
        <v>21</v>
      </c>
      <c r="F66" s="138">
        <v>0.0</v>
      </c>
      <c r="G66" s="139">
        <v>46207.0</v>
      </c>
      <c r="H66" s="140">
        <v>0.3333333333333333</v>
      </c>
      <c r="I66" s="140">
        <v>0.6666666666666666</v>
      </c>
      <c r="J66" s="138" t="s">
        <v>5076</v>
      </c>
      <c r="K66" s="141">
        <v>-7.2592948E7</v>
      </c>
      <c r="L66" s="141">
        <v>1.127470512E9</v>
      </c>
    </row>
    <row r="67">
      <c r="A67" s="138">
        <f t="shared" si="1"/>
        <v>33</v>
      </c>
      <c r="B67" s="138" t="s">
        <v>4199</v>
      </c>
      <c r="C67" s="6" t="s">
        <v>5120</v>
      </c>
      <c r="D67" s="138" t="s">
        <v>5039</v>
      </c>
      <c r="E67" s="138" t="s">
        <v>21</v>
      </c>
      <c r="F67" s="138">
        <v>0.0</v>
      </c>
      <c r="G67" s="139">
        <v>46208.0</v>
      </c>
      <c r="H67" s="140">
        <v>0.375</v>
      </c>
      <c r="I67" s="140">
        <v>0.7083333333333334</v>
      </c>
      <c r="J67" s="138" t="s">
        <v>5076</v>
      </c>
      <c r="K67" s="141">
        <v>-7.2592948E7</v>
      </c>
      <c r="L67" s="141">
        <v>1.127470512E9</v>
      </c>
    </row>
    <row r="68">
      <c r="A68" s="138">
        <f t="shared" si="1"/>
        <v>34</v>
      </c>
      <c r="B68" s="138" t="s">
        <v>4205</v>
      </c>
      <c r="C68" s="138" t="s">
        <v>4206</v>
      </c>
      <c r="D68" s="138" t="s">
        <v>5039</v>
      </c>
      <c r="E68" s="138" t="s">
        <v>21</v>
      </c>
      <c r="F68" s="138">
        <v>0.0</v>
      </c>
      <c r="G68" s="139">
        <v>46085.0</v>
      </c>
      <c r="H68" s="140">
        <v>0.3333333333333333</v>
      </c>
      <c r="I68" s="140">
        <v>0.7083333333333334</v>
      </c>
      <c r="J68" s="138" t="s">
        <v>5077</v>
      </c>
      <c r="K68" s="141">
        <v>-7.2472841E7</v>
      </c>
      <c r="L68" s="141">
        <v>1.128010814E9</v>
      </c>
    </row>
    <row r="69">
      <c r="A69" s="138">
        <f t="shared" si="1"/>
        <v>34</v>
      </c>
      <c r="B69" s="138" t="s">
        <v>4205</v>
      </c>
      <c r="C69" s="6" t="s">
        <v>5121</v>
      </c>
      <c r="D69" s="138" t="s">
        <v>5039</v>
      </c>
      <c r="E69" s="138" t="s">
        <v>21</v>
      </c>
      <c r="F69" s="138">
        <v>0.0</v>
      </c>
      <c r="G69" s="139">
        <v>46086.0</v>
      </c>
      <c r="H69" s="140">
        <v>0.375</v>
      </c>
      <c r="I69" s="140">
        <v>0.75</v>
      </c>
      <c r="J69" s="138" t="s">
        <v>5077</v>
      </c>
      <c r="K69" s="141">
        <v>-7.2472841E7</v>
      </c>
      <c r="L69" s="141">
        <v>1.128010814E9</v>
      </c>
    </row>
    <row r="70">
      <c r="A70" s="138">
        <f t="shared" si="1"/>
        <v>35</v>
      </c>
      <c r="B70" s="138" t="s">
        <v>4211</v>
      </c>
      <c r="C70" s="138" t="s">
        <v>4212</v>
      </c>
      <c r="D70" s="138" t="s">
        <v>5039</v>
      </c>
      <c r="E70" s="138" t="s">
        <v>21</v>
      </c>
      <c r="F70" s="138">
        <v>0.0</v>
      </c>
      <c r="G70" s="139">
        <v>46177.0</v>
      </c>
      <c r="H70" s="140">
        <v>0.0</v>
      </c>
      <c r="I70" s="140">
        <v>0.9993055555555556</v>
      </c>
      <c r="J70" s="138" t="s">
        <v>5078</v>
      </c>
      <c r="K70" s="141">
        <v>-7.2677755E7</v>
      </c>
      <c r="L70" s="141">
        <v>1.127443898E9</v>
      </c>
    </row>
    <row r="71">
      <c r="A71" s="138">
        <f t="shared" si="1"/>
        <v>35</v>
      </c>
      <c r="B71" s="138" t="s">
        <v>4211</v>
      </c>
      <c r="C71" s="6" t="s">
        <v>5122</v>
      </c>
      <c r="D71" s="138" t="s">
        <v>5039</v>
      </c>
      <c r="E71" s="138" t="s">
        <v>21</v>
      </c>
      <c r="F71" s="138">
        <v>0.0</v>
      </c>
      <c r="G71" s="139">
        <v>46178.0</v>
      </c>
      <c r="H71" s="140">
        <v>0.041666666666666664</v>
      </c>
      <c r="I71" s="140">
        <v>1.0409722222222222</v>
      </c>
      <c r="J71" s="138" t="s">
        <v>5078</v>
      </c>
      <c r="K71" s="141">
        <v>-7.2677755E7</v>
      </c>
      <c r="L71" s="141">
        <v>1.127443898E9</v>
      </c>
    </row>
    <row r="72">
      <c r="A72" s="138">
        <f t="shared" si="1"/>
        <v>36</v>
      </c>
      <c r="B72" s="138" t="s">
        <v>4217</v>
      </c>
      <c r="C72" s="138" t="s">
        <v>4218</v>
      </c>
      <c r="D72" s="138" t="s">
        <v>5036</v>
      </c>
      <c r="E72" s="138" t="s">
        <v>21</v>
      </c>
      <c r="F72" s="138">
        <v>125000.0</v>
      </c>
      <c r="G72" s="139">
        <v>46116.0</v>
      </c>
      <c r="H72" s="140">
        <v>0.4166666666666667</v>
      </c>
      <c r="I72" s="140">
        <v>0.75</v>
      </c>
      <c r="J72" s="138" t="s">
        <v>5079</v>
      </c>
      <c r="K72" s="141">
        <v>-7.2516189E7</v>
      </c>
      <c r="L72" s="141">
        <v>1.128009694E9</v>
      </c>
    </row>
    <row r="73">
      <c r="A73" s="138">
        <f t="shared" si="1"/>
        <v>36</v>
      </c>
      <c r="B73" s="138" t="s">
        <v>4217</v>
      </c>
      <c r="C73" s="6" t="s">
        <v>5123</v>
      </c>
      <c r="D73" s="138" t="s">
        <v>5036</v>
      </c>
      <c r="E73" s="138" t="s">
        <v>21</v>
      </c>
      <c r="F73" s="138">
        <v>125000.0</v>
      </c>
      <c r="G73" s="139">
        <v>46117.0</v>
      </c>
      <c r="H73" s="140">
        <v>0.4583333333333333</v>
      </c>
      <c r="I73" s="140">
        <v>0.7916666666666666</v>
      </c>
      <c r="J73" s="138" t="s">
        <v>5079</v>
      </c>
      <c r="K73" s="141">
        <v>-7.2516189E7</v>
      </c>
      <c r="L73" s="141">
        <v>1.128009694E9</v>
      </c>
    </row>
    <row r="74">
      <c r="A74" s="138">
        <f t="shared" si="1"/>
        <v>37</v>
      </c>
      <c r="B74" s="138" t="s">
        <v>4223</v>
      </c>
      <c r="C74" s="138" t="s">
        <v>4224</v>
      </c>
      <c r="D74" s="138" t="s">
        <v>5036</v>
      </c>
      <c r="E74" s="138" t="s">
        <v>21</v>
      </c>
      <c r="F74" s="138">
        <v>0.0</v>
      </c>
      <c r="G74" s="139">
        <v>46116.0</v>
      </c>
      <c r="H74" s="140">
        <v>0.0</v>
      </c>
      <c r="I74" s="140">
        <v>0.9993055555555556</v>
      </c>
      <c r="J74" s="138" t="s">
        <v>5080</v>
      </c>
      <c r="K74" s="141">
        <v>-7.2516046E7</v>
      </c>
      <c r="L74" s="141">
        <v>1.127545983E9</v>
      </c>
    </row>
    <row r="75">
      <c r="A75" s="138">
        <f t="shared" si="1"/>
        <v>37</v>
      </c>
      <c r="B75" s="138" t="s">
        <v>4223</v>
      </c>
      <c r="C75" s="6" t="s">
        <v>5124</v>
      </c>
      <c r="D75" s="138" t="s">
        <v>5036</v>
      </c>
      <c r="E75" s="138" t="s">
        <v>21</v>
      </c>
      <c r="F75" s="138">
        <v>0.0</v>
      </c>
      <c r="G75" s="139">
        <v>46117.0</v>
      </c>
      <c r="H75" s="140">
        <v>0.041666666666666664</v>
      </c>
      <c r="I75" s="140">
        <v>1.0409722222222222</v>
      </c>
      <c r="J75" s="138" t="s">
        <v>5080</v>
      </c>
      <c r="K75" s="141">
        <v>-7.2516046E7</v>
      </c>
      <c r="L75" s="141">
        <v>1.127545983E9</v>
      </c>
    </row>
    <row r="76">
      <c r="A76" s="138">
        <f t="shared" si="1"/>
        <v>38</v>
      </c>
      <c r="B76" s="138" t="s">
        <v>2615</v>
      </c>
      <c r="C76" s="138" t="s">
        <v>4229</v>
      </c>
      <c r="D76" s="138" t="s">
        <v>5039</v>
      </c>
      <c r="E76" s="138" t="s">
        <v>21</v>
      </c>
      <c r="F76" s="138">
        <v>2000.0</v>
      </c>
      <c r="G76" s="139">
        <v>46116.0</v>
      </c>
      <c r="H76" s="140">
        <v>0.3333333333333333</v>
      </c>
      <c r="I76" s="140">
        <v>0.6458333333333334</v>
      </c>
      <c r="J76" s="138" t="s">
        <v>5081</v>
      </c>
      <c r="K76" s="141">
        <v>-7.4338593E7</v>
      </c>
      <c r="L76" s="141">
        <v>1.127199058E9</v>
      </c>
    </row>
    <row r="77">
      <c r="A77" s="138">
        <f t="shared" si="1"/>
        <v>38</v>
      </c>
      <c r="B77" s="138" t="s">
        <v>2615</v>
      </c>
      <c r="C77" s="6" t="s">
        <v>5125</v>
      </c>
      <c r="D77" s="138" t="s">
        <v>5039</v>
      </c>
      <c r="E77" s="138" t="s">
        <v>21</v>
      </c>
      <c r="F77" s="138">
        <v>2000.0</v>
      </c>
      <c r="G77" s="139">
        <v>46117.0</v>
      </c>
      <c r="H77" s="140">
        <v>0.375</v>
      </c>
      <c r="I77" s="140">
        <v>0.6875</v>
      </c>
      <c r="J77" s="138" t="s">
        <v>5081</v>
      </c>
      <c r="K77" s="141">
        <v>-7.4338593E7</v>
      </c>
      <c r="L77" s="141">
        <v>1.127199058E9</v>
      </c>
    </row>
    <row r="78">
      <c r="A78" s="138">
        <f t="shared" si="1"/>
        <v>39</v>
      </c>
      <c r="B78" s="138" t="s">
        <v>2874</v>
      </c>
      <c r="C78" s="138" t="s">
        <v>4234</v>
      </c>
      <c r="D78" s="138" t="s">
        <v>5036</v>
      </c>
      <c r="E78" s="138" t="s">
        <v>21</v>
      </c>
      <c r="F78" s="138">
        <v>0.0</v>
      </c>
      <c r="G78" s="139">
        <v>46177.0</v>
      </c>
      <c r="H78" s="140">
        <v>0.0</v>
      </c>
      <c r="I78" s="140">
        <v>0.9993055555555556</v>
      </c>
      <c r="J78" s="138" t="s">
        <v>5082</v>
      </c>
      <c r="K78" s="141">
        <v>-7.2913468E7</v>
      </c>
      <c r="L78" s="141">
        <v>1.127398218E9</v>
      </c>
    </row>
    <row r="79">
      <c r="A79" s="138">
        <f t="shared" si="1"/>
        <v>39</v>
      </c>
      <c r="B79" s="138" t="s">
        <v>2874</v>
      </c>
      <c r="C79" s="6" t="s">
        <v>5126</v>
      </c>
      <c r="D79" s="138" t="s">
        <v>5036</v>
      </c>
      <c r="E79" s="138" t="s">
        <v>21</v>
      </c>
      <c r="F79" s="138">
        <v>0.0</v>
      </c>
      <c r="G79" s="139">
        <v>46178.0</v>
      </c>
      <c r="H79" s="140">
        <v>0.041666666666666664</v>
      </c>
      <c r="I79" s="140">
        <v>1.0409722222222222</v>
      </c>
      <c r="J79" s="138" t="s">
        <v>5082</v>
      </c>
      <c r="K79" s="141">
        <v>-7.2913468E7</v>
      </c>
      <c r="L79" s="141">
        <v>1.127398218E9</v>
      </c>
    </row>
    <row r="80">
      <c r="A80" s="138">
        <f t="shared" si="1"/>
        <v>40</v>
      </c>
      <c r="B80" s="138" t="s">
        <v>4239</v>
      </c>
      <c r="C80" s="138" t="s">
        <v>4240</v>
      </c>
      <c r="D80" s="138" t="s">
        <v>5036</v>
      </c>
      <c r="E80" s="138" t="s">
        <v>21</v>
      </c>
      <c r="F80" s="138">
        <v>0.0</v>
      </c>
      <c r="G80" s="139">
        <v>46116.0</v>
      </c>
      <c r="H80" s="140">
        <v>0.0</v>
      </c>
      <c r="I80" s="140">
        <v>0.9993055555555556</v>
      </c>
      <c r="J80" s="138" t="s">
        <v>5083</v>
      </c>
      <c r="K80" s="141">
        <v>-7.2752955E7</v>
      </c>
      <c r="L80" s="141">
        <v>1.127549381E9</v>
      </c>
    </row>
    <row r="81">
      <c r="A81" s="138">
        <f t="shared" si="1"/>
        <v>40</v>
      </c>
      <c r="B81" s="138" t="s">
        <v>4239</v>
      </c>
      <c r="C81" s="6" t="s">
        <v>5127</v>
      </c>
      <c r="D81" s="138" t="s">
        <v>5036</v>
      </c>
      <c r="E81" s="138" t="s">
        <v>21</v>
      </c>
      <c r="F81" s="138">
        <v>0.0</v>
      </c>
      <c r="G81" s="139">
        <v>46117.0</v>
      </c>
      <c r="H81" s="140">
        <v>0.041666666666666664</v>
      </c>
      <c r="I81" s="140">
        <v>1.0409722222222222</v>
      </c>
      <c r="J81" s="138" t="s">
        <v>5083</v>
      </c>
      <c r="K81" s="141">
        <v>-7.2752955E7</v>
      </c>
      <c r="L81" s="141">
        <v>1.127549381E9</v>
      </c>
    </row>
    <row r="82">
      <c r="A82" s="138">
        <f t="shared" si="1"/>
        <v>41</v>
      </c>
      <c r="B82" s="138" t="s">
        <v>2145</v>
      </c>
      <c r="C82" s="138" t="s">
        <v>4245</v>
      </c>
      <c r="D82" s="138" t="s">
        <v>5036</v>
      </c>
      <c r="E82" s="138" t="s">
        <v>21</v>
      </c>
      <c r="F82" s="138">
        <v>0.0</v>
      </c>
      <c r="G82" s="139">
        <v>46177.0</v>
      </c>
      <c r="H82" s="140">
        <v>0.2916666666666667</v>
      </c>
      <c r="I82" s="140">
        <v>0.7083333333333334</v>
      </c>
      <c r="J82" s="138" t="s">
        <v>5084</v>
      </c>
      <c r="K82" s="141">
        <v>-7.2943303E7</v>
      </c>
      <c r="L82" s="141">
        <v>1.127617534E9</v>
      </c>
    </row>
    <row r="83">
      <c r="A83" s="138">
        <f t="shared" si="1"/>
        <v>41</v>
      </c>
      <c r="B83" s="138" t="s">
        <v>2145</v>
      </c>
      <c r="C83" s="6" t="s">
        <v>5128</v>
      </c>
      <c r="D83" s="138" t="s">
        <v>5036</v>
      </c>
      <c r="E83" s="138" t="s">
        <v>21</v>
      </c>
      <c r="F83" s="138">
        <v>0.0</v>
      </c>
      <c r="G83" s="139">
        <v>46178.0</v>
      </c>
      <c r="H83" s="140">
        <v>0.3333333333333333</v>
      </c>
      <c r="I83" s="140">
        <v>0.75</v>
      </c>
      <c r="J83" s="138" t="s">
        <v>5084</v>
      </c>
      <c r="K83" s="141">
        <v>-7.2943303E7</v>
      </c>
      <c r="L83" s="141">
        <v>1.127617534E9</v>
      </c>
    </row>
    <row r="84">
      <c r="A84" s="138">
        <f t="shared" si="1"/>
        <v>42</v>
      </c>
      <c r="B84" s="138" t="s">
        <v>5085</v>
      </c>
      <c r="C84" s="138" t="s">
        <v>4248</v>
      </c>
      <c r="D84" s="138" t="s">
        <v>5055</v>
      </c>
      <c r="E84" s="138" t="s">
        <v>21</v>
      </c>
      <c r="F84" s="138">
        <v>10000.0</v>
      </c>
      <c r="G84" s="139">
        <v>46238.0</v>
      </c>
      <c r="H84" s="140">
        <v>0.3333333333333333</v>
      </c>
      <c r="I84" s="140">
        <v>0.7916666666666666</v>
      </c>
      <c r="J84" s="138" t="s">
        <v>5086</v>
      </c>
      <c r="K84" s="141">
        <v>-7.2420758E7</v>
      </c>
      <c r="L84" s="141">
        <v>1.127368158E9</v>
      </c>
    </row>
    <row r="85">
      <c r="A85" s="138">
        <f t="shared" si="1"/>
        <v>42</v>
      </c>
      <c r="B85" s="138" t="s">
        <v>5085</v>
      </c>
      <c r="C85" s="6" t="s">
        <v>5129</v>
      </c>
      <c r="D85" s="138"/>
      <c r="E85" s="138" t="s">
        <v>21</v>
      </c>
      <c r="F85" s="138">
        <v>10000.0</v>
      </c>
      <c r="G85" s="139">
        <v>46239.0</v>
      </c>
      <c r="H85" s="140">
        <v>0.375</v>
      </c>
      <c r="I85" s="140">
        <v>0.8333333333333334</v>
      </c>
      <c r="J85" s="138" t="s">
        <v>5086</v>
      </c>
      <c r="K85" s="141">
        <v>-7.2420758E7</v>
      </c>
      <c r="L85" s="141">
        <v>1.127368158E9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5"/>
    <col customWidth="1" min="8" max="8" width="18.88"/>
    <col customWidth="1" min="9" max="9" width="28.75"/>
  </cols>
  <sheetData>
    <row r="1">
      <c r="A1" s="6" t="s">
        <v>5032</v>
      </c>
      <c r="B1" s="6" t="s">
        <v>1</v>
      </c>
      <c r="C1" s="6" t="s">
        <v>2</v>
      </c>
      <c r="D1" s="6" t="s">
        <v>3</v>
      </c>
      <c r="E1" s="6" t="s">
        <v>6</v>
      </c>
      <c r="F1" s="6" t="s">
        <v>7</v>
      </c>
      <c r="G1" s="6" t="s">
        <v>8</v>
      </c>
      <c r="H1" s="6" t="s">
        <v>5130</v>
      </c>
      <c r="I1" s="6" t="s">
        <v>13</v>
      </c>
      <c r="J1" s="6" t="s">
        <v>14</v>
      </c>
      <c r="K1" s="6" t="s">
        <v>15</v>
      </c>
    </row>
    <row r="2">
      <c r="A2" s="6">
        <v>1.0</v>
      </c>
      <c r="B2" s="6" t="s">
        <v>5131</v>
      </c>
      <c r="C2" s="6" t="s">
        <v>5132</v>
      </c>
      <c r="D2" s="6" t="s">
        <v>5039</v>
      </c>
      <c r="E2" s="6" t="s">
        <v>5133</v>
      </c>
      <c r="F2" s="6">
        <v>20000.0</v>
      </c>
      <c r="G2" s="145">
        <v>46177.0</v>
      </c>
      <c r="H2" s="6">
        <v>15.0</v>
      </c>
      <c r="I2" s="6" t="s">
        <v>5134</v>
      </c>
      <c r="J2" s="11">
        <v>-6.1753924E7</v>
      </c>
      <c r="K2" s="11">
        <v>1.068271528E9</v>
      </c>
      <c r="M2" s="6">
        <v>1.0</v>
      </c>
    </row>
    <row r="3">
      <c r="A3" s="6">
        <v>2.0</v>
      </c>
      <c r="B3" s="6" t="s">
        <v>5135</v>
      </c>
      <c r="C3" s="6" t="s">
        <v>5136</v>
      </c>
      <c r="D3" s="6" t="s">
        <v>5039</v>
      </c>
      <c r="E3" s="6" t="s">
        <v>5133</v>
      </c>
      <c r="F3" s="6">
        <v>0.0</v>
      </c>
      <c r="G3" s="145">
        <v>46177.0</v>
      </c>
      <c r="H3" s="6">
        <v>90.0</v>
      </c>
      <c r="I3" s="6" t="s">
        <v>5137</v>
      </c>
      <c r="J3" s="11">
        <v>-6.1376448E7</v>
      </c>
      <c r="K3" s="11">
        <v>1.068171245E9</v>
      </c>
      <c r="M3" s="6">
        <v>2.0</v>
      </c>
    </row>
    <row r="4">
      <c r="A4" s="6">
        <v>3.0</v>
      </c>
      <c r="B4" s="6" t="s">
        <v>5138</v>
      </c>
      <c r="C4" s="6" t="s">
        <v>5139</v>
      </c>
      <c r="D4" s="6" t="s">
        <v>5036</v>
      </c>
      <c r="E4" s="6" t="s">
        <v>5133</v>
      </c>
      <c r="F4" s="6">
        <v>270000.0</v>
      </c>
      <c r="G4" s="145">
        <v>46177.0</v>
      </c>
      <c r="H4" s="6">
        <v>360.0</v>
      </c>
      <c r="I4" s="6" t="s">
        <v>5140</v>
      </c>
      <c r="J4" s="11">
        <v>-6.1253124E7</v>
      </c>
      <c r="K4" s="11">
        <v>1.068335377E9</v>
      </c>
      <c r="M4" s="6">
        <v>3.0</v>
      </c>
    </row>
    <row r="5">
      <c r="A5" s="6">
        <v>4.0</v>
      </c>
      <c r="B5" s="6" t="s">
        <v>5141</v>
      </c>
      <c r="C5" s="6" t="s">
        <v>5142</v>
      </c>
      <c r="D5" s="6" t="s">
        <v>5036</v>
      </c>
      <c r="E5" s="6" t="s">
        <v>5133</v>
      </c>
      <c r="F5" s="6">
        <v>10000.0</v>
      </c>
      <c r="G5" s="145">
        <v>46146.0</v>
      </c>
      <c r="I5" s="6" t="s">
        <v>5143</v>
      </c>
      <c r="J5" s="11">
        <v>-6.3024459E7</v>
      </c>
      <c r="K5" s="11">
        <v>1.068951559E9</v>
      </c>
      <c r="M5" s="6">
        <v>4.0</v>
      </c>
    </row>
    <row r="6">
      <c r="A6" s="6">
        <v>5.0</v>
      </c>
      <c r="B6" s="6" t="s">
        <v>5144</v>
      </c>
      <c r="C6" s="6" t="s">
        <v>5145</v>
      </c>
      <c r="D6" s="6" t="s">
        <v>5036</v>
      </c>
      <c r="E6" s="6" t="s">
        <v>5133</v>
      </c>
      <c r="F6" s="6">
        <v>94000.0</v>
      </c>
      <c r="G6" s="145">
        <v>46146.0</v>
      </c>
      <c r="H6" s="6">
        <v>60.0</v>
      </c>
      <c r="I6" s="6" t="s">
        <v>5146</v>
      </c>
      <c r="J6" s="11">
        <v>-612419.0</v>
      </c>
      <c r="K6" s="11">
        <v>1.06839134E8</v>
      </c>
      <c r="M6" s="6">
        <v>5.0</v>
      </c>
    </row>
    <row r="7">
      <c r="A7" s="6">
        <v>6.0</v>
      </c>
      <c r="B7" s="6" t="s">
        <v>5147</v>
      </c>
      <c r="C7" s="6" t="s">
        <v>5148</v>
      </c>
      <c r="D7" s="6" t="s">
        <v>5036</v>
      </c>
      <c r="E7" s="6" t="s">
        <v>5133</v>
      </c>
      <c r="F7" s="6">
        <v>25000.0</v>
      </c>
      <c r="G7" s="145">
        <v>46146.0</v>
      </c>
      <c r="H7" s="6">
        <v>10.0</v>
      </c>
      <c r="I7" s="6" t="s">
        <v>5149</v>
      </c>
      <c r="J7" s="11">
        <v>-6.1173332E7</v>
      </c>
      <c r="K7" s="11">
        <v>1.068579951E9</v>
      </c>
      <c r="M7" s="6">
        <v>6.0</v>
      </c>
    </row>
    <row r="8">
      <c r="A8" s="6">
        <v>7.0</v>
      </c>
      <c r="B8" s="6" t="s">
        <v>5150</v>
      </c>
      <c r="C8" s="6" t="s">
        <v>5151</v>
      </c>
      <c r="D8" s="6" t="s">
        <v>5033</v>
      </c>
      <c r="E8" s="6" t="s">
        <v>5133</v>
      </c>
      <c r="F8" s="6">
        <v>4000.0</v>
      </c>
      <c r="G8" s="145">
        <v>46146.0</v>
      </c>
      <c r="I8" s="6" t="s">
        <v>5152</v>
      </c>
      <c r="J8" s="11">
        <v>-6.3124593E7</v>
      </c>
      <c r="K8" s="11">
        <v>1.068201865E9</v>
      </c>
      <c r="M8" s="6">
        <v>7.0</v>
      </c>
    </row>
    <row r="9">
      <c r="A9" s="6">
        <v>8.0</v>
      </c>
      <c r="B9" s="6" t="s">
        <v>5153</v>
      </c>
      <c r="C9" s="6" t="s">
        <v>5154</v>
      </c>
      <c r="D9" s="6" t="s">
        <v>5036</v>
      </c>
      <c r="E9" s="6" t="s">
        <v>5133</v>
      </c>
      <c r="F9" s="6">
        <v>180000.0</v>
      </c>
      <c r="G9" s="6">
        <v>4.0</v>
      </c>
      <c r="I9" s="6" t="s">
        <v>5155</v>
      </c>
      <c r="J9" s="11">
        <v>-6.1258017E7</v>
      </c>
      <c r="K9" s="11">
        <v>1.068363249E9</v>
      </c>
      <c r="M9" s="6">
        <v>8.0</v>
      </c>
    </row>
    <row r="10">
      <c r="A10" s="6">
        <v>9.0</v>
      </c>
      <c r="B10" s="6" t="s">
        <v>5156</v>
      </c>
      <c r="C10" s="6" t="s">
        <v>5157</v>
      </c>
      <c r="D10" s="6" t="s">
        <v>5073</v>
      </c>
      <c r="E10" s="6" t="s">
        <v>5133</v>
      </c>
      <c r="F10" s="6">
        <v>175000.0</v>
      </c>
      <c r="G10" s="145">
        <v>46116.0</v>
      </c>
      <c r="I10" s="6" t="s">
        <v>5158</v>
      </c>
      <c r="J10" s="11">
        <v>107888.0</v>
      </c>
      <c r="K10" s="11">
        <v>1.03931398E8</v>
      </c>
      <c r="M10" s="6">
        <v>9.0</v>
      </c>
    </row>
    <row r="11">
      <c r="A11" s="6">
        <v>10.0</v>
      </c>
      <c r="B11" s="6" t="s">
        <v>5159</v>
      </c>
      <c r="C11" s="6" t="s">
        <v>5160</v>
      </c>
      <c r="D11" s="6" t="s">
        <v>5073</v>
      </c>
      <c r="E11" s="6" t="s">
        <v>5133</v>
      </c>
      <c r="F11" s="6">
        <v>150000.0</v>
      </c>
      <c r="G11" s="145">
        <v>46146.0</v>
      </c>
      <c r="I11" s="6" t="s">
        <v>5161</v>
      </c>
      <c r="J11" s="11">
        <v>-5.8032053E7</v>
      </c>
      <c r="K11" s="11">
        <v>1.065237907E9</v>
      </c>
      <c r="M11" s="6">
        <v>10.0</v>
      </c>
    </row>
    <row r="12">
      <c r="A12" s="6">
        <v>11.0</v>
      </c>
      <c r="B12" s="6" t="s">
        <v>5162</v>
      </c>
      <c r="C12" s="6" t="s">
        <v>5163</v>
      </c>
      <c r="D12" s="6" t="s">
        <v>5073</v>
      </c>
      <c r="E12" s="6" t="s">
        <v>5133</v>
      </c>
      <c r="F12" s="6">
        <v>5000.0</v>
      </c>
      <c r="G12" s="145">
        <v>46177.0</v>
      </c>
      <c r="I12" s="6" t="s">
        <v>5164</v>
      </c>
      <c r="J12" s="11">
        <v>-6035833.0</v>
      </c>
      <c r="K12" s="11">
        <v>1.06746944E8</v>
      </c>
      <c r="M12" s="6">
        <v>11.0</v>
      </c>
    </row>
    <row r="13">
      <c r="A13" s="6">
        <v>12.0</v>
      </c>
      <c r="B13" s="6" t="s">
        <v>5165</v>
      </c>
      <c r="C13" s="6" t="s">
        <v>5166</v>
      </c>
      <c r="D13" s="6" t="s">
        <v>5073</v>
      </c>
      <c r="E13" s="6" t="s">
        <v>5133</v>
      </c>
      <c r="F13" s="6">
        <v>150000.0</v>
      </c>
      <c r="G13" s="6">
        <v>4.0</v>
      </c>
      <c r="I13" s="6" t="s">
        <v>5167</v>
      </c>
      <c r="J13" s="11">
        <v>-5.9074328E7</v>
      </c>
      <c r="K13" s="11">
        <v>1.065863989E9</v>
      </c>
      <c r="M13" s="6">
        <v>12.0</v>
      </c>
    </row>
    <row r="14">
      <c r="A14" s="6">
        <v>13.0</v>
      </c>
      <c r="B14" s="6" t="s">
        <v>5168</v>
      </c>
      <c r="C14" s="6" t="s">
        <v>5169</v>
      </c>
      <c r="D14" s="6" t="s">
        <v>5073</v>
      </c>
      <c r="E14" s="6" t="s">
        <v>5133</v>
      </c>
      <c r="F14" s="6">
        <v>5000.0</v>
      </c>
      <c r="G14" s="145">
        <v>46057.0</v>
      </c>
      <c r="I14" s="6" t="s">
        <v>5170</v>
      </c>
      <c r="J14" s="11">
        <v>-5745962.0</v>
      </c>
      <c r="K14" s="11">
        <v>1.066136577E9</v>
      </c>
      <c r="M14" s="6">
        <v>13.0</v>
      </c>
    </row>
    <row r="15">
      <c r="A15" s="6">
        <v>14.0</v>
      </c>
      <c r="B15" s="6" t="s">
        <v>5171</v>
      </c>
      <c r="C15" s="6" t="s">
        <v>5172</v>
      </c>
      <c r="D15" s="6" t="s">
        <v>5073</v>
      </c>
      <c r="E15" s="6" t="s">
        <v>5133</v>
      </c>
      <c r="F15" s="6">
        <v>900000.0</v>
      </c>
      <c r="G15" s="145">
        <v>46238.0</v>
      </c>
      <c r="I15" s="6" t="s">
        <v>5173</v>
      </c>
      <c r="J15" s="11">
        <v>-5587055.0</v>
      </c>
      <c r="K15" s="11">
        <v>1065885.0</v>
      </c>
      <c r="M15" s="6">
        <v>14.0</v>
      </c>
    </row>
    <row r="16">
      <c r="A16" s="6">
        <v>15.0</v>
      </c>
      <c r="B16" s="6" t="s">
        <v>5174</v>
      </c>
      <c r="C16" s="6" t="s">
        <v>5175</v>
      </c>
      <c r="D16" s="6" t="s">
        <v>129</v>
      </c>
      <c r="E16" s="6" t="s">
        <v>5133</v>
      </c>
      <c r="F16" s="6">
        <v>0.0</v>
      </c>
      <c r="G16" s="145">
        <v>46116.0</v>
      </c>
      <c r="H16" s="6">
        <v>90.0</v>
      </c>
      <c r="I16" s="6" t="s">
        <v>5176</v>
      </c>
      <c r="J16" s="11">
        <v>-6.1766868E7</v>
      </c>
      <c r="K16" s="11">
        <v>1.068417666E9</v>
      </c>
      <c r="M16" s="6">
        <v>15.0</v>
      </c>
    </row>
    <row r="17">
      <c r="A17" s="6">
        <v>16.0</v>
      </c>
      <c r="B17" s="6" t="s">
        <v>5177</v>
      </c>
      <c r="C17" s="6" t="s">
        <v>5178</v>
      </c>
      <c r="D17" s="6" t="s">
        <v>5039</v>
      </c>
      <c r="E17" s="6" t="s">
        <v>5133</v>
      </c>
      <c r="F17" s="6">
        <v>0.0</v>
      </c>
      <c r="G17" s="145">
        <v>46085.0</v>
      </c>
      <c r="I17" s="6" t="s">
        <v>5179</v>
      </c>
      <c r="J17" s="11">
        <v>-6.1314572E7</v>
      </c>
      <c r="K17" s="11">
        <v>1.068106169E9</v>
      </c>
      <c r="M17" s="6">
        <v>16.0</v>
      </c>
    </row>
    <row r="18">
      <c r="A18" s="6">
        <v>17.0</v>
      </c>
      <c r="B18" s="6" t="s">
        <v>5180</v>
      </c>
      <c r="C18" s="6" t="s">
        <v>5181</v>
      </c>
      <c r="D18" s="6" t="s">
        <v>5039</v>
      </c>
      <c r="E18" s="6" t="s">
        <v>5133</v>
      </c>
      <c r="F18" s="6">
        <v>5000.0</v>
      </c>
      <c r="G18" s="145">
        <v>46116.0</v>
      </c>
      <c r="I18" s="6" t="s">
        <v>5182</v>
      </c>
      <c r="J18" s="11">
        <v>-6.1364489E7</v>
      </c>
      <c r="K18" s="11">
        <v>1.068130661E9</v>
      </c>
      <c r="M18" s="6">
        <v>17.0</v>
      </c>
    </row>
    <row r="19">
      <c r="A19" s="6">
        <v>18.0</v>
      </c>
      <c r="B19" s="6" t="s">
        <v>5183</v>
      </c>
      <c r="C19" s="6" t="s">
        <v>5184</v>
      </c>
      <c r="D19" s="6" t="s">
        <v>5039</v>
      </c>
      <c r="E19" s="6" t="s">
        <v>5133</v>
      </c>
      <c r="F19" s="6">
        <v>2000.0</v>
      </c>
      <c r="G19" s="145">
        <v>46207.0</v>
      </c>
      <c r="I19" s="6" t="s">
        <v>5185</v>
      </c>
      <c r="J19" s="11">
        <v>-6137127.0</v>
      </c>
      <c r="K19" s="11">
        <v>1.06813005E8</v>
      </c>
      <c r="M19" s="6">
        <v>18.0</v>
      </c>
    </row>
    <row r="20">
      <c r="A20" s="6">
        <v>19.0</v>
      </c>
      <c r="B20" s="6" t="s">
        <v>5186</v>
      </c>
      <c r="C20" s="6" t="s">
        <v>5187</v>
      </c>
      <c r="D20" s="6" t="s">
        <v>5036</v>
      </c>
      <c r="E20" s="6" t="s">
        <v>5133</v>
      </c>
      <c r="F20" s="6">
        <v>185000.0</v>
      </c>
      <c r="G20" s="145">
        <v>46177.0</v>
      </c>
      <c r="H20" s="6">
        <v>300.0</v>
      </c>
      <c r="I20" s="6" t="s">
        <v>5188</v>
      </c>
      <c r="J20" s="11">
        <v>-6.2250735E7</v>
      </c>
      <c r="K20" s="11">
        <v>1.068097144E9</v>
      </c>
      <c r="M20" s="6">
        <v>19.0</v>
      </c>
    </row>
    <row r="21">
      <c r="A21" s="6">
        <v>20.0</v>
      </c>
      <c r="B21" s="6" t="s">
        <v>5189</v>
      </c>
      <c r="C21" s="6" t="s">
        <v>5190</v>
      </c>
      <c r="D21" s="6" t="s">
        <v>5039</v>
      </c>
      <c r="E21" s="6" t="s">
        <v>5133</v>
      </c>
      <c r="F21" s="6">
        <v>2000.0</v>
      </c>
      <c r="G21" s="145">
        <v>46146.0</v>
      </c>
      <c r="H21" s="6">
        <v>90.0</v>
      </c>
      <c r="I21" s="6" t="s">
        <v>5191</v>
      </c>
      <c r="J21" s="11">
        <v>-6.1722241E7</v>
      </c>
      <c r="K21" s="11">
        <v>1.068189695E9</v>
      </c>
      <c r="M21" s="6">
        <v>20.0</v>
      </c>
    </row>
    <row r="22">
      <c r="A22" s="6">
        <v>21.0</v>
      </c>
      <c r="B22" s="6" t="s">
        <v>5192</v>
      </c>
      <c r="C22" s="6" t="s">
        <v>5193</v>
      </c>
      <c r="D22" s="6" t="s">
        <v>5039</v>
      </c>
      <c r="E22" s="6" t="s">
        <v>5133</v>
      </c>
      <c r="F22" s="6">
        <v>5000.0</v>
      </c>
      <c r="G22" s="145">
        <v>46146.0</v>
      </c>
      <c r="H22" s="6">
        <v>150.0</v>
      </c>
      <c r="I22" s="6" t="s">
        <v>5194</v>
      </c>
      <c r="J22" s="11">
        <v>-6.1349072E7</v>
      </c>
      <c r="K22" s="11">
        <v>1.068124452E9</v>
      </c>
      <c r="M22" s="6">
        <v>21.0</v>
      </c>
    </row>
    <row r="23">
      <c r="A23" s="6">
        <v>22.0</v>
      </c>
      <c r="B23" s="6" t="s">
        <v>5195</v>
      </c>
      <c r="C23" s="6" t="s">
        <v>5196</v>
      </c>
      <c r="D23" s="6" t="s">
        <v>5055</v>
      </c>
      <c r="E23" s="6" t="s">
        <v>5133</v>
      </c>
      <c r="F23" s="6">
        <v>0.0</v>
      </c>
      <c r="G23" s="145">
        <v>46207.0</v>
      </c>
      <c r="I23" s="6" t="s">
        <v>5197</v>
      </c>
      <c r="J23" s="11">
        <v>-617017.0</v>
      </c>
      <c r="K23" s="11">
        <v>1.0683139E7</v>
      </c>
      <c r="M23" s="6">
        <v>22.0</v>
      </c>
    </row>
    <row r="24">
      <c r="A24" s="6">
        <v>23.0</v>
      </c>
      <c r="B24" s="6" t="s">
        <v>5198</v>
      </c>
      <c r="C24" s="6" t="s">
        <v>5199</v>
      </c>
      <c r="D24" s="6" t="s">
        <v>5055</v>
      </c>
      <c r="E24" s="6" t="s">
        <v>5133</v>
      </c>
      <c r="F24" s="6">
        <v>0.0</v>
      </c>
      <c r="G24" s="145">
        <v>46238.0</v>
      </c>
      <c r="I24" s="6" t="s">
        <v>5200</v>
      </c>
      <c r="J24" s="11">
        <v>-6169225.0</v>
      </c>
      <c r="K24" s="11">
        <v>1.06833063E8</v>
      </c>
      <c r="M24" s="6">
        <v>23.0</v>
      </c>
    </row>
    <row r="25">
      <c r="A25" s="6">
        <v>24.0</v>
      </c>
      <c r="B25" s="6" t="s">
        <v>5201</v>
      </c>
      <c r="C25" s="6" t="s">
        <v>5202</v>
      </c>
      <c r="D25" s="6" t="s">
        <v>5039</v>
      </c>
      <c r="E25" s="6" t="s">
        <v>5133</v>
      </c>
      <c r="F25" s="6">
        <v>5000.0</v>
      </c>
      <c r="G25" s="145">
        <v>46177.0</v>
      </c>
      <c r="I25" s="6" t="s">
        <v>5203</v>
      </c>
      <c r="J25" s="11">
        <v>-6.1764021E7</v>
      </c>
      <c r="K25" s="11">
        <v>1.068215901E9</v>
      </c>
      <c r="M25" s="6">
        <v>24.0</v>
      </c>
    </row>
    <row r="26">
      <c r="A26" s="6">
        <v>25.0</v>
      </c>
      <c r="B26" s="6" t="s">
        <v>5204</v>
      </c>
      <c r="C26" s="6" t="s">
        <v>5205</v>
      </c>
      <c r="D26" s="6" t="s">
        <v>129</v>
      </c>
      <c r="E26" s="6" t="s">
        <v>5133</v>
      </c>
      <c r="F26" s="6">
        <v>0.0</v>
      </c>
      <c r="G26" s="6">
        <v>4.0</v>
      </c>
      <c r="H26" s="6">
        <v>45.0</v>
      </c>
      <c r="I26" s="6" t="s">
        <v>5206</v>
      </c>
      <c r="J26" s="11">
        <v>-6.1890096E7</v>
      </c>
      <c r="K26" s="11">
        <v>1.068119312E9</v>
      </c>
      <c r="M26" s="6">
        <v>25.0</v>
      </c>
    </row>
    <row r="27">
      <c r="A27" s="6">
        <v>26.0</v>
      </c>
      <c r="B27" s="6" t="s">
        <v>5207</v>
      </c>
      <c r="C27" s="6" t="s">
        <v>5208</v>
      </c>
      <c r="D27" s="6" t="s">
        <v>129</v>
      </c>
      <c r="E27" s="6" t="s">
        <v>5133</v>
      </c>
      <c r="F27" s="6">
        <v>0.0</v>
      </c>
      <c r="G27" s="145">
        <v>46085.0</v>
      </c>
      <c r="H27" s="6">
        <v>20.0</v>
      </c>
      <c r="I27" s="6" t="s">
        <v>5209</v>
      </c>
      <c r="J27" s="11">
        <v>-6.1427588E7</v>
      </c>
      <c r="K27" s="11">
        <v>1.068140791E9</v>
      </c>
      <c r="M27" s="6">
        <v>26.0</v>
      </c>
    </row>
    <row r="28">
      <c r="A28" s="6">
        <v>27.0</v>
      </c>
      <c r="B28" s="6" t="s">
        <v>5210</v>
      </c>
      <c r="C28" s="6" t="s">
        <v>5211</v>
      </c>
      <c r="D28" s="6" t="s">
        <v>5036</v>
      </c>
      <c r="E28" s="6" t="s">
        <v>5133</v>
      </c>
      <c r="F28" s="6">
        <v>115000.0</v>
      </c>
      <c r="G28" s="145">
        <v>46146.0</v>
      </c>
      <c r="H28" s="6">
        <v>180.0</v>
      </c>
      <c r="I28" s="6" t="s">
        <v>5212</v>
      </c>
      <c r="J28" s="11">
        <v>-6.1264775E7</v>
      </c>
      <c r="K28" s="11">
        <v>1.06842963E8</v>
      </c>
      <c r="M28" s="6">
        <v>27.0</v>
      </c>
    </row>
    <row r="29">
      <c r="A29" s="6">
        <v>28.0</v>
      </c>
      <c r="B29" s="6" t="s">
        <v>5213</v>
      </c>
      <c r="C29" s="6" t="s">
        <v>5214</v>
      </c>
      <c r="D29" s="6" t="s">
        <v>5036</v>
      </c>
      <c r="E29" s="6" t="s">
        <v>5133</v>
      </c>
      <c r="F29" s="6">
        <v>35000.0</v>
      </c>
      <c r="G29" s="145">
        <v>46146.0</v>
      </c>
      <c r="I29" s="6" t="s">
        <v>5215</v>
      </c>
      <c r="J29" s="11">
        <v>-6.3568093E7</v>
      </c>
      <c r="K29" s="11">
        <v>1.069062371E9</v>
      </c>
      <c r="M29" s="6">
        <v>28.0</v>
      </c>
    </row>
    <row r="30">
      <c r="A30" s="6">
        <v>29.0</v>
      </c>
      <c r="B30" s="6" t="s">
        <v>5216</v>
      </c>
      <c r="C30" s="6" t="s">
        <v>5217</v>
      </c>
      <c r="D30" s="6" t="s">
        <v>129</v>
      </c>
      <c r="E30" s="6" t="s">
        <v>5133</v>
      </c>
      <c r="F30" s="6">
        <v>0.0</v>
      </c>
      <c r="G30" s="6">
        <v>5.0</v>
      </c>
      <c r="I30" s="6" t="s">
        <v>5218</v>
      </c>
      <c r="J30" s="11">
        <v>-6.1667887E7</v>
      </c>
      <c r="K30" s="11">
        <v>1.068265261E9</v>
      </c>
      <c r="M30" s="6">
        <v>29.0</v>
      </c>
    </row>
    <row r="31">
      <c r="A31" s="6">
        <v>30.0</v>
      </c>
      <c r="B31" s="6" t="s">
        <v>5219</v>
      </c>
      <c r="C31" s="6" t="s">
        <v>5220</v>
      </c>
      <c r="D31" s="6" t="s">
        <v>5036</v>
      </c>
      <c r="E31" s="6" t="s">
        <v>5133</v>
      </c>
      <c r="F31" s="6">
        <v>0.0</v>
      </c>
      <c r="G31" s="145">
        <v>46146.0</v>
      </c>
      <c r="I31" s="6" t="s">
        <v>5221</v>
      </c>
      <c r="J31" s="11">
        <v>-6.1964087E7</v>
      </c>
      <c r="K31" s="11">
        <v>1.068293106E9</v>
      </c>
      <c r="M31" s="6">
        <v>30.0</v>
      </c>
    </row>
    <row r="32">
      <c r="A32" s="6">
        <v>31.0</v>
      </c>
      <c r="B32" s="6" t="s">
        <v>5222</v>
      </c>
      <c r="C32" s="6" t="s">
        <v>5223</v>
      </c>
      <c r="D32" s="6" t="s">
        <v>5033</v>
      </c>
      <c r="E32" s="6" t="s">
        <v>5133</v>
      </c>
      <c r="F32" s="6">
        <v>25000.0</v>
      </c>
      <c r="G32" s="145">
        <v>46085.0</v>
      </c>
      <c r="I32" s="6" t="s">
        <v>5224</v>
      </c>
      <c r="J32" s="11">
        <v>-6105334.0</v>
      </c>
      <c r="K32" s="11">
        <v>1.06735584E8</v>
      </c>
      <c r="M32" s="6">
        <v>31.0</v>
      </c>
    </row>
    <row r="33">
      <c r="A33" s="6">
        <v>32.0</v>
      </c>
      <c r="B33" s="6" t="s">
        <v>5225</v>
      </c>
      <c r="C33" s="6" t="s">
        <v>5226</v>
      </c>
      <c r="D33" s="6" t="s">
        <v>5039</v>
      </c>
      <c r="E33" s="6" t="s">
        <v>5133</v>
      </c>
      <c r="F33" s="6">
        <v>0.0</v>
      </c>
      <c r="G33" s="145">
        <v>46116.0</v>
      </c>
      <c r="I33" s="6" t="s">
        <v>5227</v>
      </c>
      <c r="J33" s="11">
        <v>-6.3416667E7</v>
      </c>
      <c r="K33" s="11">
        <v>1.068238889E9</v>
      </c>
      <c r="M33" s="6">
        <v>32.0</v>
      </c>
    </row>
    <row r="34">
      <c r="A34" s="6">
        <v>33.0</v>
      </c>
      <c r="B34" s="6" t="s">
        <v>5228</v>
      </c>
      <c r="C34" s="6" t="s">
        <v>5229</v>
      </c>
      <c r="D34" s="6" t="s">
        <v>5036</v>
      </c>
      <c r="E34" s="6" t="s">
        <v>5133</v>
      </c>
      <c r="F34" s="6">
        <v>0.0</v>
      </c>
      <c r="G34" s="145">
        <v>46177.0</v>
      </c>
      <c r="I34" s="6" t="s">
        <v>5230</v>
      </c>
      <c r="J34" s="11">
        <v>-6.1994034E7</v>
      </c>
      <c r="K34" s="11">
        <v>1.068326228E9</v>
      </c>
      <c r="M34" s="6">
        <v>33.0</v>
      </c>
    </row>
    <row r="35">
      <c r="A35" s="6">
        <v>34.0</v>
      </c>
      <c r="B35" s="6" t="s">
        <v>5231</v>
      </c>
      <c r="C35" s="6" t="s">
        <v>5232</v>
      </c>
      <c r="D35" s="6" t="s">
        <v>129</v>
      </c>
      <c r="E35" s="6" t="s">
        <v>5133</v>
      </c>
      <c r="F35" s="6">
        <v>0.0</v>
      </c>
      <c r="G35" s="145">
        <v>46116.0</v>
      </c>
      <c r="H35" s="6">
        <v>60.0</v>
      </c>
      <c r="I35" s="6" t="s">
        <v>5233</v>
      </c>
      <c r="J35" s="11">
        <v>-6241369.0</v>
      </c>
      <c r="K35" s="11">
        <v>1.067890587E9</v>
      </c>
      <c r="M35" s="6">
        <v>34.0</v>
      </c>
    </row>
    <row r="36">
      <c r="A36" s="6">
        <v>35.0</v>
      </c>
      <c r="B36" s="6" t="s">
        <v>5234</v>
      </c>
      <c r="C36" s="6" t="s">
        <v>5235</v>
      </c>
      <c r="D36" s="6" t="s">
        <v>129</v>
      </c>
      <c r="E36" s="6" t="s">
        <v>5133</v>
      </c>
      <c r="F36" s="6">
        <v>0.0</v>
      </c>
      <c r="G36" s="145">
        <v>46207.0</v>
      </c>
      <c r="H36" s="6">
        <v>120.0</v>
      </c>
      <c r="I36" s="6" t="s">
        <v>5236</v>
      </c>
      <c r="J36" s="11">
        <v>-6.1951801E7</v>
      </c>
      <c r="K36" s="11">
        <v>1.068204412E9</v>
      </c>
      <c r="M36" s="6">
        <v>35.0</v>
      </c>
    </row>
    <row r="37">
      <c r="A37" s="6">
        <v>36.0</v>
      </c>
      <c r="B37" s="6" t="s">
        <v>5237</v>
      </c>
      <c r="C37" s="6" t="s">
        <v>5238</v>
      </c>
      <c r="D37" s="6" t="s">
        <v>5036</v>
      </c>
      <c r="E37" s="6" t="s">
        <v>5133</v>
      </c>
      <c r="F37" s="6">
        <v>110000.0</v>
      </c>
      <c r="G37" s="145">
        <v>46146.0</v>
      </c>
      <c r="H37" s="6">
        <v>180.0</v>
      </c>
      <c r="I37" s="6" t="s">
        <v>5239</v>
      </c>
      <c r="J37" s="11">
        <v>-6178996.0</v>
      </c>
      <c r="K37" s="11">
        <v>1.06791941E8</v>
      </c>
      <c r="M37" s="6">
        <v>36.0</v>
      </c>
    </row>
    <row r="38">
      <c r="A38" s="6">
        <v>37.0</v>
      </c>
      <c r="B38" s="6" t="s">
        <v>5240</v>
      </c>
      <c r="C38" s="6" t="s">
        <v>5241</v>
      </c>
      <c r="D38" s="6" t="s">
        <v>5036</v>
      </c>
      <c r="E38" s="6" t="s">
        <v>5133</v>
      </c>
      <c r="F38" s="6">
        <v>10000.0</v>
      </c>
      <c r="G38" s="145">
        <v>46146.0</v>
      </c>
      <c r="I38" s="6" t="s">
        <v>5242</v>
      </c>
      <c r="J38" s="11">
        <v>-6.3602487E7</v>
      </c>
      <c r="K38" s="11">
        <v>1.06893842E8</v>
      </c>
      <c r="M38" s="6">
        <v>37.0</v>
      </c>
    </row>
    <row r="39">
      <c r="A39" s="6">
        <v>38.0</v>
      </c>
      <c r="B39" s="6" t="s">
        <v>5243</v>
      </c>
      <c r="C39" s="6" t="s">
        <v>5244</v>
      </c>
      <c r="D39" s="6" t="s">
        <v>5039</v>
      </c>
      <c r="E39" s="6" t="s">
        <v>5133</v>
      </c>
      <c r="F39" s="6">
        <v>0.0</v>
      </c>
      <c r="G39" s="145">
        <v>46177.0</v>
      </c>
      <c r="I39" s="6" t="s">
        <v>5245</v>
      </c>
      <c r="J39" s="11">
        <v>-6168069.0</v>
      </c>
      <c r="K39" s="11">
        <v>1.068239727E9</v>
      </c>
      <c r="M39" s="6">
        <v>38.0</v>
      </c>
    </row>
    <row r="40">
      <c r="A40" s="6">
        <v>39.0</v>
      </c>
      <c r="B40" s="6" t="s">
        <v>5246</v>
      </c>
      <c r="C40" s="6" t="s">
        <v>5247</v>
      </c>
      <c r="D40" s="6" t="s">
        <v>5039</v>
      </c>
      <c r="E40" s="6" t="s">
        <v>5133</v>
      </c>
      <c r="F40" s="6">
        <v>100000.0</v>
      </c>
      <c r="G40" s="145">
        <v>46146.0</v>
      </c>
      <c r="H40" s="6">
        <v>120.0</v>
      </c>
      <c r="I40" s="6" t="s">
        <v>5248</v>
      </c>
      <c r="J40" s="11">
        <v>-6190942.0</v>
      </c>
      <c r="K40" s="11">
        <v>1.06767622E8</v>
      </c>
      <c r="M40" s="6">
        <v>39.0</v>
      </c>
    </row>
    <row r="41">
      <c r="A41" s="6">
        <v>40.0</v>
      </c>
      <c r="B41" s="6" t="s">
        <v>5249</v>
      </c>
      <c r="C41" s="6" t="s">
        <v>5250</v>
      </c>
      <c r="D41" s="6" t="s">
        <v>5039</v>
      </c>
      <c r="E41" s="6" t="s">
        <v>5133</v>
      </c>
      <c r="F41" s="6">
        <v>0.0</v>
      </c>
      <c r="G41" s="145">
        <v>46177.0</v>
      </c>
      <c r="I41" s="6" t="s">
        <v>5251</v>
      </c>
      <c r="J41" s="11">
        <v>-6.1785482E7</v>
      </c>
      <c r="K41" s="11">
        <v>1.068327716E9</v>
      </c>
      <c r="M41" s="6">
        <v>40.0</v>
      </c>
    </row>
    <row r="42">
      <c r="A42" s="6">
        <v>41.0</v>
      </c>
      <c r="B42" s="6" t="s">
        <v>5252</v>
      </c>
      <c r="C42" s="6" t="s">
        <v>5253</v>
      </c>
      <c r="D42" s="6" t="s">
        <v>5039</v>
      </c>
      <c r="E42" s="6" t="s">
        <v>5133</v>
      </c>
      <c r="F42" s="6">
        <v>2000.0</v>
      </c>
      <c r="G42" s="145">
        <v>46116.0</v>
      </c>
      <c r="H42" s="6">
        <v>120.0</v>
      </c>
      <c r="I42" s="6" t="s">
        <v>5254</v>
      </c>
      <c r="J42" s="11">
        <v>-6.1269553E7</v>
      </c>
      <c r="K42" s="11">
        <v>1.068085899E9</v>
      </c>
      <c r="M42" s="6">
        <v>41.0</v>
      </c>
    </row>
    <row r="43">
      <c r="A43" s="6">
        <v>42.0</v>
      </c>
      <c r="B43" s="6" t="s">
        <v>5255</v>
      </c>
      <c r="C43" s="6" t="s">
        <v>5256</v>
      </c>
      <c r="D43" s="6" t="s">
        <v>5039</v>
      </c>
      <c r="E43" s="6" t="s">
        <v>5133</v>
      </c>
      <c r="F43" s="6">
        <v>5000.0</v>
      </c>
      <c r="G43" s="145">
        <v>46116.0</v>
      </c>
      <c r="I43" s="6" t="s">
        <v>5257</v>
      </c>
      <c r="J43" s="11">
        <v>-6.1342598E7</v>
      </c>
      <c r="K43" s="11">
        <v>1.06814552E8</v>
      </c>
      <c r="M43" s="6">
        <v>42.0</v>
      </c>
    </row>
    <row r="44">
      <c r="A44" s="6">
        <v>43.0</v>
      </c>
      <c r="B44" s="6" t="s">
        <v>5258</v>
      </c>
      <c r="C44" s="6" t="s">
        <v>5259</v>
      </c>
      <c r="D44" s="6" t="s">
        <v>5036</v>
      </c>
      <c r="E44" s="6" t="s">
        <v>5133</v>
      </c>
      <c r="F44" s="6">
        <v>70000.0</v>
      </c>
      <c r="G44" s="145">
        <v>46116.0</v>
      </c>
      <c r="H44" s="6">
        <v>120.0</v>
      </c>
      <c r="I44" s="6" t="s">
        <v>5260</v>
      </c>
      <c r="J44" s="11">
        <v>-6.2555033E7</v>
      </c>
      <c r="K44" s="11">
        <v>1.068122591E9</v>
      </c>
      <c r="M44" s="6">
        <v>43.0</v>
      </c>
    </row>
    <row r="45">
      <c r="A45" s="6">
        <v>44.0</v>
      </c>
      <c r="B45" s="6" t="s">
        <v>5261</v>
      </c>
      <c r="C45" s="6" t="s">
        <v>5262</v>
      </c>
      <c r="D45" s="6" t="s">
        <v>5039</v>
      </c>
      <c r="E45" s="6" t="s">
        <v>5133</v>
      </c>
      <c r="F45" s="6">
        <v>0.0</v>
      </c>
      <c r="G45" s="145">
        <v>46207.0</v>
      </c>
      <c r="H45" s="6">
        <v>15.0</v>
      </c>
      <c r="I45" s="6" t="s">
        <v>5263</v>
      </c>
      <c r="J45" s="11">
        <v>-6.1949978E7</v>
      </c>
      <c r="K45" s="11">
        <v>1.068230496E9</v>
      </c>
      <c r="M45" s="6">
        <v>44.0</v>
      </c>
    </row>
    <row r="46">
      <c r="A46" s="6">
        <v>45.0</v>
      </c>
      <c r="B46" s="6" t="s">
        <v>5264</v>
      </c>
      <c r="C46" s="6" t="s">
        <v>5265</v>
      </c>
      <c r="D46" s="6" t="s">
        <v>5036</v>
      </c>
      <c r="E46" s="6" t="s">
        <v>5133</v>
      </c>
      <c r="F46" s="6">
        <v>185000.0</v>
      </c>
      <c r="G46" s="145">
        <v>46177.0</v>
      </c>
      <c r="I46" s="6" t="s">
        <v>5266</v>
      </c>
      <c r="J46" s="11">
        <v>-6.1752647E7</v>
      </c>
      <c r="K46" s="11">
        <v>1.067904684E9</v>
      </c>
      <c r="M46" s="6">
        <v>45.0</v>
      </c>
    </row>
    <row r="47">
      <c r="A47" s="6">
        <v>46.0</v>
      </c>
      <c r="B47" s="6" t="s">
        <v>5267</v>
      </c>
      <c r="C47" s="6" t="s">
        <v>5268</v>
      </c>
      <c r="D47" s="6" t="s">
        <v>5073</v>
      </c>
      <c r="E47" s="6" t="s">
        <v>5133</v>
      </c>
      <c r="F47" s="6">
        <v>40000.0</v>
      </c>
      <c r="G47" s="6">
        <v>4.0</v>
      </c>
      <c r="I47" s="6" t="s">
        <v>5269</v>
      </c>
      <c r="J47" s="11">
        <v>-5.7296716E7</v>
      </c>
      <c r="K47" s="11">
        <v>1.065714158E9</v>
      </c>
      <c r="M47" s="6">
        <v>46.0</v>
      </c>
    </row>
    <row r="48">
      <c r="A48" s="6">
        <v>47.0</v>
      </c>
      <c r="B48" s="6" t="s">
        <v>5270</v>
      </c>
      <c r="C48" s="6" t="s">
        <v>5271</v>
      </c>
      <c r="D48" s="6" t="s">
        <v>5036</v>
      </c>
      <c r="E48" s="6" t="s">
        <v>5133</v>
      </c>
      <c r="F48" s="6">
        <v>0.0</v>
      </c>
      <c r="G48" s="145">
        <v>46146.0</v>
      </c>
      <c r="I48" s="6" t="s">
        <v>5272</v>
      </c>
      <c r="J48" s="11">
        <v>-6.1978861E7</v>
      </c>
      <c r="K48" s="11">
        <v>1.068346708E9</v>
      </c>
      <c r="M48" s="6">
        <v>47.0</v>
      </c>
    </row>
    <row r="49">
      <c r="A49" s="6">
        <v>48.0</v>
      </c>
      <c r="B49" s="6" t="s">
        <v>5273</v>
      </c>
      <c r="C49" s="6" t="s">
        <v>5274</v>
      </c>
      <c r="D49" s="6" t="s">
        <v>5039</v>
      </c>
      <c r="E49" s="6" t="s">
        <v>5133</v>
      </c>
      <c r="F49" s="6">
        <v>5000.0</v>
      </c>
      <c r="G49" s="145">
        <v>46177.0</v>
      </c>
      <c r="I49" s="6" t="s">
        <v>5275</v>
      </c>
      <c r="J49" s="11">
        <v>-6.1891586E7</v>
      </c>
      <c r="K49" s="11">
        <v>1.068397738E9</v>
      </c>
      <c r="M49" s="6">
        <v>48.0</v>
      </c>
    </row>
    <row r="50">
      <c r="A50" s="6">
        <v>49.0</v>
      </c>
      <c r="B50" s="6" t="s">
        <v>5276</v>
      </c>
      <c r="C50" s="6" t="s">
        <v>5277</v>
      </c>
      <c r="D50" s="6" t="s">
        <v>5039</v>
      </c>
      <c r="E50" s="6" t="s">
        <v>5133</v>
      </c>
      <c r="F50" s="6">
        <v>0.0</v>
      </c>
      <c r="G50" s="145">
        <v>46238.0</v>
      </c>
      <c r="H50" s="6">
        <v>90.0</v>
      </c>
      <c r="I50" s="6" t="s">
        <v>5278</v>
      </c>
      <c r="J50" s="11">
        <v>-6.1948499E7</v>
      </c>
      <c r="K50" s="11">
        <v>1.068200607E9</v>
      </c>
      <c r="M50" s="6">
        <v>49.0</v>
      </c>
    </row>
    <row r="51">
      <c r="A51" s="6">
        <v>50.0</v>
      </c>
      <c r="B51" s="6" t="s">
        <v>5279</v>
      </c>
      <c r="C51" s="6" t="s">
        <v>5280</v>
      </c>
      <c r="D51" s="6" t="s">
        <v>5039</v>
      </c>
      <c r="E51" s="6" t="s">
        <v>5133</v>
      </c>
      <c r="F51" s="6">
        <v>2000.0</v>
      </c>
      <c r="G51" s="6">
        <v>4.0</v>
      </c>
      <c r="I51" s="6" t="s">
        <v>5281</v>
      </c>
      <c r="J51" s="11">
        <v>-6.1861838E7</v>
      </c>
      <c r="K51" s="11">
        <v>1.068364761E9</v>
      </c>
      <c r="M51" s="6">
        <v>50.0</v>
      </c>
    </row>
    <row r="52">
      <c r="A52" s="6">
        <v>51.0</v>
      </c>
      <c r="B52" s="6" t="s">
        <v>5282</v>
      </c>
      <c r="C52" s="6" t="s">
        <v>5283</v>
      </c>
      <c r="D52" s="6" t="s">
        <v>5036</v>
      </c>
      <c r="E52" s="6" t="s">
        <v>5133</v>
      </c>
      <c r="F52" s="6">
        <v>12000.0</v>
      </c>
      <c r="G52" s="145">
        <v>46026.0</v>
      </c>
      <c r="H52" s="6">
        <v>120.0</v>
      </c>
      <c r="I52" s="6" t="s">
        <v>5284</v>
      </c>
      <c r="J52" s="11">
        <v>-6.1900819E7</v>
      </c>
      <c r="K52" s="11">
        <v>1.068388532E9</v>
      </c>
      <c r="M52" s="6">
        <v>51.0</v>
      </c>
    </row>
    <row r="53">
      <c r="A53" s="6">
        <v>52.0</v>
      </c>
      <c r="B53" s="6" t="s">
        <v>5285</v>
      </c>
      <c r="C53" s="6" t="s">
        <v>5286</v>
      </c>
      <c r="D53" s="6" t="s">
        <v>5039</v>
      </c>
      <c r="E53" s="6" t="s">
        <v>5133</v>
      </c>
      <c r="F53" s="6">
        <v>15000.0</v>
      </c>
      <c r="G53" s="145">
        <v>46146.0</v>
      </c>
      <c r="I53" s="6" t="s">
        <v>5287</v>
      </c>
      <c r="J53" s="11">
        <v>-6.3651357E7</v>
      </c>
      <c r="K53" s="11">
        <v>1.067617984E9</v>
      </c>
      <c r="M53" s="6">
        <v>52.0</v>
      </c>
    </row>
    <row r="54">
      <c r="A54" s="6">
        <v>53.0</v>
      </c>
      <c r="B54" s="6" t="s">
        <v>5288</v>
      </c>
      <c r="C54" s="6" t="s">
        <v>5289</v>
      </c>
      <c r="D54" s="6" t="s">
        <v>5039</v>
      </c>
      <c r="E54" s="6" t="s">
        <v>5133</v>
      </c>
      <c r="F54" s="6">
        <v>5000.0</v>
      </c>
      <c r="G54" s="145">
        <v>46146.0</v>
      </c>
      <c r="H54" s="6">
        <v>90.0</v>
      </c>
      <c r="I54" s="6" t="s">
        <v>5290</v>
      </c>
      <c r="J54" s="11">
        <v>-610016.0</v>
      </c>
      <c r="K54" s="11">
        <v>1.0696057E7</v>
      </c>
      <c r="M54" s="6">
        <v>53.0</v>
      </c>
    </row>
    <row r="55">
      <c r="A55" s="6">
        <v>54.0</v>
      </c>
      <c r="B55" s="6" t="s">
        <v>5291</v>
      </c>
      <c r="C55" s="6" t="s">
        <v>5292</v>
      </c>
      <c r="D55" s="6" t="s">
        <v>5036</v>
      </c>
      <c r="E55" s="6" t="s">
        <v>5133</v>
      </c>
      <c r="F55" s="6">
        <v>0.0</v>
      </c>
      <c r="G55" s="145">
        <v>46057.0</v>
      </c>
      <c r="I55" s="6" t="s">
        <v>5293</v>
      </c>
      <c r="J55" s="11">
        <v>-6.3401514E7</v>
      </c>
      <c r="K55" s="11">
        <v>1.069012561E9</v>
      </c>
      <c r="M55" s="6">
        <v>54.0</v>
      </c>
    </row>
    <row r="56">
      <c r="A56" s="6">
        <v>55.0</v>
      </c>
      <c r="B56" s="6" t="s">
        <v>5294</v>
      </c>
      <c r="C56" s="6" t="s">
        <v>5295</v>
      </c>
      <c r="D56" s="6" t="s">
        <v>5055</v>
      </c>
      <c r="E56" s="6" t="s">
        <v>5133</v>
      </c>
      <c r="F56" s="6">
        <v>0.0</v>
      </c>
      <c r="G56" s="145">
        <v>46146.0</v>
      </c>
      <c r="I56" s="6" t="s">
        <v>5296</v>
      </c>
      <c r="J56" s="11">
        <v>-6.1444737E7</v>
      </c>
      <c r="K56" s="11">
        <v>1.068126018E9</v>
      </c>
      <c r="M56" s="6">
        <v>55.0</v>
      </c>
    </row>
    <row r="57">
      <c r="A57" s="6">
        <v>56.0</v>
      </c>
      <c r="B57" s="6" t="s">
        <v>5297</v>
      </c>
      <c r="C57" s="6" t="s">
        <v>5298</v>
      </c>
      <c r="D57" s="6" t="s">
        <v>5073</v>
      </c>
      <c r="E57" s="6" t="s">
        <v>5133</v>
      </c>
      <c r="F57" s="6">
        <v>25000.0</v>
      </c>
      <c r="G57" s="145">
        <v>46116.0</v>
      </c>
      <c r="I57" s="6" t="s">
        <v>5299</v>
      </c>
      <c r="J57" s="11">
        <v>-6.1194215E7</v>
      </c>
      <c r="K57" s="11">
        <v>1.068502435E9</v>
      </c>
      <c r="M57" s="6">
        <v>56.0</v>
      </c>
    </row>
    <row r="58">
      <c r="A58" s="6">
        <v>57.0</v>
      </c>
      <c r="B58" s="6" t="s">
        <v>5300</v>
      </c>
      <c r="C58" s="6" t="s">
        <v>5301</v>
      </c>
      <c r="D58" s="6" t="s">
        <v>5036</v>
      </c>
      <c r="E58" s="6" t="s">
        <v>5133</v>
      </c>
      <c r="F58" s="6">
        <v>0.0</v>
      </c>
      <c r="G58" s="145">
        <v>46207.0</v>
      </c>
      <c r="I58" s="6" t="s">
        <v>5302</v>
      </c>
      <c r="J58" s="11">
        <v>-6170555.0</v>
      </c>
      <c r="K58" s="11">
        <v>1.068350378E9</v>
      </c>
      <c r="M58" s="6">
        <v>57.0</v>
      </c>
    </row>
    <row r="59">
      <c r="A59" s="6">
        <v>58.0</v>
      </c>
      <c r="B59" s="6" t="s">
        <v>5303</v>
      </c>
      <c r="C59" s="6" t="s">
        <v>5304</v>
      </c>
      <c r="D59" s="6" t="s">
        <v>5036</v>
      </c>
      <c r="E59" s="6" t="s">
        <v>5133</v>
      </c>
      <c r="F59" s="6">
        <v>0.0</v>
      </c>
      <c r="G59" s="145">
        <v>46116.0</v>
      </c>
      <c r="H59" s="6">
        <v>45.0</v>
      </c>
      <c r="I59" s="6" t="s">
        <v>5305</v>
      </c>
      <c r="J59" s="11">
        <v>-6.2452294E7</v>
      </c>
      <c r="K59" s="11">
        <v>1.067946655E9</v>
      </c>
      <c r="M59" s="6">
        <v>58.0</v>
      </c>
    </row>
    <row r="60">
      <c r="A60" s="6">
        <v>59.0</v>
      </c>
      <c r="B60" s="6" t="s">
        <v>5306</v>
      </c>
      <c r="C60" s="6" t="s">
        <v>5307</v>
      </c>
      <c r="D60" s="6" t="s">
        <v>5039</v>
      </c>
      <c r="E60" s="6" t="s">
        <v>5133</v>
      </c>
      <c r="F60" s="6">
        <v>2000.0</v>
      </c>
      <c r="G60" s="145">
        <v>46207.0</v>
      </c>
      <c r="I60" s="6" t="s">
        <v>5308</v>
      </c>
      <c r="J60" s="11">
        <v>-6.1838388E7</v>
      </c>
      <c r="K60" s="11">
        <v>1.068430507E9</v>
      </c>
      <c r="M60" s="6">
        <v>59.0</v>
      </c>
    </row>
    <row r="61">
      <c r="A61" s="6">
        <v>60.0</v>
      </c>
      <c r="B61" s="6" t="s">
        <v>5309</v>
      </c>
      <c r="C61" s="6" t="s">
        <v>5310</v>
      </c>
      <c r="D61" s="6" t="s">
        <v>5039</v>
      </c>
      <c r="E61" s="6" t="s">
        <v>5133</v>
      </c>
      <c r="F61" s="6">
        <v>5000.0</v>
      </c>
      <c r="G61" s="145">
        <v>46146.0</v>
      </c>
      <c r="H61" s="6">
        <v>45.0</v>
      </c>
      <c r="I61" s="6" t="s">
        <v>5311</v>
      </c>
      <c r="J61" s="11">
        <v>-6.1879634E7</v>
      </c>
      <c r="K61" s="11">
        <v>1.068096081E9</v>
      </c>
      <c r="M61" s="6">
        <v>60.0</v>
      </c>
    </row>
    <row r="62">
      <c r="A62" s="6">
        <v>61.0</v>
      </c>
      <c r="B62" s="6" t="s">
        <v>5312</v>
      </c>
      <c r="C62" s="6" t="s">
        <v>5313</v>
      </c>
      <c r="D62" s="6" t="s">
        <v>5039</v>
      </c>
      <c r="E62" s="6" t="s">
        <v>5133</v>
      </c>
      <c r="F62" s="6">
        <v>0.0</v>
      </c>
      <c r="G62" s="145">
        <v>46177.0</v>
      </c>
      <c r="I62" s="6" t="s">
        <v>5314</v>
      </c>
      <c r="J62" s="11">
        <v>-6.2030468E7</v>
      </c>
      <c r="K62" s="11">
        <v>1.068466623E9</v>
      </c>
      <c r="M62" s="6">
        <v>61.0</v>
      </c>
    </row>
    <row r="63">
      <c r="A63" s="6">
        <v>62.0</v>
      </c>
      <c r="B63" s="6" t="s">
        <v>5315</v>
      </c>
      <c r="C63" s="6" t="s">
        <v>5316</v>
      </c>
      <c r="D63" s="6" t="s">
        <v>5036</v>
      </c>
      <c r="E63" s="6" t="s">
        <v>5133</v>
      </c>
      <c r="F63" s="6">
        <v>30000.0</v>
      </c>
      <c r="G63" s="145">
        <v>46146.0</v>
      </c>
      <c r="I63" s="6" t="s">
        <v>5317</v>
      </c>
      <c r="J63" s="11">
        <v>-6.3039042E7</v>
      </c>
      <c r="K63" s="11">
        <v>1.068936219E9</v>
      </c>
      <c r="M63" s="6">
        <v>62.0</v>
      </c>
    </row>
    <row r="64">
      <c r="A64" s="6">
        <v>63.0</v>
      </c>
      <c r="B64" s="6" t="s">
        <v>5318</v>
      </c>
      <c r="C64" s="6" t="s">
        <v>5319</v>
      </c>
      <c r="D64" s="6" t="s">
        <v>5039</v>
      </c>
      <c r="E64" s="6" t="s">
        <v>5133</v>
      </c>
      <c r="F64" s="6">
        <v>2000.0</v>
      </c>
      <c r="G64" s="145">
        <v>46207.0</v>
      </c>
      <c r="H64" s="6">
        <v>45.0</v>
      </c>
      <c r="I64" s="6" t="s">
        <v>5320</v>
      </c>
      <c r="J64" s="11">
        <v>-6178352.0</v>
      </c>
      <c r="K64" s="11">
        <v>1.06838094E8</v>
      </c>
      <c r="M64" s="6">
        <v>63.0</v>
      </c>
    </row>
    <row r="65">
      <c r="A65" s="6">
        <v>64.0</v>
      </c>
      <c r="B65" s="6" t="s">
        <v>5321</v>
      </c>
      <c r="C65" s="6" t="s">
        <v>5322</v>
      </c>
      <c r="D65" s="6" t="s">
        <v>5039</v>
      </c>
      <c r="E65" s="6" t="s">
        <v>5133</v>
      </c>
      <c r="F65" s="6">
        <v>2000.0</v>
      </c>
      <c r="G65" s="145">
        <v>46207.0</v>
      </c>
      <c r="H65" s="6">
        <v>45.0</v>
      </c>
      <c r="I65" s="6" t="s">
        <v>5323</v>
      </c>
      <c r="J65" s="11">
        <v>-6.2046303E7</v>
      </c>
      <c r="K65" s="11">
        <v>1.068365324E9</v>
      </c>
      <c r="M65" s="6">
        <v>64.0</v>
      </c>
    </row>
    <row r="66">
      <c r="A66" s="6">
        <v>65.0</v>
      </c>
      <c r="B66" s="6" t="s">
        <v>5324</v>
      </c>
      <c r="C66" s="6" t="s">
        <v>5325</v>
      </c>
      <c r="D66" s="6" t="s">
        <v>5039</v>
      </c>
      <c r="E66" s="6" t="s">
        <v>5133</v>
      </c>
      <c r="F66" s="6">
        <v>1000.0</v>
      </c>
      <c r="G66" s="145">
        <v>46177.0</v>
      </c>
      <c r="H66" s="6">
        <v>90.0</v>
      </c>
      <c r="I66" s="6" t="s">
        <v>5326</v>
      </c>
      <c r="J66" s="11">
        <v>-6.2897885E7</v>
      </c>
      <c r="K66" s="11">
        <v>1.067932681E9</v>
      </c>
      <c r="M66" s="6">
        <v>65.0</v>
      </c>
    </row>
    <row r="67">
      <c r="A67" s="6">
        <v>66.0</v>
      </c>
      <c r="B67" s="6" t="s">
        <v>5327</v>
      </c>
      <c r="C67" s="6" t="s">
        <v>5328</v>
      </c>
      <c r="D67" s="6" t="s">
        <v>5039</v>
      </c>
      <c r="E67" s="6" t="s">
        <v>5133</v>
      </c>
      <c r="F67" s="6">
        <v>10000.0</v>
      </c>
      <c r="G67" s="145">
        <v>46146.0</v>
      </c>
      <c r="H67" s="6">
        <v>90.0</v>
      </c>
      <c r="I67" s="6" t="s">
        <v>5329</v>
      </c>
      <c r="J67" s="11">
        <v>-6.3080282E7</v>
      </c>
      <c r="K67" s="11">
        <v>1.06790548E8</v>
      </c>
      <c r="M67" s="6">
        <v>66.0</v>
      </c>
    </row>
    <row r="68">
      <c r="A68" s="6">
        <v>67.0</v>
      </c>
      <c r="B68" s="6" t="s">
        <v>5330</v>
      </c>
      <c r="C68" s="6" t="s">
        <v>5331</v>
      </c>
      <c r="D68" s="6" t="s">
        <v>5033</v>
      </c>
      <c r="E68" s="6" t="s">
        <v>5133</v>
      </c>
      <c r="F68" s="6">
        <v>25000.0</v>
      </c>
      <c r="G68" s="145">
        <v>46057.0</v>
      </c>
      <c r="H68" s="6">
        <v>15.0</v>
      </c>
      <c r="I68" s="6" t="s">
        <v>5332</v>
      </c>
      <c r="J68" s="11">
        <v>-6.1160075E7</v>
      </c>
      <c r="K68" s="11">
        <v>1.067692016E9</v>
      </c>
      <c r="M68" s="6">
        <v>67.0</v>
      </c>
    </row>
    <row r="69">
      <c r="A69" s="6">
        <v>68.0</v>
      </c>
      <c r="B69" s="6" t="s">
        <v>5333</v>
      </c>
      <c r="C69" s="6" t="s">
        <v>5334</v>
      </c>
      <c r="D69" s="6" t="s">
        <v>129</v>
      </c>
      <c r="E69" s="6" t="s">
        <v>5133</v>
      </c>
      <c r="F69" s="6">
        <v>0.0</v>
      </c>
      <c r="G69" s="145">
        <v>46116.0</v>
      </c>
      <c r="H69" s="6">
        <v>45.0</v>
      </c>
      <c r="I69" s="6" t="s">
        <v>5335</v>
      </c>
      <c r="J69" s="11">
        <v>-6.1436722E7</v>
      </c>
      <c r="K69" s="11">
        <v>1.068129398E9</v>
      </c>
      <c r="M69" s="6">
        <v>68.0</v>
      </c>
    </row>
    <row r="70">
      <c r="A70" s="6">
        <v>69.0</v>
      </c>
      <c r="B70" s="6" t="s">
        <v>5336</v>
      </c>
      <c r="C70" s="6" t="s">
        <v>5337</v>
      </c>
      <c r="D70" s="6" t="s">
        <v>5039</v>
      </c>
      <c r="E70" s="6" t="s">
        <v>5133</v>
      </c>
      <c r="F70" s="6">
        <v>0.0</v>
      </c>
      <c r="G70" s="6">
        <v>5.0</v>
      </c>
      <c r="I70" s="6" t="s">
        <v>5338</v>
      </c>
      <c r="J70" s="11">
        <v>-6.2022482E7</v>
      </c>
      <c r="K70" s="11">
        <v>1.068451968E9</v>
      </c>
      <c r="M70" s="6">
        <v>69.0</v>
      </c>
    </row>
    <row r="71">
      <c r="A71" s="6">
        <v>70.0</v>
      </c>
      <c r="B71" s="6" t="s">
        <v>5339</v>
      </c>
      <c r="C71" s="6" t="s">
        <v>5340</v>
      </c>
      <c r="D71" s="6" t="s">
        <v>5039</v>
      </c>
      <c r="E71" s="6" t="s">
        <v>5133</v>
      </c>
      <c r="F71" s="6">
        <v>0.0</v>
      </c>
      <c r="G71" s="145">
        <v>46207.0</v>
      </c>
      <c r="H71" s="6">
        <v>240.0</v>
      </c>
      <c r="I71" s="6" t="s">
        <v>5341</v>
      </c>
      <c r="J71" s="11">
        <v>-6.1812918E7</v>
      </c>
      <c r="K71" s="11">
        <v>1.068268717E9</v>
      </c>
      <c r="M71" s="6">
        <v>70.0</v>
      </c>
    </row>
    <row r="72">
      <c r="A72" s="6">
        <v>71.0</v>
      </c>
      <c r="B72" s="6" t="s">
        <v>5342</v>
      </c>
      <c r="C72" s="6" t="s">
        <v>5343</v>
      </c>
      <c r="D72" s="6" t="s">
        <v>5033</v>
      </c>
      <c r="E72" s="6" t="s">
        <v>5133</v>
      </c>
      <c r="F72" s="6">
        <v>50000.0</v>
      </c>
      <c r="G72" s="145">
        <v>46146.0</v>
      </c>
      <c r="I72" s="6" t="s">
        <v>5344</v>
      </c>
      <c r="J72" s="11">
        <v>-6.3799969E7</v>
      </c>
      <c r="K72" s="11">
        <v>1.068949793E9</v>
      </c>
      <c r="M72" s="6">
        <v>71.0</v>
      </c>
    </row>
    <row r="73">
      <c r="A73" s="6">
        <v>72.0</v>
      </c>
      <c r="B73" s="6" t="s">
        <v>5345</v>
      </c>
      <c r="C73" s="6" t="s">
        <v>5346</v>
      </c>
      <c r="D73" s="6" t="s">
        <v>5036</v>
      </c>
      <c r="E73" s="6" t="s">
        <v>5133</v>
      </c>
      <c r="F73" s="6">
        <v>300000.0</v>
      </c>
      <c r="G73" s="145">
        <v>46116.0</v>
      </c>
      <c r="I73" s="6" t="s">
        <v>5347</v>
      </c>
      <c r="J73" s="11">
        <v>-6.1136559E7</v>
      </c>
      <c r="K73" s="11">
        <v>1.067478596E9</v>
      </c>
      <c r="M73" s="6">
        <v>72.0</v>
      </c>
    </row>
    <row r="74">
      <c r="A74" s="6">
        <v>73.0</v>
      </c>
      <c r="B74" s="6" t="s">
        <v>5348</v>
      </c>
      <c r="C74" s="6" t="s">
        <v>5349</v>
      </c>
      <c r="D74" s="6" t="s">
        <v>5039</v>
      </c>
      <c r="E74" s="6" t="s">
        <v>5133</v>
      </c>
      <c r="F74" s="6">
        <v>5000.0</v>
      </c>
      <c r="G74" s="145">
        <v>46116.0</v>
      </c>
      <c r="I74" s="6" t="s">
        <v>5350</v>
      </c>
      <c r="J74" s="11">
        <v>-6.3041841E7</v>
      </c>
      <c r="K74" s="11">
        <v>1.069017725E9</v>
      </c>
      <c r="M74" s="6">
        <v>73.0</v>
      </c>
    </row>
    <row r="75">
      <c r="A75" s="6">
        <v>74.0</v>
      </c>
      <c r="B75" s="6" t="s">
        <v>5351</v>
      </c>
      <c r="C75" s="6" t="s">
        <v>5352</v>
      </c>
      <c r="D75" s="6" t="s">
        <v>5039</v>
      </c>
      <c r="E75" s="6" t="s">
        <v>5133</v>
      </c>
      <c r="F75" s="6">
        <v>0.0</v>
      </c>
      <c r="G75" s="145">
        <v>46177.0</v>
      </c>
      <c r="H75" s="6">
        <v>120.0</v>
      </c>
      <c r="I75" s="6" t="s">
        <v>5353</v>
      </c>
      <c r="J75" s="11">
        <v>-6267513.0</v>
      </c>
      <c r="K75" s="11">
        <v>1.06824107E8</v>
      </c>
      <c r="M75" s="6">
        <v>74.0</v>
      </c>
    </row>
    <row r="76">
      <c r="A76" s="6">
        <v>75.0</v>
      </c>
      <c r="B76" s="6" t="s">
        <v>5354</v>
      </c>
      <c r="C76" s="6" t="s">
        <v>5355</v>
      </c>
      <c r="D76" s="6" t="s">
        <v>5036</v>
      </c>
      <c r="E76" s="6" t="s">
        <v>5133</v>
      </c>
      <c r="F76" s="6">
        <v>180000.0</v>
      </c>
      <c r="G76" s="145">
        <v>46085.0</v>
      </c>
      <c r="I76" s="6" t="s">
        <v>5356</v>
      </c>
      <c r="J76" s="11">
        <v>-6.2992718E7</v>
      </c>
      <c r="K76" s="11">
        <v>1.0689151E7</v>
      </c>
      <c r="M76" s="6">
        <v>75.0</v>
      </c>
    </row>
    <row r="77">
      <c r="A77" s="6">
        <v>76.0</v>
      </c>
      <c r="B77" s="6" t="s">
        <v>5357</v>
      </c>
      <c r="C77" s="6" t="s">
        <v>5358</v>
      </c>
      <c r="D77" s="6" t="s">
        <v>5036</v>
      </c>
      <c r="E77" s="6" t="s">
        <v>5133</v>
      </c>
      <c r="F77" s="6">
        <v>20000.0</v>
      </c>
      <c r="G77" s="145">
        <v>46146.0</v>
      </c>
      <c r="I77" s="6" t="s">
        <v>5359</v>
      </c>
      <c r="J77" s="11">
        <v>-6.1810843E7</v>
      </c>
      <c r="K77" s="11">
        <v>1.067954476E9</v>
      </c>
      <c r="M77" s="6">
        <v>76.0</v>
      </c>
    </row>
    <row r="78">
      <c r="A78" s="6">
        <v>77.0</v>
      </c>
      <c r="B78" s="6" t="s">
        <v>5360</v>
      </c>
      <c r="C78" s="6" t="s">
        <v>5361</v>
      </c>
      <c r="D78" s="6" t="s">
        <v>5036</v>
      </c>
      <c r="E78" s="6" t="s">
        <v>5133</v>
      </c>
      <c r="F78" s="6">
        <v>0.0</v>
      </c>
      <c r="G78" s="145">
        <v>46116.0</v>
      </c>
      <c r="H78" s="6">
        <v>60.0</v>
      </c>
      <c r="I78" s="6" t="s">
        <v>5362</v>
      </c>
      <c r="J78" s="11">
        <v>-6.2371409E7</v>
      </c>
      <c r="K78" s="11">
        <v>1.068526505E9</v>
      </c>
      <c r="M78" s="6">
        <v>77.0</v>
      </c>
    </row>
    <row r="79">
      <c r="A79" s="6">
        <v>78.0</v>
      </c>
      <c r="B79" s="6" t="s">
        <v>5363</v>
      </c>
      <c r="C79" s="6" t="s">
        <v>5364</v>
      </c>
      <c r="D79" s="6" t="s">
        <v>5036</v>
      </c>
      <c r="E79" s="6" t="s">
        <v>5133</v>
      </c>
      <c r="F79" s="6">
        <v>1000.0</v>
      </c>
      <c r="G79" s="145">
        <v>46085.0</v>
      </c>
      <c r="I79" s="6" t="s">
        <v>5365</v>
      </c>
      <c r="J79" s="11">
        <v>-6.2106945E7</v>
      </c>
      <c r="K79" s="11">
        <v>1.067643954E9</v>
      </c>
      <c r="M79" s="6">
        <v>78.0</v>
      </c>
    </row>
    <row r="80">
      <c r="A80" s="6">
        <v>79.0</v>
      </c>
      <c r="B80" s="6" t="s">
        <v>5366</v>
      </c>
      <c r="C80" s="6" t="s">
        <v>5367</v>
      </c>
      <c r="D80" s="6" t="s">
        <v>5036</v>
      </c>
      <c r="E80" s="6" t="s">
        <v>5133</v>
      </c>
      <c r="F80" s="6">
        <v>0.0</v>
      </c>
      <c r="G80" s="145">
        <v>46177.0</v>
      </c>
      <c r="H80" s="6">
        <v>30.0</v>
      </c>
      <c r="I80" s="6" t="s">
        <v>5368</v>
      </c>
      <c r="J80" s="11">
        <v>-6.3226133E7</v>
      </c>
      <c r="K80" s="11">
        <v>1.068241871E9</v>
      </c>
      <c r="M80" s="6">
        <v>79.0</v>
      </c>
    </row>
    <row r="81">
      <c r="A81" s="6">
        <v>80.0</v>
      </c>
      <c r="B81" s="6" t="s">
        <v>5369</v>
      </c>
      <c r="C81" s="6" t="s">
        <v>5370</v>
      </c>
      <c r="D81" s="6" t="s">
        <v>129</v>
      </c>
      <c r="E81" s="6" t="s">
        <v>5133</v>
      </c>
      <c r="F81" s="6">
        <v>0.0</v>
      </c>
      <c r="G81" s="145">
        <v>46207.0</v>
      </c>
      <c r="H81" s="6">
        <v>120.0</v>
      </c>
      <c r="I81" s="6" t="s">
        <v>5371</v>
      </c>
      <c r="J81" s="11">
        <v>-6.1939259E7</v>
      </c>
      <c r="K81" s="11">
        <v>1.068222158E9</v>
      </c>
      <c r="M81" s="6">
        <v>80.0</v>
      </c>
    </row>
    <row r="82">
      <c r="A82" s="6">
        <v>81.0</v>
      </c>
      <c r="B82" s="6" t="s">
        <v>5372</v>
      </c>
      <c r="C82" s="6" t="s">
        <v>5373</v>
      </c>
      <c r="D82" s="6" t="s">
        <v>129</v>
      </c>
      <c r="E82" s="6" t="s">
        <v>5133</v>
      </c>
      <c r="F82" s="6">
        <v>0.0</v>
      </c>
      <c r="G82" s="145">
        <v>46116.0</v>
      </c>
      <c r="H82" s="6">
        <v>60.0</v>
      </c>
      <c r="I82" s="6" t="s">
        <v>5374</v>
      </c>
      <c r="J82" s="11">
        <v>-6.1946096E7</v>
      </c>
      <c r="K82" s="11">
        <v>1.06817905E8</v>
      </c>
      <c r="M82" s="6">
        <v>81.0</v>
      </c>
    </row>
    <row r="83">
      <c r="A83" s="6">
        <v>82.0</v>
      </c>
      <c r="B83" s="6" t="s">
        <v>5375</v>
      </c>
      <c r="C83" s="6" t="s">
        <v>5376</v>
      </c>
      <c r="D83" s="6" t="s">
        <v>5039</v>
      </c>
      <c r="E83" s="6" t="s">
        <v>5133</v>
      </c>
      <c r="F83" s="6">
        <v>5000.0</v>
      </c>
      <c r="G83" s="145">
        <v>46146.0</v>
      </c>
      <c r="H83" s="6">
        <v>150.0</v>
      </c>
      <c r="I83" s="6" t="s">
        <v>5377</v>
      </c>
      <c r="J83" s="11">
        <v>-6.2316985E7</v>
      </c>
      <c r="K83" s="11">
        <v>1.068185425E9</v>
      </c>
      <c r="M83" s="6">
        <v>82.0</v>
      </c>
    </row>
    <row r="84">
      <c r="A84" s="6">
        <v>83.0</v>
      </c>
      <c r="B84" s="6" t="s">
        <v>5378</v>
      </c>
      <c r="C84" s="6" t="s">
        <v>5379</v>
      </c>
      <c r="D84" s="6" t="s">
        <v>5036</v>
      </c>
      <c r="E84" s="6" t="s">
        <v>5133</v>
      </c>
      <c r="F84" s="6">
        <v>200000.0</v>
      </c>
      <c r="G84" s="145">
        <v>46085.0</v>
      </c>
      <c r="I84" s="6" t="s">
        <v>5380</v>
      </c>
      <c r="J84" s="11">
        <v>-6.1175344E7</v>
      </c>
      <c r="K84" s="11">
        <v>1.06857313E8</v>
      </c>
      <c r="M84" s="6">
        <v>83.0</v>
      </c>
    </row>
    <row r="85">
      <c r="A85" s="6">
        <v>84.0</v>
      </c>
      <c r="B85" s="6" t="s">
        <v>5381</v>
      </c>
      <c r="C85" s="6" t="s">
        <v>5382</v>
      </c>
      <c r="D85" s="6" t="s">
        <v>129</v>
      </c>
      <c r="E85" s="6" t="s">
        <v>5133</v>
      </c>
      <c r="F85" s="6">
        <v>0.0</v>
      </c>
      <c r="G85" s="145">
        <v>46177.0</v>
      </c>
      <c r="I85" s="6" t="s">
        <v>5383</v>
      </c>
      <c r="J85" s="11">
        <v>-6.1842588E7</v>
      </c>
      <c r="K85" s="11">
        <v>1.06824033E8</v>
      </c>
      <c r="M85" s="6">
        <v>84.0</v>
      </c>
    </row>
    <row r="86">
      <c r="A86" s="6">
        <v>85.0</v>
      </c>
      <c r="B86" s="6" t="s">
        <v>5384</v>
      </c>
      <c r="C86" s="6" t="s">
        <v>5385</v>
      </c>
      <c r="D86" s="6" t="s">
        <v>5036</v>
      </c>
      <c r="E86" s="6" t="s">
        <v>5386</v>
      </c>
      <c r="F86" s="6">
        <v>6000.0</v>
      </c>
      <c r="G86" s="145">
        <v>46146.0</v>
      </c>
      <c r="H86" s="6">
        <v>120.0</v>
      </c>
      <c r="I86" s="6" t="s">
        <v>5387</v>
      </c>
      <c r="J86" s="11">
        <v>-7.8006715E7</v>
      </c>
      <c r="K86" s="11">
        <v>1.103676551E9</v>
      </c>
      <c r="M86" s="6">
        <v>85.0</v>
      </c>
    </row>
    <row r="87">
      <c r="A87" s="6">
        <v>86.0</v>
      </c>
      <c r="B87" s="6" t="s">
        <v>5388</v>
      </c>
      <c r="C87" s="6" t="s">
        <v>5389</v>
      </c>
      <c r="D87" s="6" t="s">
        <v>5039</v>
      </c>
      <c r="E87" s="6" t="s">
        <v>5386</v>
      </c>
      <c r="F87" s="6">
        <v>15000.0</v>
      </c>
      <c r="G87" s="145">
        <v>46177.0</v>
      </c>
      <c r="I87" s="6" t="s">
        <v>5390</v>
      </c>
      <c r="J87" s="11">
        <v>-7.8052845E7</v>
      </c>
      <c r="K87" s="11">
        <v>1.103642031E9</v>
      </c>
      <c r="M87" s="6">
        <v>86.0</v>
      </c>
    </row>
    <row r="88">
      <c r="A88" s="6">
        <v>87.0</v>
      </c>
      <c r="B88" s="6" t="s">
        <v>5391</v>
      </c>
      <c r="C88" s="6" t="s">
        <v>5392</v>
      </c>
      <c r="D88" s="6" t="s">
        <v>5036</v>
      </c>
      <c r="E88" s="6" t="s">
        <v>5386</v>
      </c>
      <c r="F88" s="6">
        <v>20000.0</v>
      </c>
      <c r="G88" s="145">
        <v>46057.0</v>
      </c>
      <c r="H88" s="6">
        <v>120.0</v>
      </c>
      <c r="I88" s="6" t="s">
        <v>5393</v>
      </c>
      <c r="J88" s="11">
        <v>-7.7672973E7</v>
      </c>
      <c r="K88" s="11">
        <v>1.103542486E9</v>
      </c>
      <c r="M88" s="6">
        <v>87.0</v>
      </c>
    </row>
    <row r="89">
      <c r="A89" s="6">
        <v>88.0</v>
      </c>
      <c r="B89" s="6" t="s">
        <v>5394</v>
      </c>
      <c r="C89" s="6" t="s">
        <v>5395</v>
      </c>
      <c r="D89" s="6" t="s">
        <v>5039</v>
      </c>
      <c r="E89" s="6" t="s">
        <v>5386</v>
      </c>
      <c r="F89" s="6">
        <v>3000.0</v>
      </c>
      <c r="G89" s="145">
        <v>46177.0</v>
      </c>
      <c r="H89" s="6">
        <v>120.0</v>
      </c>
      <c r="I89" s="6" t="s">
        <v>5396</v>
      </c>
      <c r="J89" s="11">
        <v>-7.8002016E7</v>
      </c>
      <c r="K89" s="11">
        <v>1.103663044E9</v>
      </c>
      <c r="M89" s="6">
        <v>88.0</v>
      </c>
    </row>
    <row r="90">
      <c r="A90" s="6">
        <v>89.0</v>
      </c>
      <c r="B90" s="6" t="s">
        <v>5397</v>
      </c>
      <c r="C90" s="6" t="s">
        <v>5398</v>
      </c>
      <c r="D90" s="6" t="s">
        <v>5039</v>
      </c>
      <c r="E90" s="6" t="s">
        <v>5386</v>
      </c>
      <c r="F90" s="6">
        <v>50000.0</v>
      </c>
      <c r="G90" s="145">
        <v>46116.0</v>
      </c>
      <c r="I90" s="6" t="s">
        <v>5399</v>
      </c>
      <c r="J90" s="11">
        <v>-7.8163156E7</v>
      </c>
      <c r="K90" s="11">
        <v>1.103871442E9</v>
      </c>
      <c r="M90" s="6">
        <v>89.0</v>
      </c>
    </row>
    <row r="91">
      <c r="A91" s="6">
        <v>90.0</v>
      </c>
      <c r="B91" s="6" t="s">
        <v>5400</v>
      </c>
      <c r="C91" s="6" t="s">
        <v>5401</v>
      </c>
      <c r="D91" s="6" t="s">
        <v>5036</v>
      </c>
      <c r="E91" s="6" t="s">
        <v>5386</v>
      </c>
      <c r="F91" s="6">
        <v>5000.0</v>
      </c>
      <c r="G91" s="145">
        <v>46177.0</v>
      </c>
      <c r="I91" s="6" t="s">
        <v>5402</v>
      </c>
      <c r="J91" s="11">
        <v>-7.8100673E7</v>
      </c>
      <c r="K91" s="11">
        <v>1.103594581E9</v>
      </c>
      <c r="M91" s="6">
        <v>90.0</v>
      </c>
    </row>
    <row r="92">
      <c r="A92" s="6">
        <v>91.0</v>
      </c>
      <c r="B92" s="6" t="s">
        <v>5403</v>
      </c>
      <c r="C92" s="6" t="s">
        <v>5404</v>
      </c>
      <c r="D92" s="6" t="s">
        <v>5036</v>
      </c>
      <c r="E92" s="6" t="s">
        <v>5386</v>
      </c>
      <c r="F92" s="6">
        <v>0.0</v>
      </c>
      <c r="G92" s="145">
        <v>46116.0</v>
      </c>
      <c r="H92" s="6">
        <v>60.0</v>
      </c>
      <c r="I92" s="6" t="s">
        <v>5405</v>
      </c>
      <c r="J92" s="11">
        <v>-7.8102685E7</v>
      </c>
      <c r="K92" s="11">
        <v>1.103931513E9</v>
      </c>
      <c r="M92" s="6">
        <v>91.0</v>
      </c>
    </row>
    <row r="93">
      <c r="A93" s="6">
        <v>92.0</v>
      </c>
      <c r="B93" s="6" t="s">
        <v>5406</v>
      </c>
      <c r="C93" s="6" t="s">
        <v>5407</v>
      </c>
      <c r="D93" s="6" t="s">
        <v>5036</v>
      </c>
      <c r="E93" s="6" t="s">
        <v>5386</v>
      </c>
      <c r="F93" s="6">
        <v>0.0</v>
      </c>
      <c r="G93" s="145">
        <v>46207.0</v>
      </c>
      <c r="H93" s="6">
        <v>45.0</v>
      </c>
      <c r="I93" s="6" t="s">
        <v>5408</v>
      </c>
      <c r="J93" s="11">
        <v>-7.8013803E7</v>
      </c>
      <c r="K93" s="11">
        <v>1.103647652E9</v>
      </c>
      <c r="M93" s="6">
        <v>92.0</v>
      </c>
    </row>
    <row r="94">
      <c r="A94" s="6">
        <v>93.0</v>
      </c>
      <c r="B94" s="6" t="s">
        <v>5409</v>
      </c>
      <c r="C94" s="6" t="s">
        <v>5410</v>
      </c>
      <c r="D94" s="6" t="s">
        <v>5033</v>
      </c>
      <c r="E94" s="6" t="s">
        <v>5386</v>
      </c>
      <c r="F94" s="6">
        <v>60000.0</v>
      </c>
      <c r="G94" s="145">
        <v>46146.0</v>
      </c>
      <c r="I94" s="6" t="s">
        <v>5411</v>
      </c>
      <c r="J94" s="11">
        <v>-7.8062344E7</v>
      </c>
      <c r="K94" s="11">
        <v>1.103967977E9</v>
      </c>
      <c r="M94" s="6">
        <v>93.0</v>
      </c>
    </row>
    <row r="95">
      <c r="A95" s="6">
        <v>94.0</v>
      </c>
      <c r="B95" s="6" t="s">
        <v>5412</v>
      </c>
      <c r="C95" s="6" t="s">
        <v>5413</v>
      </c>
      <c r="D95" s="6" t="s">
        <v>5036</v>
      </c>
      <c r="E95" s="6" t="s">
        <v>5386</v>
      </c>
      <c r="F95" s="6">
        <v>7000.0</v>
      </c>
      <c r="G95" s="145">
        <v>46146.0</v>
      </c>
      <c r="I95" s="6" t="s">
        <v>5414</v>
      </c>
      <c r="J95" s="11">
        <v>-7.8087911E7</v>
      </c>
      <c r="K95" s="11">
        <v>1.103591825E9</v>
      </c>
      <c r="M95" s="6">
        <v>94.0</v>
      </c>
    </row>
    <row r="96">
      <c r="A96" s="6">
        <v>95.0</v>
      </c>
      <c r="B96" s="6" t="s">
        <v>5415</v>
      </c>
      <c r="C96" s="6" t="s">
        <v>5416</v>
      </c>
      <c r="D96" s="6" t="s">
        <v>5036</v>
      </c>
      <c r="E96" s="6" t="s">
        <v>5386</v>
      </c>
      <c r="F96" s="6">
        <v>0.0</v>
      </c>
      <c r="G96" s="6">
        <v>5.0</v>
      </c>
      <c r="I96" s="6" t="s">
        <v>5417</v>
      </c>
      <c r="J96" s="11">
        <v>-7.8229089E7</v>
      </c>
      <c r="K96" s="11">
        <v>1.103756894E9</v>
      </c>
      <c r="M96" s="6">
        <v>95.0</v>
      </c>
    </row>
    <row r="97">
      <c r="A97" s="6">
        <v>96.0</v>
      </c>
      <c r="B97" s="6" t="s">
        <v>5418</v>
      </c>
      <c r="C97" s="6" t="s">
        <v>5419</v>
      </c>
      <c r="D97" s="6" t="s">
        <v>5036</v>
      </c>
      <c r="E97" s="6" t="s">
        <v>5386</v>
      </c>
      <c r="F97" s="6">
        <v>0.0</v>
      </c>
      <c r="G97" s="145">
        <v>46177.0</v>
      </c>
      <c r="H97" s="6">
        <v>60.0</v>
      </c>
      <c r="I97" s="6" t="s">
        <v>5420</v>
      </c>
      <c r="J97" s="11">
        <v>-7.8116719E7</v>
      </c>
      <c r="K97" s="11">
        <v>1.10363238E8</v>
      </c>
      <c r="M97" s="6">
        <v>96.0</v>
      </c>
    </row>
    <row r="98">
      <c r="A98" s="6">
        <v>97.0</v>
      </c>
      <c r="B98" s="6" t="s">
        <v>5421</v>
      </c>
      <c r="C98" s="6" t="s">
        <v>5422</v>
      </c>
      <c r="D98" s="6" t="s">
        <v>5039</v>
      </c>
      <c r="E98" s="6" t="s">
        <v>5386</v>
      </c>
      <c r="F98" s="6">
        <v>15000.0</v>
      </c>
      <c r="G98" s="145">
        <v>46146.0</v>
      </c>
      <c r="H98" s="6">
        <v>30.0</v>
      </c>
      <c r="I98" s="6" t="s">
        <v>5423</v>
      </c>
      <c r="J98" s="11">
        <v>-7.7495904E7</v>
      </c>
      <c r="K98" s="11">
        <v>1.103696068E9</v>
      </c>
      <c r="M98" s="6">
        <v>97.0</v>
      </c>
    </row>
    <row r="99">
      <c r="A99" s="6">
        <v>98.0</v>
      </c>
      <c r="B99" s="6" t="s">
        <v>5424</v>
      </c>
      <c r="C99" s="6" t="s">
        <v>5425</v>
      </c>
      <c r="D99" s="6" t="s">
        <v>5036</v>
      </c>
      <c r="E99" s="6" t="s">
        <v>5386</v>
      </c>
      <c r="F99" s="6">
        <v>15000.0</v>
      </c>
      <c r="G99" s="145">
        <v>46085.0</v>
      </c>
      <c r="H99" s="6">
        <v>60.0</v>
      </c>
      <c r="I99" s="6" t="s">
        <v>5426</v>
      </c>
      <c r="J99" s="11">
        <v>-7.7505259E7</v>
      </c>
      <c r="K99" s="11">
        <v>1.103687049E9</v>
      </c>
      <c r="M99" s="6">
        <v>98.0</v>
      </c>
    </row>
    <row r="100">
      <c r="A100" s="6">
        <v>99.0</v>
      </c>
      <c r="B100" s="6" t="s">
        <v>5427</v>
      </c>
      <c r="C100" s="6" t="s">
        <v>5428</v>
      </c>
      <c r="D100" s="6" t="s">
        <v>5039</v>
      </c>
      <c r="E100" s="6" t="s">
        <v>5386</v>
      </c>
      <c r="F100" s="6">
        <v>0.0</v>
      </c>
      <c r="G100" s="145">
        <v>46116.0</v>
      </c>
      <c r="I100" s="6" t="s">
        <v>5429</v>
      </c>
      <c r="J100" s="11">
        <v>-7806093.0</v>
      </c>
      <c r="K100" s="11">
        <v>1.1035831E7</v>
      </c>
      <c r="M100" s="6">
        <v>99.0</v>
      </c>
    </row>
    <row r="101">
      <c r="A101" s="6">
        <v>100.0</v>
      </c>
      <c r="B101" s="6" t="s">
        <v>5430</v>
      </c>
      <c r="C101" s="6" t="s">
        <v>5431</v>
      </c>
      <c r="D101" s="6" t="s">
        <v>5039</v>
      </c>
      <c r="E101" s="6" t="s">
        <v>5386</v>
      </c>
      <c r="F101" s="6">
        <v>0.0</v>
      </c>
      <c r="G101" s="145">
        <v>46146.0</v>
      </c>
      <c r="H101" s="6">
        <v>210.0</v>
      </c>
      <c r="I101" s="6" t="s">
        <v>5432</v>
      </c>
      <c r="J101" s="11">
        <v>-7.8001041E7</v>
      </c>
      <c r="K101" s="11">
        <v>1.103676579E9</v>
      </c>
      <c r="M101" s="6">
        <v>100.0</v>
      </c>
    </row>
    <row r="102">
      <c r="A102" s="6">
        <v>101.0</v>
      </c>
      <c r="B102" s="6" t="s">
        <v>5433</v>
      </c>
      <c r="C102" s="6" t="s">
        <v>5434</v>
      </c>
      <c r="D102" s="6" t="s">
        <v>5039</v>
      </c>
      <c r="E102" s="6" t="s">
        <v>5386</v>
      </c>
      <c r="F102" s="6">
        <v>0.0</v>
      </c>
      <c r="G102" s="6">
        <v>4.0</v>
      </c>
      <c r="I102" s="6" t="s">
        <v>5435</v>
      </c>
      <c r="J102" s="11">
        <v>-779219.0</v>
      </c>
      <c r="K102" s="11">
        <v>1.10362151E8</v>
      </c>
      <c r="M102" s="6">
        <v>101.0</v>
      </c>
    </row>
    <row r="103">
      <c r="A103" s="6">
        <v>102.0</v>
      </c>
      <c r="B103" s="6" t="s">
        <v>5436</v>
      </c>
      <c r="C103" s="6" t="s">
        <v>5437</v>
      </c>
      <c r="D103" s="6" t="s">
        <v>5039</v>
      </c>
      <c r="E103" s="6" t="s">
        <v>5386</v>
      </c>
      <c r="F103" s="6">
        <v>40000.0</v>
      </c>
      <c r="G103" s="145">
        <v>46146.0</v>
      </c>
      <c r="H103" s="6">
        <v>15.0</v>
      </c>
      <c r="I103" s="6" t="s">
        <v>5438</v>
      </c>
      <c r="J103" s="11">
        <v>-7.8011159E7</v>
      </c>
      <c r="K103" s="11">
        <v>1.103646172E9</v>
      </c>
      <c r="M103" s="6">
        <v>102.0</v>
      </c>
    </row>
    <row r="104">
      <c r="A104" s="6">
        <v>103.0</v>
      </c>
      <c r="B104" s="6" t="s">
        <v>5439</v>
      </c>
      <c r="C104" s="6" t="s">
        <v>5440</v>
      </c>
      <c r="D104" s="6" t="s">
        <v>5036</v>
      </c>
      <c r="E104" s="6" t="s">
        <v>5386</v>
      </c>
      <c r="F104" s="6">
        <v>0.0</v>
      </c>
      <c r="G104" s="145">
        <v>46207.0</v>
      </c>
      <c r="H104" s="6">
        <v>15.0</v>
      </c>
      <c r="I104" s="6" t="s">
        <v>5441</v>
      </c>
      <c r="J104" s="11">
        <v>-7.7829437E7</v>
      </c>
      <c r="K104" s="11">
        <v>1.103670548E9</v>
      </c>
      <c r="M104" s="6">
        <v>103.0</v>
      </c>
    </row>
    <row r="105">
      <c r="A105" s="6">
        <v>104.0</v>
      </c>
      <c r="B105" s="6" t="s">
        <v>5442</v>
      </c>
      <c r="C105" s="6" t="s">
        <v>5443</v>
      </c>
      <c r="D105" s="6" t="s">
        <v>5039</v>
      </c>
      <c r="E105" s="6" t="s">
        <v>5386</v>
      </c>
      <c r="F105" s="6">
        <v>20000.0</v>
      </c>
      <c r="G105" s="145">
        <v>46116.0</v>
      </c>
      <c r="I105" s="6" t="s">
        <v>5444</v>
      </c>
      <c r="J105" s="11">
        <v>-7.7815714E7</v>
      </c>
      <c r="K105" s="11">
        <v>1.105045827E9</v>
      </c>
      <c r="M105" s="6">
        <v>104.0</v>
      </c>
    </row>
    <row r="106">
      <c r="A106" s="6">
        <v>105.0</v>
      </c>
      <c r="B106" s="6" t="s">
        <v>5445</v>
      </c>
      <c r="C106" s="6" t="s">
        <v>5446</v>
      </c>
      <c r="D106" s="6" t="s">
        <v>5039</v>
      </c>
      <c r="E106" s="6" t="s">
        <v>5386</v>
      </c>
      <c r="F106" s="6">
        <v>0.0</v>
      </c>
      <c r="G106" s="145">
        <v>46116.0</v>
      </c>
      <c r="H106" s="6">
        <v>25.0</v>
      </c>
      <c r="I106" s="6" t="s">
        <v>5447</v>
      </c>
      <c r="J106" s="11">
        <v>-7.7955613E7</v>
      </c>
      <c r="K106" s="11">
        <v>1.103612095E9</v>
      </c>
      <c r="M106" s="6">
        <v>105.0</v>
      </c>
    </row>
    <row r="107">
      <c r="A107" s="6">
        <v>106.0</v>
      </c>
      <c r="B107" s="6" t="s">
        <v>5448</v>
      </c>
      <c r="C107" s="6" t="s">
        <v>5449</v>
      </c>
      <c r="D107" s="6" t="s">
        <v>5036</v>
      </c>
      <c r="E107" s="6" t="s">
        <v>5386</v>
      </c>
      <c r="F107" s="6">
        <v>0.0</v>
      </c>
      <c r="G107" s="145">
        <v>46238.0</v>
      </c>
      <c r="I107" s="6" t="s">
        <v>5450</v>
      </c>
      <c r="J107" s="11">
        <v>-7793167.0</v>
      </c>
      <c r="K107" s="11">
        <v>1.103655238E9</v>
      </c>
      <c r="M107" s="6">
        <v>106.0</v>
      </c>
    </row>
    <row r="108">
      <c r="A108" s="6">
        <v>107.0</v>
      </c>
      <c r="B108" s="6" t="s">
        <v>5451</v>
      </c>
      <c r="C108" s="6" t="s">
        <v>5452</v>
      </c>
      <c r="D108" s="6" t="s">
        <v>5039</v>
      </c>
      <c r="E108" s="6" t="s">
        <v>5386</v>
      </c>
      <c r="F108" s="6">
        <v>5000.0</v>
      </c>
      <c r="G108" s="145">
        <v>46177.0</v>
      </c>
      <c r="I108" s="6" t="s">
        <v>5453</v>
      </c>
      <c r="J108" s="11">
        <v>-7.8052843E7</v>
      </c>
      <c r="K108" s="11">
        <v>1.103642137E9</v>
      </c>
      <c r="M108" s="6">
        <v>107.0</v>
      </c>
    </row>
    <row r="109">
      <c r="A109" s="6">
        <v>108.0</v>
      </c>
      <c r="B109" s="6" t="s">
        <v>5454</v>
      </c>
      <c r="C109" s="6" t="s">
        <v>5455</v>
      </c>
      <c r="D109" s="6" t="s">
        <v>5036</v>
      </c>
      <c r="E109" s="6" t="s">
        <v>5386</v>
      </c>
      <c r="F109" s="6">
        <v>0.0</v>
      </c>
      <c r="G109" s="145">
        <v>46116.0</v>
      </c>
      <c r="I109" s="6" t="s">
        <v>5456</v>
      </c>
      <c r="J109" s="11">
        <v>-7756227.0</v>
      </c>
      <c r="K109" s="11">
        <v>1.104150131E9</v>
      </c>
      <c r="M109" s="6">
        <v>108.0</v>
      </c>
    </row>
    <row r="110">
      <c r="A110" s="6">
        <v>109.0</v>
      </c>
      <c r="B110" s="6" t="s">
        <v>5457</v>
      </c>
      <c r="C110" s="6" t="s">
        <v>5458</v>
      </c>
      <c r="D110" s="6" t="s">
        <v>5036</v>
      </c>
      <c r="E110" s="6" t="s">
        <v>5386</v>
      </c>
      <c r="F110" s="6">
        <v>3000.0</v>
      </c>
      <c r="G110" s="145">
        <v>46146.0</v>
      </c>
      <c r="I110" s="6" t="s">
        <v>5459</v>
      </c>
      <c r="J110" s="11">
        <v>-7.8704832E7</v>
      </c>
      <c r="K110" s="11">
        <v>1.104599108E9</v>
      </c>
      <c r="M110" s="6">
        <v>109.0</v>
      </c>
    </row>
    <row r="111">
      <c r="A111" s="6">
        <v>110.0</v>
      </c>
      <c r="B111" s="6" t="s">
        <v>5460</v>
      </c>
      <c r="C111" s="6" t="s">
        <v>5461</v>
      </c>
      <c r="D111" s="6" t="s">
        <v>5036</v>
      </c>
      <c r="E111" s="6" t="s">
        <v>5386</v>
      </c>
      <c r="F111" s="6">
        <v>3000.0</v>
      </c>
      <c r="G111" s="145">
        <v>46177.0</v>
      </c>
      <c r="I111" s="6" t="s">
        <v>5462</v>
      </c>
      <c r="J111" s="11">
        <v>-7.8010124E7</v>
      </c>
      <c r="K111" s="11">
        <v>1.103653376E9</v>
      </c>
      <c r="M111" s="6">
        <v>110.0</v>
      </c>
    </row>
    <row r="112">
      <c r="A112" s="6">
        <v>111.0</v>
      </c>
      <c r="B112" s="6" t="s">
        <v>5463</v>
      </c>
      <c r="C112" s="6" t="s">
        <v>5464</v>
      </c>
      <c r="D112" s="6" t="s">
        <v>5036</v>
      </c>
      <c r="E112" s="6" t="s">
        <v>5386</v>
      </c>
      <c r="F112" s="6">
        <v>3000.0</v>
      </c>
      <c r="G112" s="145">
        <v>46146.0</v>
      </c>
      <c r="I112" s="6" t="s">
        <v>5465</v>
      </c>
      <c r="J112" s="11">
        <v>-7.9020355E7</v>
      </c>
      <c r="K112" s="11">
        <v>1.104374627E9</v>
      </c>
      <c r="M112" s="6">
        <v>111.0</v>
      </c>
    </row>
    <row r="113">
      <c r="A113" s="6">
        <v>112.0</v>
      </c>
      <c r="B113" s="6" t="s">
        <v>5466</v>
      </c>
      <c r="C113" s="6" t="s">
        <v>5467</v>
      </c>
      <c r="D113" s="6" t="s">
        <v>5036</v>
      </c>
      <c r="E113" s="6" t="s">
        <v>5386</v>
      </c>
      <c r="F113" s="6">
        <v>25000.0</v>
      </c>
      <c r="G113" s="145">
        <v>46146.0</v>
      </c>
      <c r="H113" s="6">
        <v>90.0</v>
      </c>
      <c r="I113" s="6" t="s">
        <v>5468</v>
      </c>
      <c r="J113" s="11">
        <v>-7.8458407E7</v>
      </c>
      <c r="K113" s="11">
        <v>1.104798457E9</v>
      </c>
      <c r="M113" s="6">
        <v>112.0</v>
      </c>
    </row>
    <row r="114">
      <c r="A114" s="6">
        <v>113.0</v>
      </c>
      <c r="B114" s="6" t="s">
        <v>5469</v>
      </c>
      <c r="C114" s="6" t="s">
        <v>5470</v>
      </c>
      <c r="D114" s="6" t="s">
        <v>5039</v>
      </c>
      <c r="E114" s="6" t="s">
        <v>5386</v>
      </c>
      <c r="F114" s="6">
        <v>0.0</v>
      </c>
      <c r="G114" s="145">
        <v>46177.0</v>
      </c>
      <c r="I114" s="6" t="s">
        <v>5471</v>
      </c>
      <c r="J114" s="11">
        <v>-7.8001506E7</v>
      </c>
      <c r="K114" s="11">
        <v>1.103637507E9</v>
      </c>
      <c r="M114" s="6">
        <v>113.0</v>
      </c>
    </row>
    <row r="115">
      <c r="A115" s="6">
        <v>114.0</v>
      </c>
      <c r="B115" s="6" t="s">
        <v>5472</v>
      </c>
      <c r="C115" s="6" t="s">
        <v>5473</v>
      </c>
      <c r="D115" s="6" t="s">
        <v>5036</v>
      </c>
      <c r="E115" s="6" t="s">
        <v>5386</v>
      </c>
      <c r="F115" s="6">
        <v>30000.0</v>
      </c>
      <c r="G115" s="145">
        <v>46085.0</v>
      </c>
      <c r="I115" s="6" t="s">
        <v>5474</v>
      </c>
      <c r="J115" s="11">
        <v>-7.6041648E7</v>
      </c>
      <c r="K115" s="11">
        <v>1.104510042E9</v>
      </c>
      <c r="M115" s="6">
        <v>114.0</v>
      </c>
    </row>
    <row r="116">
      <c r="A116" s="6">
        <v>115.0</v>
      </c>
      <c r="B116" s="6" t="s">
        <v>5475</v>
      </c>
      <c r="C116" s="6" t="s">
        <v>5476</v>
      </c>
      <c r="D116" s="6" t="s">
        <v>5039</v>
      </c>
      <c r="E116" s="6" t="s">
        <v>5386</v>
      </c>
      <c r="F116" s="6">
        <v>15000.0</v>
      </c>
      <c r="G116" s="145">
        <v>46085.0</v>
      </c>
      <c r="I116" s="6" t="s">
        <v>5477</v>
      </c>
      <c r="J116" s="11">
        <v>-7.7881728E7</v>
      </c>
      <c r="K116" s="11">
        <v>1.103715403E9</v>
      </c>
      <c r="M116" s="6">
        <v>115.0</v>
      </c>
    </row>
    <row r="117">
      <c r="A117" s="6">
        <v>116.0</v>
      </c>
      <c r="B117" s="6" t="s">
        <v>5478</v>
      </c>
      <c r="C117" s="6" t="s">
        <v>5479</v>
      </c>
      <c r="D117" s="6" t="s">
        <v>5036</v>
      </c>
      <c r="E117" s="6" t="s">
        <v>5386</v>
      </c>
      <c r="F117" s="6">
        <v>2500.0</v>
      </c>
      <c r="G117" s="145">
        <v>46146.0</v>
      </c>
      <c r="H117" s="6">
        <v>45.0</v>
      </c>
      <c r="I117" s="6" t="s">
        <v>5480</v>
      </c>
      <c r="J117" s="11">
        <v>-7.9401065E7</v>
      </c>
      <c r="K117" s="11">
        <v>1.104300062E9</v>
      </c>
      <c r="M117" s="6">
        <v>116.0</v>
      </c>
    </row>
    <row r="118">
      <c r="A118" s="6">
        <v>117.0</v>
      </c>
      <c r="B118" s="6" t="s">
        <v>5481</v>
      </c>
      <c r="C118" s="6" t="s">
        <v>5482</v>
      </c>
      <c r="D118" s="6" t="s">
        <v>5036</v>
      </c>
      <c r="E118" s="6" t="s">
        <v>5386</v>
      </c>
      <c r="F118" s="6">
        <v>22000.0</v>
      </c>
      <c r="G118" s="145">
        <v>46057.0</v>
      </c>
      <c r="H118" s="6">
        <v>90.0</v>
      </c>
      <c r="I118" s="6" t="s">
        <v>5483</v>
      </c>
      <c r="J118" s="11">
        <v>-7.6209046E7</v>
      </c>
      <c r="K118" s="11">
        <v>1.104216275E9</v>
      </c>
      <c r="M118" s="6">
        <v>117.0</v>
      </c>
    </row>
    <row r="119">
      <c r="A119" s="6">
        <v>118.0</v>
      </c>
      <c r="B119" s="6" t="s">
        <v>5484</v>
      </c>
      <c r="C119" s="6" t="s">
        <v>5485</v>
      </c>
      <c r="D119" s="6" t="s">
        <v>5039</v>
      </c>
      <c r="E119" s="6" t="s">
        <v>5386</v>
      </c>
      <c r="F119" s="6">
        <v>5000.0</v>
      </c>
      <c r="G119" s="145">
        <v>46177.0</v>
      </c>
      <c r="H119" s="6">
        <v>120.0</v>
      </c>
      <c r="I119" s="6" t="s">
        <v>5486</v>
      </c>
      <c r="J119" s="11">
        <v>-7.8024499E7</v>
      </c>
      <c r="K119" s="11">
        <v>1.103639555E9</v>
      </c>
      <c r="M119" s="6">
        <v>118.0</v>
      </c>
    </row>
    <row r="120">
      <c r="A120" s="6">
        <v>119.0</v>
      </c>
      <c r="B120" s="6" t="s">
        <v>5487</v>
      </c>
      <c r="C120" s="6" t="s">
        <v>5488</v>
      </c>
      <c r="D120" s="6" t="s">
        <v>5039</v>
      </c>
      <c r="E120" s="6" t="s">
        <v>5386</v>
      </c>
      <c r="F120" s="6">
        <v>5000.0</v>
      </c>
      <c r="G120" s="145">
        <v>46116.0</v>
      </c>
      <c r="H120" s="6">
        <v>30.0</v>
      </c>
      <c r="I120" s="6" t="s">
        <v>5489</v>
      </c>
      <c r="J120" s="11">
        <v>-7.8081518E7</v>
      </c>
      <c r="K120" s="11">
        <v>1.104595183E9</v>
      </c>
      <c r="M120" s="6">
        <v>119.0</v>
      </c>
    </row>
    <row r="121">
      <c r="A121" s="6">
        <v>120.0</v>
      </c>
      <c r="B121" s="6" t="s">
        <v>5490</v>
      </c>
      <c r="C121" s="6" t="s">
        <v>5491</v>
      </c>
      <c r="D121" s="6" t="s">
        <v>5039</v>
      </c>
      <c r="E121" s="6" t="s">
        <v>5386</v>
      </c>
      <c r="F121" s="6">
        <v>250000.0</v>
      </c>
      <c r="G121" s="145">
        <v>46146.0</v>
      </c>
      <c r="H121" s="6">
        <v>90.0</v>
      </c>
      <c r="I121" s="6" t="s">
        <v>5492</v>
      </c>
      <c r="J121" s="11">
        <v>-7.9583695E7</v>
      </c>
      <c r="K121" s="11">
        <v>1.104407622E9</v>
      </c>
      <c r="M121" s="6">
        <v>120.0</v>
      </c>
    </row>
    <row r="122">
      <c r="A122" s="6">
        <v>121.0</v>
      </c>
      <c r="B122" s="6" t="s">
        <v>5493</v>
      </c>
      <c r="C122" s="6" t="s">
        <v>5494</v>
      </c>
      <c r="D122" s="6" t="s">
        <v>5039</v>
      </c>
      <c r="E122" s="6" t="s">
        <v>5386</v>
      </c>
      <c r="F122" s="6">
        <v>50000.0</v>
      </c>
      <c r="G122" s="145">
        <v>46207.0</v>
      </c>
      <c r="I122" s="6" t="s">
        <v>5495</v>
      </c>
      <c r="J122" s="11">
        <v>-7.7520206E7</v>
      </c>
      <c r="K122" s="11">
        <v>1.104914674E9</v>
      </c>
      <c r="M122" s="6">
        <v>121.0</v>
      </c>
    </row>
    <row r="123">
      <c r="A123" s="6">
        <v>122.0</v>
      </c>
      <c r="B123" s="6" t="s">
        <v>5496</v>
      </c>
      <c r="C123" s="6" t="s">
        <v>5497</v>
      </c>
      <c r="D123" s="6" t="s">
        <v>5039</v>
      </c>
      <c r="E123" s="6" t="s">
        <v>5386</v>
      </c>
      <c r="F123" s="6">
        <v>2500.0</v>
      </c>
      <c r="G123" s="145">
        <v>46116.0</v>
      </c>
      <c r="H123" s="6">
        <v>45.0</v>
      </c>
      <c r="I123" s="6" t="s">
        <v>5498</v>
      </c>
      <c r="J123" s="11">
        <v>-7.9274086E7</v>
      </c>
      <c r="K123" s="11">
        <v>1.104120586E9</v>
      </c>
      <c r="M123" s="6">
        <v>122.0</v>
      </c>
    </row>
    <row r="124">
      <c r="A124" s="6">
        <v>123.0</v>
      </c>
      <c r="B124" s="6" t="s">
        <v>5499</v>
      </c>
      <c r="C124" s="6" t="s">
        <v>5500</v>
      </c>
      <c r="D124" s="6" t="s">
        <v>5039</v>
      </c>
      <c r="E124" s="6" t="s">
        <v>5386</v>
      </c>
      <c r="F124" s="6">
        <v>0.0</v>
      </c>
      <c r="G124" s="145">
        <v>46085.0</v>
      </c>
      <c r="I124" s="6" t="s">
        <v>5501</v>
      </c>
      <c r="J124" s="11">
        <v>-7.8152776E7</v>
      </c>
      <c r="K124" s="11">
        <v>1.103988359E9</v>
      </c>
      <c r="M124" s="6">
        <v>123.0</v>
      </c>
    </row>
    <row r="125">
      <c r="A125" s="6">
        <v>124.0</v>
      </c>
      <c r="B125" s="6" t="s">
        <v>5502</v>
      </c>
      <c r="C125" s="6" t="s">
        <v>5503</v>
      </c>
      <c r="D125" s="6" t="s">
        <v>5039</v>
      </c>
      <c r="E125" s="6" t="s">
        <v>5386</v>
      </c>
      <c r="F125" s="6">
        <v>0.0</v>
      </c>
      <c r="G125" s="6">
        <v>5.0</v>
      </c>
      <c r="I125" s="6" t="s">
        <v>5504</v>
      </c>
      <c r="J125" s="11">
        <v>-7.8010347E7</v>
      </c>
      <c r="K125" s="11">
        <v>1.103751922E9</v>
      </c>
      <c r="M125" s="6">
        <v>124.0</v>
      </c>
    </row>
    <row r="126">
      <c r="A126" s="6">
        <v>125.0</v>
      </c>
      <c r="B126" s="6" t="s">
        <v>5505</v>
      </c>
      <c r="C126" s="6" t="s">
        <v>5506</v>
      </c>
      <c r="D126" s="6" t="s">
        <v>5039</v>
      </c>
      <c r="E126" s="6" t="s">
        <v>5386</v>
      </c>
      <c r="F126" s="6">
        <v>0.0</v>
      </c>
      <c r="G126" s="145">
        <v>46177.0</v>
      </c>
      <c r="H126" s="6">
        <v>60.0</v>
      </c>
      <c r="I126" s="6" t="s">
        <v>5507</v>
      </c>
      <c r="J126" s="11">
        <v>-7.8038975E7</v>
      </c>
      <c r="K126" s="11">
        <v>1.103644232E9</v>
      </c>
      <c r="M126" s="6">
        <v>125.0</v>
      </c>
    </row>
    <row r="127">
      <c r="A127" s="6">
        <v>126.0</v>
      </c>
      <c r="B127" s="6" t="s">
        <v>5508</v>
      </c>
      <c r="C127" s="6" t="s">
        <v>5509</v>
      </c>
      <c r="D127" s="6" t="s">
        <v>5073</v>
      </c>
      <c r="E127" s="6" t="s">
        <v>5386</v>
      </c>
      <c r="F127" s="6">
        <v>4000.0</v>
      </c>
      <c r="G127" s="145">
        <v>46085.0</v>
      </c>
      <c r="I127" s="6" t="s">
        <v>5510</v>
      </c>
      <c r="J127" s="11">
        <v>-7999423.0</v>
      </c>
      <c r="K127" s="11">
        <v>1.10248963E8</v>
      </c>
      <c r="M127" s="6">
        <v>126.0</v>
      </c>
    </row>
    <row r="128">
      <c r="A128" s="6">
        <v>127.0</v>
      </c>
      <c r="B128" s="6" t="s">
        <v>5511</v>
      </c>
      <c r="C128" s="6" t="s">
        <v>5512</v>
      </c>
      <c r="D128" s="6" t="s">
        <v>5036</v>
      </c>
      <c r="E128" s="6" t="s">
        <v>5386</v>
      </c>
      <c r="F128" s="6">
        <v>10000.0</v>
      </c>
      <c r="G128" s="145">
        <v>46085.0</v>
      </c>
      <c r="I128" s="6" t="s">
        <v>5513</v>
      </c>
      <c r="J128" s="11">
        <v>-7.7044358E7</v>
      </c>
      <c r="K128" s="11">
        <v>1.1045026E7</v>
      </c>
      <c r="M128" s="6">
        <v>127.0</v>
      </c>
    </row>
    <row r="129">
      <c r="A129" s="6">
        <v>128.0</v>
      </c>
      <c r="B129" s="6" t="s">
        <v>5514</v>
      </c>
      <c r="C129" s="6" t="s">
        <v>5515</v>
      </c>
      <c r="D129" s="6" t="s">
        <v>5036</v>
      </c>
      <c r="E129" s="6" t="s">
        <v>5386</v>
      </c>
      <c r="F129" s="6">
        <v>0.0</v>
      </c>
      <c r="G129" s="145">
        <v>46146.0</v>
      </c>
      <c r="H129" s="6">
        <v>90.0</v>
      </c>
      <c r="I129" s="6" t="s">
        <v>5516</v>
      </c>
      <c r="J129" s="11">
        <v>-8.0173266E7</v>
      </c>
      <c r="K129" s="11">
        <v>1.103180791E9</v>
      </c>
      <c r="M129" s="6">
        <v>128.0</v>
      </c>
    </row>
    <row r="130">
      <c r="A130" s="6">
        <v>129.0</v>
      </c>
      <c r="B130" s="6" t="s">
        <v>5517</v>
      </c>
      <c r="C130" s="6" t="s">
        <v>5518</v>
      </c>
      <c r="D130" s="6" t="s">
        <v>5036</v>
      </c>
      <c r="E130" s="6" t="s">
        <v>5386</v>
      </c>
      <c r="F130" s="6">
        <v>2000.0</v>
      </c>
      <c r="G130" s="145">
        <v>46146.0</v>
      </c>
      <c r="H130" s="6">
        <v>60.0</v>
      </c>
      <c r="I130" s="6" t="s">
        <v>5519</v>
      </c>
      <c r="J130" s="11">
        <v>-7.9157997E7</v>
      </c>
      <c r="K130" s="11">
        <v>1.104366436E9</v>
      </c>
      <c r="M130" s="6">
        <v>129.0</v>
      </c>
    </row>
    <row r="131">
      <c r="A131" s="6">
        <v>130.0</v>
      </c>
      <c r="B131" s="6" t="s">
        <v>5520</v>
      </c>
      <c r="C131" s="6" t="s">
        <v>5521</v>
      </c>
      <c r="D131" s="6" t="s">
        <v>5036</v>
      </c>
      <c r="E131" s="6" t="s">
        <v>5386</v>
      </c>
      <c r="F131" s="6">
        <v>10000.0</v>
      </c>
      <c r="G131" s="145">
        <v>46116.0</v>
      </c>
      <c r="H131" s="6">
        <v>120.0</v>
      </c>
      <c r="I131" s="6" t="s">
        <v>5522</v>
      </c>
      <c r="J131" s="11">
        <v>-7.8057936E7</v>
      </c>
      <c r="K131" s="11">
        <v>1.102367304E9</v>
      </c>
      <c r="M131" s="6">
        <v>130.0</v>
      </c>
    </row>
    <row r="132">
      <c r="A132" s="6">
        <v>131.0</v>
      </c>
      <c r="B132" s="6" t="s">
        <v>5523</v>
      </c>
      <c r="C132" s="6" t="s">
        <v>5524</v>
      </c>
      <c r="D132" s="6" t="s">
        <v>5033</v>
      </c>
      <c r="E132" s="6" t="s">
        <v>5386</v>
      </c>
      <c r="F132" s="6">
        <v>5000.0</v>
      </c>
      <c r="G132" s="145">
        <v>46085.0</v>
      </c>
      <c r="H132" s="6">
        <v>30.0</v>
      </c>
      <c r="I132" s="6" t="s">
        <v>5525</v>
      </c>
      <c r="J132" s="11">
        <v>-7.9924379E7</v>
      </c>
      <c r="K132" s="11">
        <v>1.10317778E8</v>
      </c>
      <c r="M132" s="6">
        <v>131.0</v>
      </c>
    </row>
    <row r="133">
      <c r="A133" s="6">
        <v>132.0</v>
      </c>
      <c r="B133" s="6" t="s">
        <v>5526</v>
      </c>
      <c r="C133" s="6" t="s">
        <v>5527</v>
      </c>
      <c r="D133" s="6" t="s">
        <v>5033</v>
      </c>
      <c r="E133" s="6" t="s">
        <v>5386</v>
      </c>
      <c r="F133" s="6">
        <v>20000.0</v>
      </c>
      <c r="G133" s="145">
        <v>46146.0</v>
      </c>
      <c r="H133" s="6">
        <v>60.0</v>
      </c>
      <c r="I133" s="6" t="s">
        <v>5528</v>
      </c>
      <c r="J133" s="11">
        <v>-7.7699875E7</v>
      </c>
      <c r="K133" s="11">
        <v>1.101210707E9</v>
      </c>
      <c r="M133" s="6">
        <v>132.0</v>
      </c>
    </row>
    <row r="134">
      <c r="A134" s="6">
        <v>133.0</v>
      </c>
      <c r="B134" s="6" t="s">
        <v>5529</v>
      </c>
      <c r="C134" s="6" t="s">
        <v>5530</v>
      </c>
      <c r="D134" s="6" t="s">
        <v>5036</v>
      </c>
      <c r="E134" s="6" t="s">
        <v>5386</v>
      </c>
      <c r="F134" s="6">
        <v>5000.0</v>
      </c>
      <c r="G134" s="145">
        <v>46177.0</v>
      </c>
      <c r="H134" s="6">
        <v>90.0</v>
      </c>
      <c r="I134" s="6" t="s">
        <v>5531</v>
      </c>
      <c r="J134" s="11">
        <v>-7.9413718E7</v>
      </c>
      <c r="K134" s="11">
        <v>1.104247345E9</v>
      </c>
      <c r="M134" s="6">
        <v>133.0</v>
      </c>
    </row>
    <row r="135">
      <c r="A135" s="6">
        <v>134.0</v>
      </c>
      <c r="B135" s="6" t="s">
        <v>5532</v>
      </c>
      <c r="C135" s="6" t="s">
        <v>5533</v>
      </c>
      <c r="D135" s="6" t="s">
        <v>5036</v>
      </c>
      <c r="E135" s="6" t="s">
        <v>5386</v>
      </c>
      <c r="F135" s="6">
        <v>10000.0</v>
      </c>
      <c r="G135" s="145">
        <v>46116.0</v>
      </c>
      <c r="H135" s="6">
        <v>60.0</v>
      </c>
      <c r="I135" s="6" t="s">
        <v>5534</v>
      </c>
      <c r="J135" s="11">
        <v>-7.8055232E7</v>
      </c>
      <c r="K135" s="11">
        <v>1.102374676E9</v>
      </c>
      <c r="M135" s="6">
        <v>134.0</v>
      </c>
    </row>
    <row r="136">
      <c r="A136" s="6">
        <v>135.0</v>
      </c>
      <c r="B136" s="6" t="s">
        <v>5535</v>
      </c>
      <c r="C136" s="6" t="s">
        <v>5536</v>
      </c>
      <c r="D136" s="6" t="s">
        <v>129</v>
      </c>
      <c r="E136" s="6" t="s">
        <v>5386</v>
      </c>
      <c r="F136" s="6">
        <v>0.0</v>
      </c>
      <c r="G136" s="6">
        <v>4.0</v>
      </c>
      <c r="I136" s="6" t="s">
        <v>5537</v>
      </c>
      <c r="J136" s="11">
        <v>-7.7916235E7</v>
      </c>
      <c r="K136" s="11">
        <v>1.10361956E8</v>
      </c>
      <c r="M136" s="6">
        <v>135.0</v>
      </c>
    </row>
    <row r="137">
      <c r="A137" s="6">
        <v>136.0</v>
      </c>
      <c r="B137" s="6" t="s">
        <v>5538</v>
      </c>
      <c r="C137" s="6" t="s">
        <v>5539</v>
      </c>
      <c r="D137" s="6" t="s">
        <v>5036</v>
      </c>
      <c r="E137" s="6" t="s">
        <v>5386</v>
      </c>
      <c r="F137" s="6">
        <v>10000.0</v>
      </c>
      <c r="G137" s="145">
        <v>46146.0</v>
      </c>
      <c r="H137" s="6">
        <v>90.0</v>
      </c>
      <c r="I137" s="6" t="s">
        <v>5540</v>
      </c>
      <c r="J137" s="11">
        <v>-7.6340172E7</v>
      </c>
      <c r="K137" s="11">
        <v>1.1033837E7</v>
      </c>
      <c r="M137" s="6">
        <v>136.0</v>
      </c>
    </row>
    <row r="138">
      <c r="A138" s="6">
        <v>137.0</v>
      </c>
      <c r="B138" s="6" t="s">
        <v>5541</v>
      </c>
      <c r="C138" s="6" t="s">
        <v>5542</v>
      </c>
      <c r="D138" s="6" t="s">
        <v>5033</v>
      </c>
      <c r="E138" s="6" t="s">
        <v>5386</v>
      </c>
      <c r="F138" s="6">
        <v>20000.0</v>
      </c>
      <c r="G138" s="145">
        <v>46116.0</v>
      </c>
      <c r="H138" s="6">
        <v>90.0</v>
      </c>
      <c r="I138" s="6" t="s">
        <v>5543</v>
      </c>
      <c r="J138" s="11">
        <v>-7.8057305E7</v>
      </c>
      <c r="K138" s="11">
        <v>1.10127969E8</v>
      </c>
      <c r="M138" s="6">
        <v>137.0</v>
      </c>
    </row>
    <row r="139">
      <c r="A139" s="6">
        <v>138.0</v>
      </c>
      <c r="B139" s="6" t="s">
        <v>5544</v>
      </c>
      <c r="C139" s="6" t="s">
        <v>5545</v>
      </c>
      <c r="D139" s="6" t="s">
        <v>5036</v>
      </c>
      <c r="E139" s="6" t="s">
        <v>5386</v>
      </c>
      <c r="F139" s="6">
        <v>20000.0</v>
      </c>
      <c r="G139" s="145">
        <v>46116.0</v>
      </c>
      <c r="H139" s="6">
        <v>120.0</v>
      </c>
      <c r="I139" s="6" t="s">
        <v>5546</v>
      </c>
      <c r="J139" s="11">
        <v>-7.7280356E7</v>
      </c>
      <c r="K139" s="11">
        <v>1.103591712E9</v>
      </c>
      <c r="M139" s="6">
        <v>138.0</v>
      </c>
    </row>
    <row r="140">
      <c r="A140" s="6">
        <v>139.0</v>
      </c>
      <c r="B140" s="6" t="s">
        <v>5547</v>
      </c>
      <c r="C140" s="6" t="s">
        <v>5548</v>
      </c>
      <c r="D140" s="6" t="s">
        <v>5033</v>
      </c>
      <c r="E140" s="6" t="s">
        <v>5386</v>
      </c>
      <c r="F140" s="6">
        <v>10000.0</v>
      </c>
      <c r="G140" s="145">
        <v>46207.0</v>
      </c>
      <c r="H140" s="6">
        <v>60.0</v>
      </c>
      <c r="I140" s="6" t="s">
        <v>5549</v>
      </c>
      <c r="J140" s="11">
        <v>-7841253.0</v>
      </c>
      <c r="K140" s="11">
        <v>1.10543056E8</v>
      </c>
      <c r="M140" s="6">
        <v>139.0</v>
      </c>
    </row>
    <row r="141">
      <c r="A141" s="6">
        <v>140.0</v>
      </c>
      <c r="B141" s="6" t="s">
        <v>5550</v>
      </c>
      <c r="C141" s="6" t="s">
        <v>5551</v>
      </c>
      <c r="D141" s="6" t="s">
        <v>5036</v>
      </c>
      <c r="E141" s="6" t="s">
        <v>5386</v>
      </c>
      <c r="F141" s="6">
        <v>0.0</v>
      </c>
      <c r="G141" s="145">
        <v>46177.0</v>
      </c>
      <c r="H141" s="6">
        <v>60.0</v>
      </c>
      <c r="I141" s="6" t="s">
        <v>5552</v>
      </c>
      <c r="J141" s="11">
        <v>-7.8316668E7</v>
      </c>
      <c r="K141" s="11">
        <v>1.103945119E9</v>
      </c>
      <c r="M141" s="6">
        <v>140.0</v>
      </c>
    </row>
    <row r="142">
      <c r="A142" s="6">
        <v>141.0</v>
      </c>
      <c r="B142" s="6" t="s">
        <v>5553</v>
      </c>
      <c r="C142" s="6" t="s">
        <v>5554</v>
      </c>
      <c r="D142" s="6" t="s">
        <v>5033</v>
      </c>
      <c r="E142" s="6" t="s">
        <v>5386</v>
      </c>
      <c r="F142" s="6">
        <v>3000.0</v>
      </c>
      <c r="G142" s="145">
        <v>46146.0</v>
      </c>
      <c r="H142" s="6">
        <v>45.0</v>
      </c>
      <c r="I142" s="6" t="s">
        <v>5555</v>
      </c>
      <c r="J142" s="11">
        <v>-7.5829198E7</v>
      </c>
      <c r="K142" s="11">
        <v>1.104476816E9</v>
      </c>
      <c r="M142" s="6">
        <v>141.0</v>
      </c>
    </row>
    <row r="143">
      <c r="A143" s="6">
        <v>142.0</v>
      </c>
      <c r="B143" s="6" t="s">
        <v>5556</v>
      </c>
      <c r="C143" s="6" t="s">
        <v>5557</v>
      </c>
      <c r="D143" s="6" t="s">
        <v>5033</v>
      </c>
      <c r="E143" s="6" t="s">
        <v>5386</v>
      </c>
      <c r="F143" s="6">
        <v>0.0</v>
      </c>
      <c r="G143" s="145">
        <v>46177.0</v>
      </c>
      <c r="H143" s="6">
        <v>150.0</v>
      </c>
      <c r="I143" s="6" t="s">
        <v>5558</v>
      </c>
      <c r="J143" s="11">
        <v>-7.6470943E7</v>
      </c>
      <c r="K143" s="11">
        <v>1.104280998E9</v>
      </c>
      <c r="M143" s="6">
        <v>142.0</v>
      </c>
    </row>
    <row r="144">
      <c r="A144" s="6">
        <v>143.0</v>
      </c>
      <c r="B144" s="6" t="s">
        <v>5559</v>
      </c>
      <c r="C144" s="6" t="s">
        <v>5560</v>
      </c>
      <c r="D144" s="6" t="s">
        <v>5033</v>
      </c>
      <c r="E144" s="6" t="s">
        <v>5386</v>
      </c>
      <c r="F144" s="6">
        <v>2000.0</v>
      </c>
      <c r="G144" s="145">
        <v>46177.0</v>
      </c>
      <c r="H144" s="6">
        <v>90.0</v>
      </c>
      <c r="I144" s="6" t="s">
        <v>5561</v>
      </c>
      <c r="J144" s="11">
        <v>-7.9310984E7</v>
      </c>
      <c r="K144" s="11">
        <v>1.10430919E8</v>
      </c>
      <c r="M144" s="6">
        <v>143.0</v>
      </c>
    </row>
    <row r="145">
      <c r="A145" s="6">
        <v>144.0</v>
      </c>
      <c r="B145" s="6" t="s">
        <v>5562</v>
      </c>
      <c r="C145" s="6" t="s">
        <v>5563</v>
      </c>
      <c r="D145" s="6" t="s">
        <v>5033</v>
      </c>
      <c r="E145" s="6" t="s">
        <v>5386</v>
      </c>
      <c r="F145" s="6">
        <v>500000.0</v>
      </c>
      <c r="G145" s="145">
        <v>46177.0</v>
      </c>
      <c r="I145" s="6" t="s">
        <v>5564</v>
      </c>
      <c r="J145" s="11">
        <v>-8.0281562E7</v>
      </c>
      <c r="K145" s="11">
        <v>1.106383307E9</v>
      </c>
      <c r="M145" s="6">
        <v>144.0</v>
      </c>
    </row>
    <row r="146">
      <c r="A146" s="6">
        <v>145.0</v>
      </c>
      <c r="B146" s="6" t="s">
        <v>5565</v>
      </c>
      <c r="C146" s="6" t="s">
        <v>5566</v>
      </c>
      <c r="D146" s="6" t="s">
        <v>5036</v>
      </c>
      <c r="E146" s="6" t="s">
        <v>5386</v>
      </c>
      <c r="F146" s="6">
        <v>5000.0</v>
      </c>
      <c r="G146" s="145">
        <v>46026.0</v>
      </c>
      <c r="H146" s="6">
        <v>60.0</v>
      </c>
      <c r="I146" s="6" t="s">
        <v>5567</v>
      </c>
      <c r="J146" s="11">
        <v>-7.8136085E7</v>
      </c>
      <c r="K146" s="11">
        <v>1.105033442E9</v>
      </c>
      <c r="M146" s="6">
        <v>145.0</v>
      </c>
    </row>
    <row r="147">
      <c r="A147" s="6">
        <v>146.0</v>
      </c>
      <c r="B147" s="6" t="s">
        <v>5568</v>
      </c>
      <c r="C147" s="6" t="s">
        <v>5569</v>
      </c>
      <c r="D147" s="6" t="s">
        <v>5033</v>
      </c>
      <c r="E147" s="6" t="s">
        <v>5386</v>
      </c>
      <c r="F147" s="6">
        <v>10000.0</v>
      </c>
      <c r="G147" s="145">
        <v>46146.0</v>
      </c>
      <c r="I147" s="6" t="s">
        <v>5570</v>
      </c>
      <c r="J147" s="11">
        <v>-7.8001106E7</v>
      </c>
      <c r="K147" s="11">
        <v>1.101238954E9</v>
      </c>
      <c r="M147" s="6">
        <v>146.0</v>
      </c>
    </row>
    <row r="148">
      <c r="A148" s="6">
        <v>147.0</v>
      </c>
      <c r="B148" s="6" t="s">
        <v>5571</v>
      </c>
      <c r="C148" s="6" t="s">
        <v>5572</v>
      </c>
      <c r="D148" s="6" t="s">
        <v>5039</v>
      </c>
      <c r="E148" s="6" t="s">
        <v>5386</v>
      </c>
      <c r="F148" s="6">
        <v>0.0</v>
      </c>
      <c r="G148" s="145">
        <v>46146.0</v>
      </c>
      <c r="I148" s="6" t="s">
        <v>5573</v>
      </c>
      <c r="J148" s="11">
        <v>-7.7857242E7</v>
      </c>
      <c r="K148" s="11">
        <v>1.103746954E9</v>
      </c>
      <c r="M148" s="6">
        <v>147.0</v>
      </c>
    </row>
    <row r="149">
      <c r="A149" s="6">
        <v>148.0</v>
      </c>
      <c r="B149" s="6" t="s">
        <v>5574</v>
      </c>
      <c r="C149" s="6" t="s">
        <v>5575</v>
      </c>
      <c r="D149" s="6" t="s">
        <v>5033</v>
      </c>
      <c r="E149" s="6" t="s">
        <v>5386</v>
      </c>
      <c r="F149" s="6">
        <v>5000.0</v>
      </c>
      <c r="G149" s="145">
        <v>46085.0</v>
      </c>
      <c r="H149" s="6">
        <v>30.0</v>
      </c>
      <c r="I149" s="6" t="s">
        <v>5576</v>
      </c>
      <c r="J149" s="11">
        <v>-7.9492612E7</v>
      </c>
      <c r="K149" s="11">
        <v>1.104926511E9</v>
      </c>
      <c r="M149" s="6">
        <v>148.0</v>
      </c>
    </row>
    <row r="150">
      <c r="A150" s="6">
        <v>149.0</v>
      </c>
      <c r="B150" s="6" t="s">
        <v>5577</v>
      </c>
      <c r="C150" s="6" t="s">
        <v>5578</v>
      </c>
      <c r="D150" s="6" t="s">
        <v>5033</v>
      </c>
      <c r="E150" s="6" t="s">
        <v>5386</v>
      </c>
      <c r="F150" s="6">
        <v>3000.0</v>
      </c>
      <c r="G150" s="145">
        <v>46116.0</v>
      </c>
      <c r="H150" s="6">
        <v>90.0</v>
      </c>
      <c r="I150" s="6" t="s">
        <v>5579</v>
      </c>
      <c r="J150" s="11">
        <v>-7.9794413E7</v>
      </c>
      <c r="K150" s="11">
        <v>1.103803114E9</v>
      </c>
      <c r="M150" s="6">
        <v>149.0</v>
      </c>
    </row>
    <row r="151">
      <c r="A151" s="6">
        <v>150.0</v>
      </c>
      <c r="B151" s="6" t="s">
        <v>5580</v>
      </c>
      <c r="C151" s="6" t="s">
        <v>5581</v>
      </c>
      <c r="D151" s="6" t="s">
        <v>5039</v>
      </c>
      <c r="E151" s="6" t="s">
        <v>5386</v>
      </c>
      <c r="F151" s="6">
        <v>7000.0</v>
      </c>
      <c r="G151" s="145">
        <v>46207.0</v>
      </c>
      <c r="I151" s="6" t="s">
        <v>5582</v>
      </c>
      <c r="J151" s="11">
        <v>-7.8067535E7</v>
      </c>
      <c r="K151" s="11">
        <v>1.103636659E9</v>
      </c>
      <c r="M151" s="6">
        <v>150.0</v>
      </c>
    </row>
    <row r="152">
      <c r="A152" s="6">
        <v>151.0</v>
      </c>
      <c r="B152" s="6" t="s">
        <v>5583</v>
      </c>
      <c r="C152" s="6" t="s">
        <v>5584</v>
      </c>
      <c r="D152" s="6" t="s">
        <v>5036</v>
      </c>
      <c r="E152" s="6" t="s">
        <v>5386</v>
      </c>
      <c r="F152" s="6">
        <v>0.0</v>
      </c>
      <c r="G152" s="145">
        <v>46116.0</v>
      </c>
      <c r="H152" s="6">
        <v>90.0</v>
      </c>
      <c r="I152" s="6" t="s">
        <v>5585</v>
      </c>
      <c r="J152" s="11">
        <v>-7.6410258E7</v>
      </c>
      <c r="K152" s="11">
        <v>1.103622794E9</v>
      </c>
      <c r="M152" s="6">
        <v>151.0</v>
      </c>
    </row>
    <row r="153">
      <c r="A153" s="6">
        <v>152.0</v>
      </c>
      <c r="B153" s="6" t="s">
        <v>5586</v>
      </c>
      <c r="C153" s="6" t="s">
        <v>5587</v>
      </c>
      <c r="D153" s="6" t="s">
        <v>5073</v>
      </c>
      <c r="E153" s="6" t="s">
        <v>5386</v>
      </c>
      <c r="F153" s="6">
        <v>5000.0</v>
      </c>
      <c r="G153" s="145">
        <v>46026.0</v>
      </c>
      <c r="H153" s="6">
        <v>45.0</v>
      </c>
      <c r="I153" s="6" t="s">
        <v>5588</v>
      </c>
      <c r="J153" s="11">
        <v>-7997778.0</v>
      </c>
      <c r="K153" s="11">
        <v>1.102449113E9</v>
      </c>
      <c r="M153" s="6">
        <v>152.0</v>
      </c>
    </row>
    <row r="154">
      <c r="A154" s="6">
        <v>153.0</v>
      </c>
      <c r="B154" s="6" t="s">
        <v>5589</v>
      </c>
      <c r="C154" s="6" t="s">
        <v>5590</v>
      </c>
      <c r="D154" s="6" t="s">
        <v>5073</v>
      </c>
      <c r="E154" s="6" t="s">
        <v>5386</v>
      </c>
      <c r="F154" s="6">
        <v>10000.0</v>
      </c>
      <c r="G154" s="6">
        <v>4.0</v>
      </c>
      <c r="I154" s="6" t="s">
        <v>5591</v>
      </c>
      <c r="J154" s="11">
        <v>-8.1338763E7</v>
      </c>
      <c r="K154" s="11">
        <v>1.105548349E9</v>
      </c>
      <c r="M154" s="6">
        <v>153.0</v>
      </c>
    </row>
    <row r="155">
      <c r="A155" s="6">
        <v>154.0</v>
      </c>
      <c r="B155" s="6" t="s">
        <v>5592</v>
      </c>
      <c r="C155" s="6" t="s">
        <v>5593</v>
      </c>
      <c r="D155" s="6" t="s">
        <v>5073</v>
      </c>
      <c r="E155" s="6" t="s">
        <v>5386</v>
      </c>
      <c r="F155" s="6">
        <v>10000.0</v>
      </c>
      <c r="G155" s="145">
        <v>46146.0</v>
      </c>
      <c r="I155" s="6" t="s">
        <v>5594</v>
      </c>
      <c r="J155" s="11">
        <v>-8.1333389E7</v>
      </c>
      <c r="K155" s="11">
        <v>1.105537405E9</v>
      </c>
      <c r="M155" s="6">
        <v>154.0</v>
      </c>
    </row>
    <row r="156">
      <c r="A156" s="6">
        <v>155.0</v>
      </c>
      <c r="B156" s="6" t="s">
        <v>5595</v>
      </c>
      <c r="C156" s="6" t="s">
        <v>5596</v>
      </c>
      <c r="D156" s="6" t="s">
        <v>5073</v>
      </c>
      <c r="E156" s="6" t="s">
        <v>5386</v>
      </c>
      <c r="F156" s="6">
        <v>5000.0</v>
      </c>
      <c r="G156" s="145">
        <v>46177.0</v>
      </c>
      <c r="I156" s="6" t="s">
        <v>5597</v>
      </c>
      <c r="J156" s="11">
        <v>-8.1184844E7</v>
      </c>
      <c r="K156" s="11">
        <v>1.105028785E9</v>
      </c>
      <c r="M156" s="6">
        <v>155.0</v>
      </c>
    </row>
    <row r="157">
      <c r="A157" s="6">
        <v>156.0</v>
      </c>
      <c r="B157" s="6" t="s">
        <v>5598</v>
      </c>
      <c r="C157" s="6" t="s">
        <v>5599</v>
      </c>
      <c r="D157" s="6" t="s">
        <v>5073</v>
      </c>
      <c r="E157" s="6" t="s">
        <v>5386</v>
      </c>
      <c r="F157" s="6">
        <v>10000.0</v>
      </c>
      <c r="G157" s="145">
        <v>46146.0</v>
      </c>
      <c r="I157" s="6" t="s">
        <v>5600</v>
      </c>
      <c r="J157" s="11">
        <v>-8.1506589E7</v>
      </c>
      <c r="K157" s="11">
        <v>1.106126311E9</v>
      </c>
      <c r="M157" s="6">
        <v>156.0</v>
      </c>
    </row>
    <row r="158">
      <c r="A158" s="6">
        <v>157.0</v>
      </c>
      <c r="B158" s="6" t="s">
        <v>5601</v>
      </c>
      <c r="C158" s="6" t="s">
        <v>5602</v>
      </c>
      <c r="D158" s="6" t="s">
        <v>5073</v>
      </c>
      <c r="E158" s="6" t="s">
        <v>5386</v>
      </c>
      <c r="F158" s="6">
        <v>10000.0</v>
      </c>
      <c r="G158" s="145">
        <v>46116.0</v>
      </c>
      <c r="I158" s="6" t="s">
        <v>5603</v>
      </c>
      <c r="J158" s="11">
        <v>-8.1288246E7</v>
      </c>
      <c r="K158" s="11">
        <v>1.105487763E9</v>
      </c>
      <c r="M158" s="6">
        <v>157.0</v>
      </c>
    </row>
    <row r="159">
      <c r="A159" s="6">
        <v>158.0</v>
      </c>
      <c r="B159" s="6" t="s">
        <v>5604</v>
      </c>
      <c r="C159" s="6" t="s">
        <v>5605</v>
      </c>
      <c r="D159" s="6" t="s">
        <v>5073</v>
      </c>
      <c r="E159" s="6" t="s">
        <v>5386</v>
      </c>
      <c r="F159" s="6">
        <v>10000.0</v>
      </c>
      <c r="G159" s="145">
        <v>46146.0</v>
      </c>
      <c r="I159" s="6" t="s">
        <v>5606</v>
      </c>
      <c r="J159" s="11">
        <v>-8.1554468E7</v>
      </c>
      <c r="K159" s="11">
        <v>1.106217582E9</v>
      </c>
      <c r="M159" s="6">
        <v>158.0</v>
      </c>
    </row>
    <row r="160">
      <c r="A160" s="6">
        <v>159.0</v>
      </c>
      <c r="B160" s="6" t="s">
        <v>5607</v>
      </c>
      <c r="C160" s="6" t="s">
        <v>5608</v>
      </c>
      <c r="D160" s="6" t="s">
        <v>5033</v>
      </c>
      <c r="E160" s="6" t="s">
        <v>5386</v>
      </c>
      <c r="F160" s="6">
        <v>2500.0</v>
      </c>
      <c r="G160" s="145">
        <v>46146.0</v>
      </c>
      <c r="I160" s="6" t="s">
        <v>5609</v>
      </c>
      <c r="J160" s="11">
        <v>-7.9209209E7</v>
      </c>
      <c r="K160" s="11">
        <v>1.104355651E9</v>
      </c>
      <c r="M160" s="6">
        <v>159.0</v>
      </c>
    </row>
    <row r="161">
      <c r="A161" s="6">
        <v>160.0</v>
      </c>
      <c r="B161" s="6" t="s">
        <v>5610</v>
      </c>
      <c r="C161" s="6" t="s">
        <v>5611</v>
      </c>
      <c r="D161" s="6" t="s">
        <v>129</v>
      </c>
      <c r="E161" s="6" t="s">
        <v>5386</v>
      </c>
      <c r="F161" s="6">
        <v>0.0</v>
      </c>
      <c r="G161" s="145">
        <v>46116.0</v>
      </c>
      <c r="I161" s="6" t="s">
        <v>5612</v>
      </c>
      <c r="J161" s="11">
        <v>-7.8363205E7</v>
      </c>
      <c r="K161" s="11">
        <v>1.104575806E9</v>
      </c>
      <c r="M161" s="6">
        <v>160.0</v>
      </c>
    </row>
    <row r="162">
      <c r="A162" s="6">
        <v>161.0</v>
      </c>
      <c r="B162" s="6" t="s">
        <v>5613</v>
      </c>
      <c r="C162" s="6" t="s">
        <v>5614</v>
      </c>
      <c r="D162" s="6" t="s">
        <v>5033</v>
      </c>
      <c r="E162" s="6" t="s">
        <v>5386</v>
      </c>
      <c r="F162" s="6">
        <v>5000.0</v>
      </c>
      <c r="G162" s="145">
        <v>46207.0</v>
      </c>
      <c r="H162" s="6">
        <v>90.0</v>
      </c>
      <c r="I162" s="6" t="s">
        <v>5615</v>
      </c>
      <c r="J162" s="11">
        <v>-8.0268551E7</v>
      </c>
      <c r="K162" s="11">
        <v>1.103459122E9</v>
      </c>
      <c r="M162" s="6">
        <v>161.0</v>
      </c>
    </row>
    <row r="163">
      <c r="A163" s="6">
        <v>162.0</v>
      </c>
      <c r="B163" s="6" t="s">
        <v>5616</v>
      </c>
      <c r="C163" s="6" t="s">
        <v>5617</v>
      </c>
      <c r="D163" s="6" t="s">
        <v>5039</v>
      </c>
      <c r="E163" s="6" t="s">
        <v>5386</v>
      </c>
      <c r="F163" s="6">
        <v>220000.0</v>
      </c>
      <c r="G163" s="145">
        <v>46146.0</v>
      </c>
      <c r="I163" s="6" t="s">
        <v>5618</v>
      </c>
      <c r="J163" s="11">
        <v>-7.8105529E7</v>
      </c>
      <c r="K163" s="11">
        <v>1.103704987E9</v>
      </c>
      <c r="M163" s="6">
        <v>162.0</v>
      </c>
    </row>
    <row r="164">
      <c r="A164" s="6">
        <v>163.0</v>
      </c>
      <c r="B164" s="6" t="s">
        <v>5619</v>
      </c>
      <c r="C164" s="6" t="s">
        <v>5620</v>
      </c>
      <c r="D164" s="6" t="s">
        <v>5033</v>
      </c>
      <c r="E164" s="6" t="s">
        <v>5386</v>
      </c>
      <c r="F164" s="6">
        <v>2500.0</v>
      </c>
      <c r="G164" s="145">
        <v>46146.0</v>
      </c>
      <c r="H164" s="6">
        <v>60.0</v>
      </c>
      <c r="I164" s="6" t="s">
        <v>5621</v>
      </c>
      <c r="J164" s="11">
        <v>-7947121.0</v>
      </c>
      <c r="K164" s="11">
        <v>110441.0</v>
      </c>
      <c r="M164" s="6">
        <v>163.0</v>
      </c>
    </row>
    <row r="165">
      <c r="A165" s="6">
        <v>164.0</v>
      </c>
      <c r="B165" s="6" t="s">
        <v>5622</v>
      </c>
      <c r="C165" s="6" t="s">
        <v>5623</v>
      </c>
      <c r="D165" s="6" t="s">
        <v>5033</v>
      </c>
      <c r="E165" s="6" t="s">
        <v>5386</v>
      </c>
      <c r="F165" s="6">
        <v>2500.0</v>
      </c>
      <c r="G165" s="145">
        <v>46116.0</v>
      </c>
      <c r="H165" s="6">
        <v>60.0</v>
      </c>
      <c r="I165" s="6" t="s">
        <v>5624</v>
      </c>
      <c r="J165" s="11">
        <v>-7913608.0</v>
      </c>
      <c r="K165" s="11">
        <v>1.10437783E8</v>
      </c>
      <c r="M165" s="6">
        <v>164.0</v>
      </c>
    </row>
    <row r="166">
      <c r="A166" s="6">
        <v>165.0</v>
      </c>
      <c r="B166" s="6" t="s">
        <v>5625</v>
      </c>
      <c r="C166" s="6" t="s">
        <v>5626</v>
      </c>
      <c r="D166" s="6" t="s">
        <v>5036</v>
      </c>
      <c r="E166" s="6" t="s">
        <v>5386</v>
      </c>
      <c r="F166" s="6">
        <v>2000.0</v>
      </c>
      <c r="G166" s="145">
        <v>46057.0</v>
      </c>
      <c r="H166" s="6">
        <v>60.0</v>
      </c>
      <c r="I166" s="6" t="s">
        <v>5627</v>
      </c>
      <c r="J166" s="11">
        <v>-7813094.0</v>
      </c>
      <c r="K166" s="11">
        <v>1.10615571E8</v>
      </c>
      <c r="M166" s="6">
        <v>165.0</v>
      </c>
    </row>
    <row r="167">
      <c r="A167" s="6">
        <v>166.0</v>
      </c>
      <c r="B167" s="6" t="s">
        <v>5628</v>
      </c>
      <c r="C167" s="6" t="s">
        <v>5629</v>
      </c>
      <c r="D167" s="6" t="s">
        <v>5033</v>
      </c>
      <c r="E167" s="6" t="s">
        <v>5386</v>
      </c>
      <c r="F167" s="6">
        <v>6000.0</v>
      </c>
      <c r="G167" s="145">
        <v>46146.0</v>
      </c>
      <c r="I167" s="6" t="s">
        <v>5630</v>
      </c>
      <c r="J167" s="11">
        <v>-7647054.0</v>
      </c>
      <c r="K167" s="11">
        <v>1.101414699E9</v>
      </c>
      <c r="M167" s="6">
        <v>166.0</v>
      </c>
    </row>
    <row r="168">
      <c r="A168" s="6">
        <v>167.0</v>
      </c>
      <c r="B168" s="6" t="s">
        <v>5631</v>
      </c>
      <c r="C168" s="6" t="s">
        <v>5632</v>
      </c>
      <c r="D168" s="6" t="s">
        <v>5033</v>
      </c>
      <c r="E168" s="6" t="s">
        <v>5386</v>
      </c>
      <c r="F168" s="6">
        <v>0.0</v>
      </c>
      <c r="G168" s="145">
        <v>46146.0</v>
      </c>
      <c r="H168" s="6">
        <v>60.0</v>
      </c>
      <c r="I168" s="6" t="s">
        <v>5633</v>
      </c>
      <c r="J168" s="11">
        <v>-7974294.0</v>
      </c>
      <c r="K168" s="11">
        <v>1.104364363E9</v>
      </c>
      <c r="M168" s="6">
        <v>167.0</v>
      </c>
    </row>
    <row r="169">
      <c r="A169" s="6">
        <v>168.0</v>
      </c>
      <c r="B169" s="6" t="s">
        <v>5634</v>
      </c>
      <c r="C169" s="6" t="s">
        <v>5635</v>
      </c>
      <c r="D169" s="6" t="s">
        <v>5073</v>
      </c>
      <c r="E169" s="6" t="s">
        <v>5386</v>
      </c>
      <c r="F169" s="6">
        <v>10000.0</v>
      </c>
      <c r="G169" s="145">
        <v>46207.0</v>
      </c>
      <c r="H169" s="6">
        <v>90.0</v>
      </c>
      <c r="I169" s="6" t="s">
        <v>5636</v>
      </c>
      <c r="J169" s="11">
        <v>-8.1759266E7</v>
      </c>
      <c r="K169" s="11">
        <v>1.106624196E9</v>
      </c>
      <c r="M169" s="6">
        <v>168.0</v>
      </c>
    </row>
    <row r="170">
      <c r="A170" s="6">
        <v>169.0</v>
      </c>
      <c r="B170" s="6" t="s">
        <v>5637</v>
      </c>
      <c r="C170" s="6" t="s">
        <v>5638</v>
      </c>
      <c r="D170" s="6" t="s">
        <v>5033</v>
      </c>
      <c r="E170" s="6" t="s">
        <v>5386</v>
      </c>
      <c r="F170" s="6">
        <v>5000.0</v>
      </c>
      <c r="G170" s="145">
        <v>46057.0</v>
      </c>
      <c r="H170" s="6">
        <v>90.0</v>
      </c>
      <c r="I170" s="6" t="s">
        <v>5639</v>
      </c>
      <c r="J170" s="11">
        <v>-8.1026167E7</v>
      </c>
      <c r="K170" s="11">
        <v>1.104562084E9</v>
      </c>
      <c r="M170" s="6">
        <v>169.0</v>
      </c>
    </row>
    <row r="171">
      <c r="A171" s="6">
        <v>170.0</v>
      </c>
      <c r="B171" s="6" t="s">
        <v>5640</v>
      </c>
      <c r="C171" s="6" t="s">
        <v>5641</v>
      </c>
      <c r="D171" s="6" t="s">
        <v>5039</v>
      </c>
      <c r="E171" s="6" t="s">
        <v>5386</v>
      </c>
      <c r="F171" s="6">
        <v>50000.0</v>
      </c>
      <c r="G171" s="145">
        <v>46207.0</v>
      </c>
      <c r="H171" s="6">
        <v>120.0</v>
      </c>
      <c r="I171" s="6" t="s">
        <v>5642</v>
      </c>
      <c r="J171" s="11">
        <v>-7.6078738E7</v>
      </c>
      <c r="K171" s="11">
        <v>1.102037513E9</v>
      </c>
      <c r="M171" s="6">
        <v>170.0</v>
      </c>
    </row>
    <row r="172">
      <c r="A172" s="6">
        <v>171.0</v>
      </c>
      <c r="B172" s="6" t="s">
        <v>5643</v>
      </c>
      <c r="C172" s="6" t="s">
        <v>5644</v>
      </c>
      <c r="D172" s="6" t="s">
        <v>5039</v>
      </c>
      <c r="E172" s="6" t="s">
        <v>5386</v>
      </c>
      <c r="F172" s="6">
        <v>5000.0</v>
      </c>
      <c r="G172" s="145">
        <v>46177.0</v>
      </c>
      <c r="H172" s="6">
        <v>60.0</v>
      </c>
      <c r="I172" s="6" t="s">
        <v>5645</v>
      </c>
      <c r="J172" s="11">
        <v>-7.7838276E7</v>
      </c>
      <c r="K172" s="11">
        <v>1.105118987E9</v>
      </c>
      <c r="M172" s="6">
        <v>171.0</v>
      </c>
    </row>
    <row r="173">
      <c r="A173" s="6">
        <v>172.0</v>
      </c>
      <c r="B173" s="6" t="s">
        <v>5646</v>
      </c>
      <c r="C173" s="6" t="s">
        <v>5647</v>
      </c>
      <c r="D173" s="6" t="s">
        <v>5073</v>
      </c>
      <c r="E173" s="6" t="s">
        <v>5386</v>
      </c>
      <c r="F173" s="6">
        <v>10000.0</v>
      </c>
      <c r="G173" s="145">
        <v>46146.0</v>
      </c>
      <c r="I173" s="6" t="s">
        <v>5648</v>
      </c>
      <c r="J173" s="11">
        <v>-8.1508415E7</v>
      </c>
      <c r="K173" s="11">
        <v>1.106129852E9</v>
      </c>
      <c r="M173" s="6">
        <v>172.0</v>
      </c>
    </row>
    <row r="174">
      <c r="A174" s="6">
        <v>173.0</v>
      </c>
      <c r="B174" s="6" t="s">
        <v>5649</v>
      </c>
      <c r="C174" s="6" t="s">
        <v>5650</v>
      </c>
      <c r="D174" s="6" t="s">
        <v>5073</v>
      </c>
      <c r="E174" s="6" t="s">
        <v>5386</v>
      </c>
      <c r="F174" s="6">
        <v>10000.0</v>
      </c>
      <c r="G174" s="145">
        <v>46116.0</v>
      </c>
      <c r="I174" s="6" t="s">
        <v>5651</v>
      </c>
      <c r="J174" s="11">
        <v>-8.1827028E7</v>
      </c>
      <c r="K174" s="11">
        <v>1.106792399E9</v>
      </c>
      <c r="M174" s="6">
        <v>173.0</v>
      </c>
    </row>
    <row r="175">
      <c r="A175" s="6">
        <v>174.0</v>
      </c>
      <c r="B175" s="6" t="s">
        <v>5652</v>
      </c>
      <c r="C175" s="6" t="s">
        <v>5653</v>
      </c>
      <c r="D175" s="6" t="s">
        <v>129</v>
      </c>
      <c r="E175" s="6" t="s">
        <v>5386</v>
      </c>
      <c r="F175" s="6">
        <v>0.0</v>
      </c>
      <c r="G175" s="145">
        <v>46146.0</v>
      </c>
      <c r="H175" s="6">
        <v>60.0</v>
      </c>
      <c r="I175" s="6" t="s">
        <v>5654</v>
      </c>
      <c r="J175" s="11">
        <v>-7.7987943E7</v>
      </c>
      <c r="K175" s="11">
        <v>1.10367443E8</v>
      </c>
      <c r="M175" s="6">
        <v>174.0</v>
      </c>
    </row>
    <row r="176">
      <c r="A176" s="6">
        <v>175.0</v>
      </c>
      <c r="B176" s="6" t="s">
        <v>5655</v>
      </c>
      <c r="C176" s="6" t="s">
        <v>5656</v>
      </c>
      <c r="D176" s="6" t="s">
        <v>5039</v>
      </c>
      <c r="E176" s="6" t="s">
        <v>5386</v>
      </c>
      <c r="F176" s="6">
        <v>100000.0</v>
      </c>
      <c r="G176" s="145">
        <v>46207.0</v>
      </c>
      <c r="H176" s="6">
        <v>120.0</v>
      </c>
      <c r="I176" s="6" t="s">
        <v>5657</v>
      </c>
      <c r="J176" s="11">
        <v>-7.5978656E7</v>
      </c>
      <c r="K176" s="11">
        <v>1.104233959E9</v>
      </c>
      <c r="M176" s="6">
        <v>175.0</v>
      </c>
    </row>
    <row r="177">
      <c r="A177" s="6">
        <v>176.0</v>
      </c>
      <c r="B177" s="6" t="s">
        <v>5658</v>
      </c>
      <c r="C177" s="6" t="s">
        <v>5659</v>
      </c>
      <c r="D177" s="6" t="s">
        <v>5039</v>
      </c>
      <c r="E177" s="6" t="s">
        <v>5386</v>
      </c>
      <c r="F177" s="6">
        <v>10000.0</v>
      </c>
      <c r="G177" s="145">
        <v>46116.0</v>
      </c>
      <c r="H177" s="6">
        <v>60.0</v>
      </c>
      <c r="I177" s="6" t="s">
        <v>5660</v>
      </c>
      <c r="J177" s="11">
        <v>-7.6159272E7</v>
      </c>
      <c r="K177" s="11">
        <v>1.104243329E9</v>
      </c>
      <c r="M177" s="6">
        <v>176.0</v>
      </c>
    </row>
    <row r="178">
      <c r="A178" s="6">
        <v>177.0</v>
      </c>
      <c r="B178" s="6" t="s">
        <v>5661</v>
      </c>
      <c r="C178" s="6" t="s">
        <v>5662</v>
      </c>
      <c r="D178" s="6" t="s">
        <v>5073</v>
      </c>
      <c r="E178" s="6" t="s">
        <v>5386</v>
      </c>
      <c r="F178" s="6">
        <v>10000.0</v>
      </c>
      <c r="G178" s="145">
        <v>46146.0</v>
      </c>
      <c r="I178" s="6" t="s">
        <v>5663</v>
      </c>
      <c r="J178" s="11">
        <v>-8024608.0</v>
      </c>
      <c r="K178" s="11">
        <v>1.103298045E9</v>
      </c>
      <c r="M178" s="6">
        <v>177.0</v>
      </c>
    </row>
    <row r="179">
      <c r="A179" s="6">
        <v>178.0</v>
      </c>
      <c r="B179" s="6" t="s">
        <v>5664</v>
      </c>
      <c r="C179" s="6" t="s">
        <v>5665</v>
      </c>
      <c r="D179" s="6" t="s">
        <v>5033</v>
      </c>
      <c r="E179" s="6" t="s">
        <v>5386</v>
      </c>
      <c r="F179" s="6">
        <v>40000.0</v>
      </c>
      <c r="G179" s="145">
        <v>46146.0</v>
      </c>
      <c r="I179" s="6" t="s">
        <v>5666</v>
      </c>
      <c r="J179" s="11">
        <v>-7.9339721E7</v>
      </c>
      <c r="K179" s="11">
        <v>1.10651966E8</v>
      </c>
      <c r="M179" s="6">
        <v>178.0</v>
      </c>
    </row>
    <row r="180">
      <c r="A180" s="6">
        <v>179.0</v>
      </c>
      <c r="B180" s="6" t="s">
        <v>5667</v>
      </c>
      <c r="C180" s="6" t="s">
        <v>5668</v>
      </c>
      <c r="D180" s="6" t="s">
        <v>5039</v>
      </c>
      <c r="E180" s="6" t="s">
        <v>5386</v>
      </c>
      <c r="F180" s="6">
        <v>75000.0</v>
      </c>
      <c r="G180" s="145">
        <v>46177.0</v>
      </c>
      <c r="H180" s="6">
        <v>90.0</v>
      </c>
      <c r="I180" s="6" t="s">
        <v>5669</v>
      </c>
      <c r="J180" s="11">
        <v>-7.7705416E7</v>
      </c>
      <c r="K180" s="11">
        <v>1.104894158E9</v>
      </c>
      <c r="M180" s="6">
        <v>179.0</v>
      </c>
    </row>
    <row r="181">
      <c r="A181" s="6">
        <v>180.0</v>
      </c>
      <c r="B181" s="6" t="s">
        <v>5670</v>
      </c>
      <c r="C181" s="6" t="s">
        <v>5671</v>
      </c>
      <c r="D181" s="6" t="s">
        <v>5073</v>
      </c>
      <c r="E181" s="6" t="s">
        <v>5386</v>
      </c>
      <c r="F181" s="6">
        <v>10000.0</v>
      </c>
      <c r="G181" s="145">
        <v>46085.0</v>
      </c>
      <c r="I181" s="6" t="s">
        <v>5672</v>
      </c>
      <c r="J181" s="11">
        <v>-8.0137087E7</v>
      </c>
      <c r="K181" s="11">
        <v>1.102914777E9</v>
      </c>
      <c r="M181" s="6">
        <v>180.0</v>
      </c>
    </row>
    <row r="182">
      <c r="A182" s="6">
        <v>181.0</v>
      </c>
      <c r="B182" s="6" t="s">
        <v>5673</v>
      </c>
      <c r="C182" s="6" t="s">
        <v>5674</v>
      </c>
      <c r="D182" s="6" t="s">
        <v>5073</v>
      </c>
      <c r="E182" s="6" t="s">
        <v>5386</v>
      </c>
      <c r="F182" s="6">
        <v>5000.0</v>
      </c>
      <c r="G182" s="145">
        <v>46146.0</v>
      </c>
      <c r="I182" s="6" t="s">
        <v>5675</v>
      </c>
      <c r="J182" s="11">
        <v>-8147072.0</v>
      </c>
      <c r="K182" s="11">
        <v>1.106079043E9</v>
      </c>
      <c r="M182" s="6">
        <v>181.0</v>
      </c>
    </row>
    <row r="183">
      <c r="A183" s="6">
        <v>182.0</v>
      </c>
      <c r="B183" s="6" t="s">
        <v>5676</v>
      </c>
      <c r="C183" s="6" t="s">
        <v>5677</v>
      </c>
      <c r="D183" s="6" t="s">
        <v>5073</v>
      </c>
      <c r="E183" s="6" t="s">
        <v>5386</v>
      </c>
      <c r="F183" s="6">
        <v>5000.0</v>
      </c>
      <c r="G183" s="145">
        <v>46026.0</v>
      </c>
      <c r="H183" s="6">
        <v>120.0</v>
      </c>
      <c r="I183" s="6" t="s">
        <v>5678</v>
      </c>
      <c r="J183" s="11">
        <v>-7.8933459E7</v>
      </c>
      <c r="K183" s="11">
        <v>1.100198257E9</v>
      </c>
      <c r="M183" s="6">
        <v>182.0</v>
      </c>
    </row>
    <row r="184">
      <c r="A184" s="6">
        <v>183.0</v>
      </c>
      <c r="B184" s="6" t="s">
        <v>5679</v>
      </c>
      <c r="C184" s="6" t="s">
        <v>5680</v>
      </c>
      <c r="D184" s="6" t="s">
        <v>5036</v>
      </c>
      <c r="E184" s="6" t="s">
        <v>5386</v>
      </c>
      <c r="F184" s="6">
        <v>150000.0</v>
      </c>
      <c r="G184" s="145">
        <v>46116.0</v>
      </c>
      <c r="I184" s="6" t="s">
        <v>5681</v>
      </c>
      <c r="J184" s="11">
        <v>-7.7478461E7</v>
      </c>
      <c r="K184" s="11">
        <v>1.104188754E9</v>
      </c>
      <c r="M184" s="6">
        <v>183.0</v>
      </c>
    </row>
    <row r="185">
      <c r="A185" s="6">
        <v>184.0</v>
      </c>
      <c r="B185" s="6" t="s">
        <v>5682</v>
      </c>
      <c r="C185" s="6" t="s">
        <v>5683</v>
      </c>
      <c r="D185" s="6" t="s">
        <v>5073</v>
      </c>
      <c r="E185" s="6" t="s">
        <v>5386</v>
      </c>
      <c r="F185" s="6">
        <v>10000.0</v>
      </c>
      <c r="G185" s="145">
        <v>46116.0</v>
      </c>
      <c r="H185" s="6">
        <v>120.0</v>
      </c>
      <c r="I185" s="6" t="s">
        <v>5684</v>
      </c>
      <c r="J185" s="11">
        <v>-8.1366656E7</v>
      </c>
      <c r="K185" s="11">
        <v>1.105659962E9</v>
      </c>
      <c r="M185" s="6">
        <v>184.0</v>
      </c>
    </row>
    <row r="186">
      <c r="A186" s="6">
        <v>185.0</v>
      </c>
      <c r="B186" s="6" t="s">
        <v>5685</v>
      </c>
      <c r="C186" s="6" t="s">
        <v>5686</v>
      </c>
      <c r="D186" s="6" t="s">
        <v>5073</v>
      </c>
      <c r="E186" s="6" t="s">
        <v>5386</v>
      </c>
      <c r="F186" s="6">
        <v>10000.0</v>
      </c>
      <c r="G186" s="145">
        <v>46146.0</v>
      </c>
      <c r="I186" s="6" t="s">
        <v>5687</v>
      </c>
      <c r="J186" s="11">
        <v>-8145019.0</v>
      </c>
      <c r="K186" s="11">
        <v>1.105998857E9</v>
      </c>
      <c r="M186" s="6">
        <v>185.0</v>
      </c>
    </row>
    <row r="187">
      <c r="A187" s="6">
        <v>186.0</v>
      </c>
      <c r="B187" s="6" t="s">
        <v>5688</v>
      </c>
      <c r="C187" s="6" t="s">
        <v>5689</v>
      </c>
      <c r="D187" s="6" t="s">
        <v>5073</v>
      </c>
      <c r="E187" s="6" t="s">
        <v>5386</v>
      </c>
      <c r="F187" s="6">
        <v>5000.0</v>
      </c>
      <c r="G187" s="145">
        <v>46116.0</v>
      </c>
      <c r="I187" s="6" t="s">
        <v>5690</v>
      </c>
      <c r="J187" s="11">
        <v>-7.9119427E7</v>
      </c>
      <c r="K187" s="11">
        <v>1.100647339E9</v>
      </c>
      <c r="M187" s="6">
        <v>186.0</v>
      </c>
    </row>
    <row r="188">
      <c r="A188" s="6">
        <v>187.0</v>
      </c>
      <c r="B188" s="6" t="s">
        <v>5691</v>
      </c>
      <c r="C188" s="6" t="s">
        <v>5692</v>
      </c>
      <c r="D188" s="6" t="s">
        <v>5073</v>
      </c>
      <c r="E188" s="6" t="s">
        <v>5386</v>
      </c>
      <c r="F188" s="6">
        <v>10000.0</v>
      </c>
      <c r="G188" s="145">
        <v>46177.0</v>
      </c>
      <c r="I188" s="6" t="s">
        <v>5693</v>
      </c>
      <c r="J188" s="11">
        <v>-8.1818233E7</v>
      </c>
      <c r="K188" s="11">
        <v>1.106832394E9</v>
      </c>
      <c r="M188" s="6">
        <v>187.0</v>
      </c>
    </row>
    <row r="189">
      <c r="A189" s="6">
        <v>188.0</v>
      </c>
      <c r="B189" s="6" t="s">
        <v>5694</v>
      </c>
      <c r="C189" s="6" t="s">
        <v>5695</v>
      </c>
      <c r="D189" s="6" t="s">
        <v>5073</v>
      </c>
      <c r="E189" s="6" t="s">
        <v>5386</v>
      </c>
      <c r="F189" s="6">
        <v>10000.0</v>
      </c>
      <c r="G189" s="145">
        <v>46177.0</v>
      </c>
      <c r="I189" s="6" t="s">
        <v>5696</v>
      </c>
      <c r="J189" s="11">
        <v>-8145668.0</v>
      </c>
      <c r="K189" s="11">
        <v>1.106043914E9</v>
      </c>
      <c r="M189" s="6">
        <v>188.0</v>
      </c>
    </row>
    <row r="190">
      <c r="A190" s="6">
        <v>189.0</v>
      </c>
      <c r="B190" s="6" t="s">
        <v>5697</v>
      </c>
      <c r="C190" s="6" t="s">
        <v>5698</v>
      </c>
      <c r="D190" s="6" t="s">
        <v>5073</v>
      </c>
      <c r="E190" s="6" t="s">
        <v>5386</v>
      </c>
      <c r="F190" s="6">
        <v>10000.0</v>
      </c>
      <c r="G190" s="145">
        <v>46026.0</v>
      </c>
      <c r="I190" s="6" t="s">
        <v>5699</v>
      </c>
      <c r="J190" s="11">
        <v>-8.1060061E7</v>
      </c>
      <c r="K190" s="11">
        <v>1.104618655E9</v>
      </c>
      <c r="M190" s="6">
        <v>189.0</v>
      </c>
    </row>
    <row r="191">
      <c r="A191" s="6">
        <v>190.0</v>
      </c>
      <c r="B191" s="6" t="s">
        <v>5700</v>
      </c>
      <c r="C191" s="6" t="s">
        <v>5701</v>
      </c>
      <c r="D191" s="6" t="s">
        <v>5073</v>
      </c>
      <c r="E191" s="6" t="s">
        <v>5386</v>
      </c>
      <c r="F191" s="6">
        <v>4000.0</v>
      </c>
      <c r="G191" s="6">
        <v>4.0</v>
      </c>
      <c r="H191" s="6">
        <v>45.0</v>
      </c>
      <c r="I191" s="6" t="s">
        <v>5702</v>
      </c>
      <c r="J191" s="11">
        <v>-8.0045535E7</v>
      </c>
      <c r="K191" s="11">
        <v>1.102703756E9</v>
      </c>
      <c r="M191" s="6">
        <v>190.0</v>
      </c>
    </row>
    <row r="192">
      <c r="A192" s="6">
        <v>191.0</v>
      </c>
      <c r="B192" s="6" t="s">
        <v>5703</v>
      </c>
      <c r="C192" s="6" t="s">
        <v>5704</v>
      </c>
      <c r="D192" s="6" t="s">
        <v>5073</v>
      </c>
      <c r="E192" s="6" t="s">
        <v>5386</v>
      </c>
      <c r="F192" s="6">
        <v>10000.0</v>
      </c>
      <c r="G192" s="145">
        <v>46146.0</v>
      </c>
      <c r="I192" s="6" t="s">
        <v>5705</v>
      </c>
      <c r="J192" s="11">
        <v>-8.1384509E7</v>
      </c>
      <c r="K192" s="11">
        <v>1.10577522E8</v>
      </c>
      <c r="M192" s="6">
        <v>191.0</v>
      </c>
    </row>
    <row r="193">
      <c r="A193" s="6">
        <v>192.0</v>
      </c>
      <c r="B193" s="6" t="s">
        <v>5706</v>
      </c>
      <c r="C193" s="6" t="s">
        <v>5707</v>
      </c>
      <c r="D193" s="6" t="s">
        <v>5033</v>
      </c>
      <c r="E193" s="6" t="s">
        <v>5386</v>
      </c>
      <c r="F193" s="6">
        <v>15000.0</v>
      </c>
      <c r="G193" s="145">
        <v>46116.0</v>
      </c>
      <c r="I193" s="6" t="s">
        <v>5708</v>
      </c>
      <c r="J193" s="11">
        <v>-7943178.0</v>
      </c>
      <c r="K193" s="11">
        <v>1.1048924E7</v>
      </c>
      <c r="M193" s="6">
        <v>192.0</v>
      </c>
    </row>
    <row r="194">
      <c r="A194" s="6">
        <v>193.0</v>
      </c>
      <c r="B194" s="6" t="s">
        <v>5709</v>
      </c>
      <c r="C194" s="6" t="s">
        <v>5710</v>
      </c>
      <c r="D194" s="6" t="s">
        <v>5039</v>
      </c>
      <c r="E194" s="6" t="s">
        <v>5386</v>
      </c>
      <c r="F194" s="6">
        <v>50000.0</v>
      </c>
      <c r="G194" s="145">
        <v>46177.0</v>
      </c>
      <c r="I194" s="6" t="s">
        <v>5711</v>
      </c>
      <c r="J194" s="11">
        <v>-7.7439217E7</v>
      </c>
      <c r="K194" s="11">
        <v>1.104929095E9</v>
      </c>
      <c r="M194" s="6">
        <v>193.0</v>
      </c>
    </row>
    <row r="195">
      <c r="A195" s="6">
        <v>194.0</v>
      </c>
      <c r="B195" s="6" t="s">
        <v>5712</v>
      </c>
      <c r="C195" s="6" t="s">
        <v>5713</v>
      </c>
      <c r="D195" s="6" t="s">
        <v>5073</v>
      </c>
      <c r="E195" s="6" t="s">
        <v>5386</v>
      </c>
      <c r="F195" s="6">
        <v>5000.0</v>
      </c>
      <c r="G195" s="145">
        <v>46146.0</v>
      </c>
      <c r="I195" s="6" t="s">
        <v>5714</v>
      </c>
      <c r="J195" s="11">
        <v>-8.1862462E7</v>
      </c>
      <c r="K195" s="11">
        <v>1.10709901E8</v>
      </c>
      <c r="M195" s="6">
        <v>194.0</v>
      </c>
    </row>
    <row r="196">
      <c r="A196" s="6">
        <v>195.0</v>
      </c>
      <c r="B196" s="6" t="s">
        <v>5715</v>
      </c>
      <c r="C196" s="6" t="s">
        <v>5716</v>
      </c>
      <c r="D196" s="6" t="s">
        <v>5073</v>
      </c>
      <c r="E196" s="6" t="s">
        <v>5386</v>
      </c>
      <c r="F196" s="6">
        <v>5000.0</v>
      </c>
      <c r="G196" s="145">
        <v>46116.0</v>
      </c>
      <c r="I196" s="6" t="s">
        <v>5717</v>
      </c>
      <c r="J196" s="11">
        <v>-8180135.0</v>
      </c>
      <c r="K196" s="11">
        <v>1.106763715E9</v>
      </c>
      <c r="M196" s="6">
        <v>195.0</v>
      </c>
    </row>
    <row r="197">
      <c r="A197" s="6">
        <v>196.0</v>
      </c>
      <c r="B197" s="6" t="s">
        <v>5718</v>
      </c>
      <c r="C197" s="6" t="s">
        <v>5719</v>
      </c>
      <c r="D197" s="6" t="s">
        <v>5073</v>
      </c>
      <c r="E197" s="6" t="s">
        <v>5386</v>
      </c>
      <c r="F197" s="6">
        <v>3000.0</v>
      </c>
      <c r="G197" s="145">
        <v>46116.0</v>
      </c>
      <c r="I197" s="6" t="s">
        <v>5720</v>
      </c>
      <c r="J197" s="11">
        <v>-8.1211475E7</v>
      </c>
      <c r="K197" s="11">
        <v>1.105142337E9</v>
      </c>
      <c r="M197" s="6">
        <v>196.0</v>
      </c>
    </row>
    <row r="198">
      <c r="A198" s="6">
        <v>197.0</v>
      </c>
      <c r="B198" s="6" t="s">
        <v>5721</v>
      </c>
      <c r="C198" s="6" t="s">
        <v>5722</v>
      </c>
      <c r="D198" s="6" t="s">
        <v>5073</v>
      </c>
      <c r="E198" s="6" t="s">
        <v>5386</v>
      </c>
      <c r="F198" s="6">
        <v>5000.0</v>
      </c>
      <c r="G198" s="145">
        <v>46177.0</v>
      </c>
      <c r="I198" s="6" t="s">
        <v>5723</v>
      </c>
      <c r="J198" s="11">
        <v>-8197822.0</v>
      </c>
      <c r="K198" s="11">
        <v>1.107123397E9</v>
      </c>
      <c r="M198" s="6">
        <v>197.0</v>
      </c>
    </row>
    <row r="199">
      <c r="A199" s="6">
        <v>198.0</v>
      </c>
      <c r="B199" s="6" t="s">
        <v>5724</v>
      </c>
      <c r="C199" s="6" t="s">
        <v>5725</v>
      </c>
      <c r="D199" s="6" t="s">
        <v>5073</v>
      </c>
      <c r="E199" s="6" t="s">
        <v>5386</v>
      </c>
      <c r="F199" s="6">
        <v>5000.0</v>
      </c>
      <c r="G199" s="145">
        <v>46177.0</v>
      </c>
      <c r="I199" s="6" t="s">
        <v>5726</v>
      </c>
      <c r="J199" s="11">
        <v>-8.1978644E7</v>
      </c>
      <c r="K199" s="11">
        <v>1.107186216E9</v>
      </c>
      <c r="M199" s="6">
        <v>198.0</v>
      </c>
    </row>
    <row r="200">
      <c r="A200" s="6">
        <v>199.0</v>
      </c>
      <c r="B200" s="6" t="s">
        <v>5727</v>
      </c>
      <c r="C200" s="6" t="s">
        <v>5728</v>
      </c>
      <c r="D200" s="6" t="s">
        <v>5073</v>
      </c>
      <c r="E200" s="6" t="s">
        <v>5386</v>
      </c>
      <c r="F200" s="6">
        <v>5000.0</v>
      </c>
      <c r="G200" s="145">
        <v>46146.0</v>
      </c>
      <c r="I200" s="6" t="s">
        <v>5729</v>
      </c>
      <c r="J200" s="11">
        <v>-8.1978943E7</v>
      </c>
      <c r="K200" s="11">
        <v>1.107208535E9</v>
      </c>
      <c r="M200" s="6">
        <v>199.0</v>
      </c>
    </row>
    <row r="201">
      <c r="A201" s="6">
        <v>200.0</v>
      </c>
      <c r="B201" s="6" t="s">
        <v>5730</v>
      </c>
      <c r="C201" s="6" t="s">
        <v>5731</v>
      </c>
      <c r="D201" s="6" t="s">
        <v>5073</v>
      </c>
      <c r="E201" s="6" t="s">
        <v>5386</v>
      </c>
      <c r="F201" s="6">
        <v>5000.0</v>
      </c>
      <c r="G201" s="145">
        <v>46177.0</v>
      </c>
      <c r="I201" s="6" t="s">
        <v>5732</v>
      </c>
      <c r="J201" s="11">
        <v>-8.1370556E7</v>
      </c>
      <c r="K201" s="11">
        <v>1.105746611E9</v>
      </c>
      <c r="M201" s="6">
        <v>200.0</v>
      </c>
    </row>
    <row r="202">
      <c r="A202" s="6">
        <v>201.0</v>
      </c>
      <c r="B202" s="6" t="s">
        <v>5733</v>
      </c>
      <c r="C202" s="6" t="s">
        <v>5734</v>
      </c>
      <c r="D202" s="6" t="s">
        <v>5073</v>
      </c>
      <c r="E202" s="6" t="s">
        <v>5386</v>
      </c>
      <c r="F202" s="6">
        <v>5000.0</v>
      </c>
      <c r="G202" s="145">
        <v>46177.0</v>
      </c>
      <c r="H202" s="6">
        <v>90.0</v>
      </c>
      <c r="I202" s="6" t="s">
        <v>5735</v>
      </c>
      <c r="J202" s="11">
        <v>-8.0961535E7</v>
      </c>
      <c r="K202" s="11">
        <v>1.104350483E9</v>
      </c>
      <c r="M202" s="6">
        <v>201.0</v>
      </c>
    </row>
    <row r="203">
      <c r="A203" s="6">
        <v>202.0</v>
      </c>
      <c r="B203" s="6" t="s">
        <v>5736</v>
      </c>
      <c r="C203" s="6" t="s">
        <v>5737</v>
      </c>
      <c r="D203" s="6" t="s">
        <v>5073</v>
      </c>
      <c r="E203" s="6" t="s">
        <v>5386</v>
      </c>
      <c r="F203" s="6">
        <v>10000.0</v>
      </c>
      <c r="G203" s="145">
        <v>46146.0</v>
      </c>
      <c r="I203" s="6" t="s">
        <v>5738</v>
      </c>
      <c r="J203" s="11">
        <v>-8146423.0</v>
      </c>
      <c r="K203" s="11">
        <v>1.106061408E9</v>
      </c>
      <c r="M203" s="6">
        <v>202.0</v>
      </c>
    </row>
    <row r="204">
      <c r="A204" s="6">
        <v>203.0</v>
      </c>
      <c r="B204" s="6" t="s">
        <v>5739</v>
      </c>
      <c r="C204" s="6" t="s">
        <v>5740</v>
      </c>
      <c r="D204" s="6" t="s">
        <v>5036</v>
      </c>
      <c r="E204" s="6" t="s">
        <v>5386</v>
      </c>
      <c r="F204" s="6">
        <v>40000.0</v>
      </c>
      <c r="G204" s="145">
        <v>46085.0</v>
      </c>
      <c r="I204" s="6" t="s">
        <v>5741</v>
      </c>
      <c r="J204" s="11">
        <v>-7.8159633E7</v>
      </c>
      <c r="K204" s="11">
        <v>1.104136917E9</v>
      </c>
      <c r="M204" s="6">
        <v>203.0</v>
      </c>
    </row>
    <row r="205">
      <c r="A205" s="6">
        <v>204.0</v>
      </c>
      <c r="B205" s="6" t="s">
        <v>5742</v>
      </c>
      <c r="C205" s="6" t="s">
        <v>5743</v>
      </c>
      <c r="D205" s="6" t="s">
        <v>5036</v>
      </c>
      <c r="E205" s="6" t="s">
        <v>5386</v>
      </c>
      <c r="F205" s="6">
        <v>0.0</v>
      </c>
      <c r="G205" s="145">
        <v>46116.0</v>
      </c>
      <c r="I205" s="6" t="s">
        <v>5744</v>
      </c>
      <c r="J205" s="11">
        <v>-7.6258806E7</v>
      </c>
      <c r="K205" s="11">
        <v>1.10371698E8</v>
      </c>
      <c r="M205" s="6">
        <v>204.0</v>
      </c>
    </row>
    <row r="206">
      <c r="A206" s="6">
        <v>205.0</v>
      </c>
      <c r="B206" s="6" t="s">
        <v>5745</v>
      </c>
      <c r="C206" s="6" t="s">
        <v>5746</v>
      </c>
      <c r="D206" s="6" t="s">
        <v>5036</v>
      </c>
      <c r="E206" s="6" t="s">
        <v>5386</v>
      </c>
      <c r="F206" s="6">
        <v>50000.0</v>
      </c>
      <c r="G206" s="145">
        <v>46146.0</v>
      </c>
      <c r="I206" s="6" t="s">
        <v>5747</v>
      </c>
      <c r="J206" s="11">
        <v>-7.8725673E7</v>
      </c>
      <c r="K206" s="11">
        <v>1.103546963E9</v>
      </c>
      <c r="M206" s="6">
        <v>205.0</v>
      </c>
    </row>
    <row r="207">
      <c r="A207" s="6">
        <v>206.0</v>
      </c>
      <c r="B207" s="6" t="s">
        <v>5748</v>
      </c>
      <c r="C207" s="6" t="s">
        <v>5749</v>
      </c>
      <c r="D207" s="6" t="s">
        <v>5033</v>
      </c>
      <c r="E207" s="6" t="s">
        <v>5386</v>
      </c>
      <c r="F207" s="6">
        <v>8000.0</v>
      </c>
      <c r="G207" s="145">
        <v>46116.0</v>
      </c>
      <c r="H207" s="6">
        <v>60.0</v>
      </c>
      <c r="I207" s="6" t="s">
        <v>5750</v>
      </c>
      <c r="J207" s="11">
        <v>-7.6120675E7</v>
      </c>
      <c r="K207" s="11">
        <v>1.104205209E9</v>
      </c>
      <c r="M207" s="6">
        <v>206.0</v>
      </c>
    </row>
    <row r="208">
      <c r="A208" s="6">
        <v>207.0</v>
      </c>
      <c r="B208" s="6" t="s">
        <v>5751</v>
      </c>
      <c r="C208" s="6" t="s">
        <v>5752</v>
      </c>
      <c r="D208" s="6" t="s">
        <v>5036</v>
      </c>
      <c r="E208" s="6" t="s">
        <v>5386</v>
      </c>
      <c r="F208" s="6">
        <v>15000.0</v>
      </c>
      <c r="G208" s="145">
        <v>46116.0</v>
      </c>
      <c r="H208" s="6">
        <v>120.0</v>
      </c>
      <c r="I208" s="6" t="s">
        <v>5753</v>
      </c>
      <c r="J208" s="11">
        <v>-7.8496144E7</v>
      </c>
      <c r="K208" s="11">
        <v>1.10478324E8</v>
      </c>
      <c r="M208" s="6">
        <v>207.0</v>
      </c>
    </row>
    <row r="209">
      <c r="A209" s="6">
        <v>208.0</v>
      </c>
      <c r="B209" s="6" t="s">
        <v>5754</v>
      </c>
      <c r="C209" s="6" t="s">
        <v>5755</v>
      </c>
      <c r="D209" s="6" t="s">
        <v>5033</v>
      </c>
      <c r="E209" s="6" t="s">
        <v>5386</v>
      </c>
      <c r="F209" s="6">
        <v>10000.0</v>
      </c>
      <c r="G209" s="145">
        <v>46177.0</v>
      </c>
      <c r="H209" s="6">
        <v>150.0</v>
      </c>
      <c r="I209" s="6" t="s">
        <v>5756</v>
      </c>
      <c r="J209" s="11">
        <v>-7.7628136E7</v>
      </c>
      <c r="K209" s="11">
        <v>1.101161626E9</v>
      </c>
      <c r="M209" s="6">
        <v>208.0</v>
      </c>
    </row>
    <row r="210">
      <c r="A210" s="6">
        <v>209.0</v>
      </c>
      <c r="B210" s="6" t="s">
        <v>5757</v>
      </c>
      <c r="C210" s="6" t="s">
        <v>5758</v>
      </c>
      <c r="D210" s="6" t="s">
        <v>5073</v>
      </c>
      <c r="E210" s="6" t="s">
        <v>5386</v>
      </c>
      <c r="F210" s="6">
        <v>10000.0</v>
      </c>
      <c r="G210" s="145">
        <v>46146.0</v>
      </c>
      <c r="I210" s="6" t="s">
        <v>5759</v>
      </c>
      <c r="J210" s="11">
        <v>-8.1367456E7</v>
      </c>
      <c r="K210" s="11">
        <v>1.105716362E9</v>
      </c>
      <c r="M210" s="6">
        <v>209.0</v>
      </c>
    </row>
    <row r="211">
      <c r="A211" s="6">
        <v>210.0</v>
      </c>
      <c r="B211" s="6" t="s">
        <v>5760</v>
      </c>
      <c r="C211" s="6" t="s">
        <v>5761</v>
      </c>
      <c r="D211" s="6" t="s">
        <v>5073</v>
      </c>
      <c r="E211" s="6" t="s">
        <v>5386</v>
      </c>
      <c r="F211" s="6">
        <v>3000.0</v>
      </c>
      <c r="G211" s="145">
        <v>46085.0</v>
      </c>
      <c r="I211" s="6" t="s">
        <v>5762</v>
      </c>
      <c r="J211" s="11">
        <v>-7.9075425E7</v>
      </c>
      <c r="K211" s="11">
        <v>1.100535658E9</v>
      </c>
      <c r="M211" s="6">
        <v>210.0</v>
      </c>
    </row>
    <row r="212">
      <c r="A212" s="6">
        <v>211.0</v>
      </c>
      <c r="B212" s="6" t="s">
        <v>5763</v>
      </c>
      <c r="C212" s="6" t="s">
        <v>5764</v>
      </c>
      <c r="D212" s="6" t="s">
        <v>5033</v>
      </c>
      <c r="E212" s="6" t="s">
        <v>5765</v>
      </c>
      <c r="F212" s="6">
        <v>30000.0</v>
      </c>
      <c r="G212" s="145">
        <v>46146.0</v>
      </c>
      <c r="I212" s="6" t="s">
        <v>5766</v>
      </c>
      <c r="J212" s="11">
        <v>-6.7596377E7</v>
      </c>
      <c r="K212" s="11">
        <v>1.076097807E9</v>
      </c>
      <c r="M212" s="6">
        <v>211.0</v>
      </c>
    </row>
    <row r="213">
      <c r="A213" s="6">
        <v>212.0</v>
      </c>
      <c r="B213" s="6" t="s">
        <v>5767</v>
      </c>
      <c r="C213" s="6" t="s">
        <v>5768</v>
      </c>
      <c r="D213" s="6" t="s">
        <v>5039</v>
      </c>
      <c r="E213" s="6" t="s">
        <v>5765</v>
      </c>
      <c r="F213" s="6">
        <v>0.0</v>
      </c>
      <c r="G213" s="145">
        <v>46207.0</v>
      </c>
      <c r="I213" s="6" t="s">
        <v>5769</v>
      </c>
      <c r="J213" s="11">
        <v>-6.9150534E7</v>
      </c>
      <c r="K213" s="11">
        <v>1.076089842E9</v>
      </c>
      <c r="M213" s="6">
        <v>212.0</v>
      </c>
    </row>
    <row r="214">
      <c r="A214" s="6">
        <v>213.0</v>
      </c>
      <c r="B214" s="6" t="s">
        <v>5770</v>
      </c>
      <c r="C214" s="6" t="s">
        <v>5771</v>
      </c>
      <c r="D214" s="6" t="s">
        <v>5039</v>
      </c>
      <c r="E214" s="6" t="s">
        <v>5765</v>
      </c>
      <c r="F214" s="6">
        <v>5000.0</v>
      </c>
      <c r="G214" s="145">
        <v>46177.0</v>
      </c>
      <c r="I214" s="6" t="s">
        <v>5772</v>
      </c>
      <c r="J214" s="11">
        <v>-6.9024812E7</v>
      </c>
      <c r="K214" s="11">
        <v>1.0761881E7</v>
      </c>
      <c r="M214" s="6">
        <v>213.0</v>
      </c>
    </row>
    <row r="215">
      <c r="A215" s="6">
        <v>214.0</v>
      </c>
      <c r="B215" s="6" t="s">
        <v>5773</v>
      </c>
      <c r="C215" s="6" t="s">
        <v>5774</v>
      </c>
      <c r="D215" s="6" t="s">
        <v>5036</v>
      </c>
      <c r="E215" s="6" t="s">
        <v>5765</v>
      </c>
      <c r="F215" s="6">
        <v>280000.0</v>
      </c>
      <c r="G215" s="145">
        <v>46146.0</v>
      </c>
      <c r="H215" s="6">
        <v>240.0</v>
      </c>
      <c r="I215" s="6" t="s">
        <v>5775</v>
      </c>
      <c r="J215" s="11">
        <v>-6.9250943E7</v>
      </c>
      <c r="K215" s="11">
        <v>1.076364944E9</v>
      </c>
      <c r="M215" s="6">
        <v>214.0</v>
      </c>
    </row>
    <row r="216">
      <c r="A216" s="6">
        <v>215.0</v>
      </c>
      <c r="B216" s="6" t="s">
        <v>5776</v>
      </c>
      <c r="C216" s="6" t="s">
        <v>5777</v>
      </c>
      <c r="D216" s="6" t="s">
        <v>5033</v>
      </c>
      <c r="E216" s="6" t="s">
        <v>5765</v>
      </c>
      <c r="F216" s="6">
        <v>15000.0</v>
      </c>
      <c r="G216" s="145">
        <v>46146.0</v>
      </c>
      <c r="H216" s="6">
        <v>90.0</v>
      </c>
      <c r="I216" s="6" t="s">
        <v>5778</v>
      </c>
      <c r="J216" s="11">
        <v>-6.8565791E7</v>
      </c>
      <c r="K216" s="11">
        <v>1.076323734E9</v>
      </c>
      <c r="M216" s="6">
        <v>215.0</v>
      </c>
    </row>
    <row r="217">
      <c r="A217" s="6">
        <v>216.0</v>
      </c>
      <c r="B217" s="6" t="s">
        <v>5779</v>
      </c>
      <c r="C217" s="6" t="s">
        <v>5780</v>
      </c>
      <c r="D217" s="6" t="s">
        <v>5036</v>
      </c>
      <c r="E217" s="6" t="s">
        <v>5765</v>
      </c>
      <c r="F217" s="6">
        <v>30000.0</v>
      </c>
      <c r="G217" s="145">
        <v>46116.0</v>
      </c>
      <c r="I217" s="6" t="s">
        <v>5781</v>
      </c>
      <c r="J217" s="11">
        <v>-6832969.0</v>
      </c>
      <c r="K217" s="11">
        <v>1.076056183E9</v>
      </c>
      <c r="M217" s="6">
        <v>216.0</v>
      </c>
    </row>
    <row r="218">
      <c r="A218" s="6">
        <v>217.0</v>
      </c>
      <c r="B218" s="6" t="s">
        <v>5782</v>
      </c>
      <c r="C218" s="6" t="s">
        <v>5783</v>
      </c>
      <c r="D218" s="6" t="s">
        <v>5033</v>
      </c>
      <c r="E218" s="6" t="s">
        <v>5765</v>
      </c>
      <c r="F218" s="6">
        <v>20000.0</v>
      </c>
      <c r="G218" s="6">
        <v>4.0</v>
      </c>
      <c r="H218" s="6">
        <v>180.0</v>
      </c>
      <c r="I218" s="6" t="s">
        <v>5784</v>
      </c>
      <c r="J218" s="11">
        <v>-6.8897177E7</v>
      </c>
      <c r="K218" s="11">
        <v>1.076077282E9</v>
      </c>
      <c r="M218" s="6">
        <v>217.0</v>
      </c>
    </row>
    <row r="219">
      <c r="A219" s="6">
        <v>218.0</v>
      </c>
      <c r="B219" s="6" t="s">
        <v>5785</v>
      </c>
      <c r="C219" s="6" t="s">
        <v>5786</v>
      </c>
      <c r="D219" s="6" t="s">
        <v>5033</v>
      </c>
      <c r="E219" s="6" t="s">
        <v>5765</v>
      </c>
      <c r="F219" s="6">
        <v>81000.0</v>
      </c>
      <c r="G219" s="145">
        <v>46146.0</v>
      </c>
      <c r="I219" s="6" t="s">
        <v>5787</v>
      </c>
      <c r="J219" s="11">
        <v>-7.1662039E7</v>
      </c>
      <c r="K219" s="11">
        <v>1.074021256E9</v>
      </c>
      <c r="M219" s="6">
        <v>218.0</v>
      </c>
    </row>
    <row r="220">
      <c r="A220" s="6">
        <v>219.0</v>
      </c>
      <c r="B220" s="6" t="s">
        <v>5788</v>
      </c>
      <c r="C220" s="6" t="s">
        <v>5789</v>
      </c>
      <c r="D220" s="6" t="s">
        <v>5033</v>
      </c>
      <c r="E220" s="6" t="s">
        <v>5765</v>
      </c>
      <c r="F220" s="6">
        <v>15000.0</v>
      </c>
      <c r="G220" s="145">
        <v>46146.0</v>
      </c>
      <c r="I220" s="6" t="s">
        <v>5790</v>
      </c>
      <c r="J220" s="11">
        <v>-6.8340683E7</v>
      </c>
      <c r="K220" s="11">
        <v>1.076636151E9</v>
      </c>
      <c r="M220" s="6">
        <v>219.0</v>
      </c>
    </row>
    <row r="221">
      <c r="A221" s="6">
        <v>220.0</v>
      </c>
      <c r="B221" s="6" t="s">
        <v>5791</v>
      </c>
      <c r="C221" s="6" t="s">
        <v>5792</v>
      </c>
      <c r="D221" s="6" t="s">
        <v>5036</v>
      </c>
      <c r="E221" s="6" t="s">
        <v>5765</v>
      </c>
      <c r="F221" s="6">
        <v>25000.0</v>
      </c>
      <c r="G221" s="145">
        <v>46146.0</v>
      </c>
      <c r="I221" s="6" t="s">
        <v>5793</v>
      </c>
      <c r="J221" s="11">
        <v>-6.7897147E7</v>
      </c>
      <c r="K221" s="11">
        <v>1.075791627E9</v>
      </c>
      <c r="M221" s="6">
        <v>220.0</v>
      </c>
    </row>
    <row r="222">
      <c r="A222" s="6">
        <v>221.0</v>
      </c>
      <c r="B222" s="6" t="s">
        <v>5794</v>
      </c>
      <c r="C222" s="6" t="s">
        <v>5795</v>
      </c>
      <c r="D222" s="6" t="s">
        <v>5039</v>
      </c>
      <c r="E222" s="6" t="s">
        <v>5765</v>
      </c>
      <c r="F222" s="6">
        <v>2000.0</v>
      </c>
      <c r="G222" s="145">
        <v>46177.0</v>
      </c>
      <c r="I222" s="6" t="s">
        <v>5796</v>
      </c>
      <c r="J222" s="11">
        <v>-6.9007162E7</v>
      </c>
      <c r="K222" s="11">
        <v>1.076214553E9</v>
      </c>
      <c r="M222" s="6">
        <v>221.0</v>
      </c>
    </row>
    <row r="223">
      <c r="A223" s="6">
        <v>222.0</v>
      </c>
      <c r="B223" s="6" t="s">
        <v>5797</v>
      </c>
      <c r="C223" s="6" t="s">
        <v>5798</v>
      </c>
      <c r="D223" s="6" t="s">
        <v>5039</v>
      </c>
      <c r="E223" s="6" t="s">
        <v>5765</v>
      </c>
      <c r="F223" s="6">
        <v>0.0</v>
      </c>
      <c r="G223" s="145">
        <v>46177.0</v>
      </c>
      <c r="H223" s="6">
        <v>60.0</v>
      </c>
      <c r="I223" s="6" t="s">
        <v>5799</v>
      </c>
      <c r="J223" s="11">
        <v>-6.9211092E7</v>
      </c>
      <c r="K223" s="11">
        <v>1.07609597E8</v>
      </c>
      <c r="M223" s="6">
        <v>222.0</v>
      </c>
    </row>
    <row r="224">
      <c r="A224" s="6">
        <v>223.0</v>
      </c>
      <c r="B224" s="6" t="s">
        <v>5800</v>
      </c>
      <c r="C224" s="6" t="s">
        <v>5801</v>
      </c>
      <c r="D224" s="6" t="s">
        <v>5055</v>
      </c>
      <c r="E224" s="6" t="s">
        <v>5765</v>
      </c>
      <c r="F224" s="6">
        <v>0.0</v>
      </c>
      <c r="G224" s="145">
        <v>46207.0</v>
      </c>
      <c r="I224" s="6" t="s">
        <v>5802</v>
      </c>
      <c r="J224" s="11">
        <v>-6.9216897E7</v>
      </c>
      <c r="K224" s="11">
        <v>1.076061399E9</v>
      </c>
      <c r="M224" s="6">
        <v>223.0</v>
      </c>
    </row>
    <row r="225">
      <c r="A225" s="6">
        <v>224.0</v>
      </c>
      <c r="B225" s="6" t="s">
        <v>5803</v>
      </c>
      <c r="C225" s="6" t="s">
        <v>5804</v>
      </c>
      <c r="D225" s="6" t="s">
        <v>5036</v>
      </c>
      <c r="E225" s="6" t="s">
        <v>5765</v>
      </c>
      <c r="F225" s="6">
        <v>40000.0</v>
      </c>
      <c r="G225" s="145">
        <v>46057.0</v>
      </c>
      <c r="H225" s="6">
        <v>150.0</v>
      </c>
      <c r="I225" s="6" t="s">
        <v>5805</v>
      </c>
      <c r="J225" s="11">
        <v>-6.8486423E7</v>
      </c>
      <c r="K225" s="11">
        <v>1.07625939E8</v>
      </c>
      <c r="M225" s="6">
        <v>224.0</v>
      </c>
    </row>
    <row r="226">
      <c r="A226" s="6">
        <v>225.0</v>
      </c>
      <c r="B226" s="6" t="s">
        <v>5806</v>
      </c>
      <c r="C226" s="6" t="s">
        <v>5807</v>
      </c>
      <c r="D226" s="6" t="s">
        <v>5036</v>
      </c>
      <c r="E226" s="6" t="s">
        <v>5765</v>
      </c>
      <c r="F226" s="6">
        <v>50000.0</v>
      </c>
      <c r="G226" s="145">
        <v>46177.0</v>
      </c>
      <c r="H226" s="6">
        <v>150.0</v>
      </c>
      <c r="I226" s="6" t="s">
        <v>5808</v>
      </c>
      <c r="J226" s="11">
        <v>-6780493.0</v>
      </c>
      <c r="K226" s="11">
        <v>1.07637475E8</v>
      </c>
      <c r="M226" s="6">
        <v>225.0</v>
      </c>
    </row>
    <row r="227">
      <c r="A227" s="6">
        <v>226.0</v>
      </c>
      <c r="B227" s="6" t="s">
        <v>5809</v>
      </c>
      <c r="C227" s="6" t="s">
        <v>5810</v>
      </c>
      <c r="D227" s="6" t="s">
        <v>5036</v>
      </c>
      <c r="E227" s="6" t="s">
        <v>5765</v>
      </c>
      <c r="F227" s="6">
        <v>20000.0</v>
      </c>
      <c r="G227" s="145">
        <v>46116.0</v>
      </c>
      <c r="H227" s="6">
        <v>120.0</v>
      </c>
      <c r="I227" s="6" t="s">
        <v>5811</v>
      </c>
      <c r="J227" s="11">
        <v>-6.8419756E7</v>
      </c>
      <c r="K227" s="11">
        <v>1.07622824E8</v>
      </c>
      <c r="M227" s="6">
        <v>226.0</v>
      </c>
    </row>
    <row r="228">
      <c r="A228" s="6">
        <v>227.0</v>
      </c>
      <c r="B228" s="6" t="s">
        <v>5812</v>
      </c>
      <c r="C228" s="6" t="s">
        <v>5813</v>
      </c>
      <c r="D228" s="6" t="s">
        <v>5036</v>
      </c>
      <c r="E228" s="6" t="s">
        <v>5765</v>
      </c>
      <c r="F228" s="6">
        <v>0.0</v>
      </c>
      <c r="G228" s="145">
        <v>46177.0</v>
      </c>
      <c r="H228" s="6">
        <v>60.0</v>
      </c>
      <c r="I228" s="6" t="s">
        <v>5814</v>
      </c>
      <c r="J228" s="11">
        <v>-6.9218571E7</v>
      </c>
      <c r="K228" s="11">
        <v>1.076070141E9</v>
      </c>
      <c r="M228" s="6">
        <v>227.0</v>
      </c>
    </row>
    <row r="229">
      <c r="A229" s="6">
        <v>228.0</v>
      </c>
      <c r="B229" s="6" t="s">
        <v>5815</v>
      </c>
      <c r="C229" s="6" t="s">
        <v>5816</v>
      </c>
      <c r="D229" s="6" t="s">
        <v>5039</v>
      </c>
      <c r="E229" s="6" t="s">
        <v>5765</v>
      </c>
      <c r="F229" s="6">
        <v>3000.0</v>
      </c>
      <c r="G229" s="145">
        <v>46146.0</v>
      </c>
      <c r="I229" s="6" t="s">
        <v>5817</v>
      </c>
      <c r="J229" s="11">
        <v>-6.9375748E7</v>
      </c>
      <c r="K229" s="11">
        <v>1.07603775E8</v>
      </c>
      <c r="M229" s="6">
        <v>228.0</v>
      </c>
    </row>
    <row r="230">
      <c r="A230" s="6">
        <v>229.0</v>
      </c>
      <c r="B230" s="6" t="s">
        <v>5818</v>
      </c>
      <c r="C230" s="6" t="s">
        <v>5819</v>
      </c>
      <c r="D230" s="6" t="s">
        <v>5036</v>
      </c>
      <c r="E230" s="6" t="s">
        <v>5765</v>
      </c>
      <c r="F230" s="6">
        <v>45000.0</v>
      </c>
      <c r="G230" s="6">
        <v>4.0</v>
      </c>
      <c r="H230" s="6">
        <v>90.0</v>
      </c>
      <c r="I230" s="6" t="s">
        <v>5820</v>
      </c>
      <c r="J230" s="11">
        <v>-6.8669518E7</v>
      </c>
      <c r="K230" s="11">
        <v>1.076100859E9</v>
      </c>
      <c r="M230" s="6">
        <v>229.0</v>
      </c>
    </row>
    <row r="231">
      <c r="A231" s="6">
        <v>230.0</v>
      </c>
      <c r="B231" s="6" t="s">
        <v>5821</v>
      </c>
      <c r="C231" s="6" t="s">
        <v>5822</v>
      </c>
      <c r="D231" s="6" t="s">
        <v>5036</v>
      </c>
      <c r="E231" s="6" t="s">
        <v>5765</v>
      </c>
      <c r="F231" s="6">
        <v>30000.0</v>
      </c>
      <c r="G231" s="145">
        <v>46116.0</v>
      </c>
      <c r="I231" s="6" t="s">
        <v>5823</v>
      </c>
      <c r="J231" s="11">
        <v>-6.8281528E7</v>
      </c>
      <c r="K231" s="11">
        <v>1.074350179E9</v>
      </c>
      <c r="M231" s="6">
        <v>230.0</v>
      </c>
    </row>
    <row r="232">
      <c r="A232" s="6">
        <v>231.0</v>
      </c>
      <c r="B232" s="6" t="s">
        <v>5824</v>
      </c>
      <c r="C232" s="6" t="s">
        <v>5825</v>
      </c>
      <c r="D232" s="6" t="s">
        <v>5036</v>
      </c>
      <c r="E232" s="6" t="s">
        <v>5765</v>
      </c>
      <c r="F232" s="6">
        <v>50000.0</v>
      </c>
      <c r="G232" s="145">
        <v>46116.0</v>
      </c>
      <c r="H232" s="6">
        <v>180.0</v>
      </c>
      <c r="I232" s="6" t="s">
        <v>5826</v>
      </c>
      <c r="J232" s="11">
        <v>-6833123.0</v>
      </c>
      <c r="K232" s="11">
        <v>1.076041595E9</v>
      </c>
      <c r="M232" s="6">
        <v>231.0</v>
      </c>
    </row>
    <row r="233">
      <c r="A233" s="6">
        <v>232.0</v>
      </c>
      <c r="B233" s="6" t="s">
        <v>5827</v>
      </c>
      <c r="C233" s="6" t="s">
        <v>5828</v>
      </c>
      <c r="D233" s="6" t="s">
        <v>5033</v>
      </c>
      <c r="E233" s="6" t="s">
        <v>5765</v>
      </c>
      <c r="F233" s="6">
        <v>25000.0</v>
      </c>
      <c r="G233" s="145">
        <v>46146.0</v>
      </c>
      <c r="I233" s="6" t="s">
        <v>5829</v>
      </c>
      <c r="J233" s="11">
        <v>-6.8422202E7</v>
      </c>
      <c r="K233" s="11">
        <v>1.076767988E9</v>
      </c>
      <c r="M233" s="6">
        <v>232.0</v>
      </c>
    </row>
    <row r="234">
      <c r="A234" s="6">
        <v>233.0</v>
      </c>
      <c r="B234" s="6" t="s">
        <v>5830</v>
      </c>
      <c r="C234" s="6" t="s">
        <v>5831</v>
      </c>
      <c r="D234" s="6" t="s">
        <v>5033</v>
      </c>
      <c r="E234" s="6" t="s">
        <v>5765</v>
      </c>
      <c r="F234" s="6">
        <v>30000.0</v>
      </c>
      <c r="G234" s="145">
        <v>46177.0</v>
      </c>
      <c r="I234" s="6" t="s">
        <v>5832</v>
      </c>
      <c r="J234" s="11">
        <v>-7.3193253E7</v>
      </c>
      <c r="K234" s="11">
        <v>1.077310494E9</v>
      </c>
      <c r="M234" s="6">
        <v>233.0</v>
      </c>
    </row>
    <row r="235">
      <c r="A235" s="6">
        <v>234.0</v>
      </c>
      <c r="B235" s="6" t="s">
        <v>5833</v>
      </c>
      <c r="C235" s="6" t="s">
        <v>5834</v>
      </c>
      <c r="D235" s="6" t="s">
        <v>5039</v>
      </c>
      <c r="E235" s="6" t="s">
        <v>5765</v>
      </c>
      <c r="F235" s="6">
        <v>75000.0</v>
      </c>
      <c r="G235" s="145">
        <v>46146.0</v>
      </c>
      <c r="H235" s="6">
        <v>45.0</v>
      </c>
      <c r="I235" s="6" t="s">
        <v>5835</v>
      </c>
      <c r="J235" s="11">
        <v>-6.8516591E7</v>
      </c>
      <c r="K235" s="11">
        <v>1.075955534E9</v>
      </c>
      <c r="M235" s="6">
        <v>234.0</v>
      </c>
    </row>
    <row r="236">
      <c r="A236" s="6">
        <v>235.0</v>
      </c>
      <c r="B236" s="6" t="s">
        <v>5836</v>
      </c>
      <c r="C236" s="6" t="s">
        <v>5837</v>
      </c>
      <c r="D236" s="6" t="s">
        <v>5033</v>
      </c>
      <c r="E236" s="6" t="s">
        <v>5765</v>
      </c>
      <c r="F236" s="6">
        <v>15000.0</v>
      </c>
      <c r="G236" s="145">
        <v>46116.0</v>
      </c>
      <c r="H236" s="6">
        <v>45.0</v>
      </c>
      <c r="I236" s="6" t="s">
        <v>5838</v>
      </c>
      <c r="J236" s="11">
        <v>-6.8544594E7</v>
      </c>
      <c r="K236" s="11">
        <v>1.076377907E9</v>
      </c>
      <c r="M236" s="6">
        <v>235.0</v>
      </c>
    </row>
    <row r="237">
      <c r="A237" s="6">
        <v>236.0</v>
      </c>
      <c r="B237" s="6" t="s">
        <v>5839</v>
      </c>
      <c r="C237" s="6" t="s">
        <v>5840</v>
      </c>
      <c r="D237" s="6" t="s">
        <v>5036</v>
      </c>
      <c r="E237" s="6" t="s">
        <v>5765</v>
      </c>
      <c r="F237" s="6">
        <v>0.0</v>
      </c>
      <c r="G237" s="145">
        <v>46177.0</v>
      </c>
      <c r="H237" s="6">
        <v>45.0</v>
      </c>
      <c r="I237" s="6" t="s">
        <v>5841</v>
      </c>
      <c r="J237" s="11">
        <v>-6912966.0</v>
      </c>
      <c r="K237" s="11">
        <v>1.076096031E9</v>
      </c>
      <c r="M237" s="6">
        <v>236.0</v>
      </c>
    </row>
    <row r="238">
      <c r="A238" s="6">
        <v>237.0</v>
      </c>
      <c r="B238" s="6" t="s">
        <v>5842</v>
      </c>
      <c r="C238" s="6" t="s">
        <v>5843</v>
      </c>
      <c r="D238" s="6" t="s">
        <v>5036</v>
      </c>
      <c r="E238" s="6" t="s">
        <v>5765</v>
      </c>
      <c r="F238" s="6">
        <v>75000.0</v>
      </c>
      <c r="G238" s="145">
        <v>46085.0</v>
      </c>
      <c r="I238" s="6" t="s">
        <v>5844</v>
      </c>
      <c r="J238" s="11">
        <v>-6.9614032E7</v>
      </c>
      <c r="K238" s="11">
        <v>1.076227321E9</v>
      </c>
      <c r="M238" s="6">
        <v>237.0</v>
      </c>
    </row>
    <row r="239">
      <c r="A239" s="6">
        <v>238.0</v>
      </c>
      <c r="B239" s="6" t="s">
        <v>5845</v>
      </c>
      <c r="C239" s="6" t="s">
        <v>5846</v>
      </c>
      <c r="D239" s="6" t="s">
        <v>5033</v>
      </c>
      <c r="E239" s="6" t="s">
        <v>5765</v>
      </c>
      <c r="F239" s="6">
        <v>7500.0</v>
      </c>
      <c r="G239" s="145">
        <v>46146.0</v>
      </c>
      <c r="I239" s="6" t="s">
        <v>5847</v>
      </c>
      <c r="J239" s="11">
        <v>-6.8761111E7</v>
      </c>
      <c r="K239" s="11">
        <v>1.077436111E9</v>
      </c>
      <c r="M239" s="6">
        <v>238.0</v>
      </c>
    </row>
    <row r="240">
      <c r="A240" s="6">
        <v>239.0</v>
      </c>
      <c r="B240" s="6" t="s">
        <v>5848</v>
      </c>
      <c r="C240" s="6" t="s">
        <v>5849</v>
      </c>
      <c r="D240" s="6" t="s">
        <v>5033</v>
      </c>
      <c r="E240" s="6" t="s">
        <v>5765</v>
      </c>
      <c r="F240" s="6">
        <v>50000.0</v>
      </c>
      <c r="G240" s="145">
        <v>46146.0</v>
      </c>
      <c r="H240" s="6">
        <v>210.0</v>
      </c>
      <c r="I240" s="6" t="s">
        <v>5850</v>
      </c>
      <c r="J240" s="11">
        <v>-6.8059154E7</v>
      </c>
      <c r="K240" s="11">
        <v>1.075919726E9</v>
      </c>
      <c r="M240" s="6">
        <v>239.0</v>
      </c>
    </row>
    <row r="241">
      <c r="A241" s="6">
        <v>240.0</v>
      </c>
      <c r="B241" s="6" t="s">
        <v>5851</v>
      </c>
      <c r="C241" s="6" t="s">
        <v>5852</v>
      </c>
      <c r="D241" s="6" t="s">
        <v>5036</v>
      </c>
      <c r="E241" s="6" t="s">
        <v>5765</v>
      </c>
      <c r="F241" s="6">
        <v>7000.0</v>
      </c>
      <c r="G241" s="145">
        <v>46116.0</v>
      </c>
      <c r="H241" s="6">
        <v>60.0</v>
      </c>
      <c r="I241" s="6" t="s">
        <v>5853</v>
      </c>
      <c r="J241" s="11">
        <v>-6911211.0</v>
      </c>
      <c r="K241" s="11">
        <v>1.076133389E9</v>
      </c>
      <c r="M241" s="6">
        <v>240.0</v>
      </c>
    </row>
    <row r="242">
      <c r="A242" s="6">
        <v>241.0</v>
      </c>
      <c r="B242" s="6" t="s">
        <v>5854</v>
      </c>
      <c r="C242" s="6" t="s">
        <v>5855</v>
      </c>
      <c r="D242" s="6" t="s">
        <v>5036</v>
      </c>
      <c r="E242" s="6" t="s">
        <v>5765</v>
      </c>
      <c r="F242" s="6">
        <v>0.0</v>
      </c>
      <c r="G242" s="145">
        <v>46116.0</v>
      </c>
      <c r="H242" s="6">
        <v>120.0</v>
      </c>
      <c r="I242" s="6" t="s">
        <v>5856</v>
      </c>
      <c r="J242" s="11">
        <v>-6847898.0</v>
      </c>
      <c r="K242" s="11">
        <v>1.076276146E9</v>
      </c>
      <c r="M242" s="6">
        <v>241.0</v>
      </c>
    </row>
    <row r="243">
      <c r="A243" s="6">
        <v>242.0</v>
      </c>
      <c r="B243" s="6" t="s">
        <v>5857</v>
      </c>
      <c r="C243" s="6" t="s">
        <v>5858</v>
      </c>
      <c r="D243" s="6" t="s">
        <v>5033</v>
      </c>
      <c r="E243" s="6" t="s">
        <v>5765</v>
      </c>
      <c r="F243" s="6">
        <v>12000.0</v>
      </c>
      <c r="G243" s="6">
        <v>4.0</v>
      </c>
      <c r="I243" s="6" t="s">
        <v>5859</v>
      </c>
      <c r="J243" s="11">
        <v>-6.8655225E7</v>
      </c>
      <c r="K243" s="11">
        <v>1.076181878E9</v>
      </c>
      <c r="M243" s="6">
        <v>242.0</v>
      </c>
    </row>
    <row r="244">
      <c r="A244" s="6">
        <v>243.0</v>
      </c>
      <c r="B244" s="6" t="s">
        <v>5860</v>
      </c>
      <c r="C244" s="6" t="s">
        <v>5861</v>
      </c>
      <c r="D244" s="6" t="s">
        <v>5039</v>
      </c>
      <c r="E244" s="6" t="s">
        <v>5765</v>
      </c>
      <c r="F244" s="6">
        <v>15000.0</v>
      </c>
      <c r="G244" s="145">
        <v>46026.0</v>
      </c>
      <c r="I244" s="6" t="s">
        <v>5862</v>
      </c>
      <c r="J244" s="11">
        <v>-6.9154546E7</v>
      </c>
      <c r="K244" s="11">
        <v>1.07640769E8</v>
      </c>
      <c r="M244" s="6">
        <v>243.0</v>
      </c>
    </row>
    <row r="245">
      <c r="A245" s="6">
        <v>244.0</v>
      </c>
      <c r="B245" s="6" t="s">
        <v>5863</v>
      </c>
      <c r="C245" s="6" t="s">
        <v>5864</v>
      </c>
      <c r="D245" s="6" t="s">
        <v>5036</v>
      </c>
      <c r="E245" s="6" t="s">
        <v>5765</v>
      </c>
      <c r="F245" s="6">
        <v>10000.0</v>
      </c>
      <c r="G245" s="145">
        <v>46026.0</v>
      </c>
      <c r="I245" s="6" t="s">
        <v>5865</v>
      </c>
      <c r="J245" s="11">
        <v>-7.0093633E7</v>
      </c>
      <c r="K245" s="11">
        <v>1.076069444E9</v>
      </c>
      <c r="M245" s="6">
        <v>244.0</v>
      </c>
    </row>
    <row r="246">
      <c r="A246" s="6">
        <v>245.0</v>
      </c>
      <c r="B246" s="6" t="s">
        <v>5866</v>
      </c>
      <c r="C246" s="6" t="s">
        <v>5867</v>
      </c>
      <c r="D246" s="6" t="s">
        <v>5036</v>
      </c>
      <c r="E246" s="6" t="s">
        <v>5765</v>
      </c>
      <c r="F246" s="6">
        <v>20000.0</v>
      </c>
      <c r="G246" s="145">
        <v>46116.0</v>
      </c>
      <c r="H246" s="6">
        <v>150.0</v>
      </c>
      <c r="I246" s="6" t="s">
        <v>5868</v>
      </c>
      <c r="J246" s="11">
        <v>-6819604.0</v>
      </c>
      <c r="K246" s="11">
        <v>1.075964519E9</v>
      </c>
      <c r="M246" s="6">
        <v>245.0</v>
      </c>
    </row>
    <row r="247">
      <c r="A247" s="6">
        <v>246.0</v>
      </c>
      <c r="B247" s="6" t="s">
        <v>5869</v>
      </c>
      <c r="C247" s="6" t="s">
        <v>5870</v>
      </c>
      <c r="D247" s="6" t="s">
        <v>5033</v>
      </c>
      <c r="E247" s="6" t="s">
        <v>5765</v>
      </c>
      <c r="F247" s="6">
        <v>10000.0</v>
      </c>
      <c r="G247" s="145">
        <v>46116.0</v>
      </c>
      <c r="H247" s="6">
        <v>120.0</v>
      </c>
      <c r="I247" s="6" t="s">
        <v>5871</v>
      </c>
      <c r="J247" s="11">
        <v>-6.7905692E7</v>
      </c>
      <c r="K247" s="11">
        <v>1.075826388E9</v>
      </c>
      <c r="M247" s="6">
        <v>246.0</v>
      </c>
    </row>
    <row r="248">
      <c r="A248" s="6">
        <v>247.0</v>
      </c>
      <c r="B248" s="6" t="s">
        <v>5872</v>
      </c>
      <c r="C248" s="6" t="s">
        <v>5873</v>
      </c>
      <c r="D248" s="6" t="s">
        <v>5036</v>
      </c>
      <c r="E248" s="6" t="s">
        <v>5765</v>
      </c>
      <c r="F248" s="6">
        <v>15000.0</v>
      </c>
      <c r="G248" s="145">
        <v>46116.0</v>
      </c>
      <c r="I248" s="6" t="s">
        <v>5874</v>
      </c>
      <c r="J248" s="11">
        <v>-6.9159459E7</v>
      </c>
      <c r="K248" s="11">
        <v>1.076421462E9</v>
      </c>
      <c r="M248" s="6">
        <v>247.0</v>
      </c>
    </row>
    <row r="249">
      <c r="A249" s="6">
        <v>248.0</v>
      </c>
      <c r="B249" s="6" t="s">
        <v>5875</v>
      </c>
      <c r="C249" s="6" t="s">
        <v>5876</v>
      </c>
      <c r="D249" s="6" t="s">
        <v>5036</v>
      </c>
      <c r="E249" s="6" t="s">
        <v>5765</v>
      </c>
      <c r="F249" s="6">
        <v>50000.0</v>
      </c>
      <c r="G249" s="145">
        <v>46207.0</v>
      </c>
      <c r="I249" s="6" t="s">
        <v>5877</v>
      </c>
      <c r="J249" s="11">
        <v>-6.8778589E7</v>
      </c>
      <c r="K249" s="11">
        <v>1.075720263E9</v>
      </c>
      <c r="M249" s="6">
        <v>248.0</v>
      </c>
    </row>
    <row r="250">
      <c r="A250" s="6">
        <v>249.0</v>
      </c>
      <c r="B250" s="6" t="s">
        <v>5878</v>
      </c>
      <c r="C250" s="6" t="s">
        <v>5879</v>
      </c>
      <c r="D250" s="6" t="s">
        <v>5036</v>
      </c>
      <c r="E250" s="6" t="s">
        <v>5765</v>
      </c>
      <c r="F250" s="6">
        <v>100000.0</v>
      </c>
      <c r="G250" s="6">
        <v>4.0</v>
      </c>
      <c r="H250" s="6">
        <v>30.0</v>
      </c>
      <c r="I250" s="6" t="s">
        <v>5880</v>
      </c>
      <c r="J250" s="11">
        <v>-68963.0</v>
      </c>
      <c r="K250" s="11">
        <v>107617.0</v>
      </c>
      <c r="M250" s="6">
        <v>249.0</v>
      </c>
    </row>
    <row r="251">
      <c r="A251" s="6">
        <v>250.0</v>
      </c>
      <c r="B251" s="6" t="s">
        <v>5881</v>
      </c>
      <c r="C251" s="6" t="s">
        <v>5882</v>
      </c>
      <c r="D251" s="6" t="s">
        <v>5036</v>
      </c>
      <c r="E251" s="6" t="s">
        <v>5765</v>
      </c>
      <c r="F251" s="6">
        <v>50000.0</v>
      </c>
      <c r="G251" s="145">
        <v>46026.0</v>
      </c>
      <c r="I251" s="6" t="s">
        <v>5883</v>
      </c>
      <c r="J251" s="11">
        <v>-7.0409154E7</v>
      </c>
      <c r="K251" s="11">
        <v>1.075269156E9</v>
      </c>
      <c r="M251" s="6">
        <v>250.0</v>
      </c>
    </row>
    <row r="252">
      <c r="A252" s="6">
        <v>251.0</v>
      </c>
      <c r="B252" s="6" t="s">
        <v>1195</v>
      </c>
      <c r="C252" s="6" t="s">
        <v>5884</v>
      </c>
      <c r="D252" s="6" t="s">
        <v>5036</v>
      </c>
      <c r="E252" s="6" t="s">
        <v>5765</v>
      </c>
      <c r="F252" s="6">
        <v>0.0</v>
      </c>
      <c r="G252" s="145">
        <v>46116.0</v>
      </c>
      <c r="I252" s="6" t="s">
        <v>5885</v>
      </c>
      <c r="J252" s="11">
        <v>-6.9021326E7</v>
      </c>
      <c r="K252" s="11">
        <v>1.076209387E9</v>
      </c>
      <c r="M252" s="6">
        <v>251.0</v>
      </c>
    </row>
    <row r="253">
      <c r="A253" s="6">
        <v>252.0</v>
      </c>
      <c r="B253" s="6" t="s">
        <v>5886</v>
      </c>
      <c r="C253" s="6" t="s">
        <v>5887</v>
      </c>
      <c r="D253" s="6" t="s">
        <v>5036</v>
      </c>
      <c r="E253" s="6" t="s">
        <v>5765</v>
      </c>
      <c r="F253" s="6">
        <v>15000.0</v>
      </c>
      <c r="G253" s="145">
        <v>46237.0</v>
      </c>
      <c r="H253" s="6">
        <v>60.0</v>
      </c>
      <c r="I253" s="6" t="s">
        <v>5888</v>
      </c>
      <c r="J253" s="11">
        <v>-6963162.0</v>
      </c>
      <c r="K253" s="11">
        <v>1.0766195E7</v>
      </c>
      <c r="M253" s="6">
        <v>252.0</v>
      </c>
    </row>
    <row r="254">
      <c r="A254" s="6">
        <v>253.0</v>
      </c>
      <c r="B254" s="6" t="s">
        <v>5889</v>
      </c>
      <c r="C254" s="6" t="s">
        <v>5890</v>
      </c>
      <c r="D254" s="6" t="s">
        <v>5036</v>
      </c>
      <c r="E254" s="6" t="s">
        <v>5765</v>
      </c>
      <c r="F254" s="6">
        <v>25000.0</v>
      </c>
      <c r="G254" s="145">
        <v>46177.0</v>
      </c>
      <c r="I254" s="6" t="s">
        <v>5891</v>
      </c>
      <c r="J254" s="11">
        <v>-6.8585406E7</v>
      </c>
      <c r="K254" s="11">
        <v>1.076365486E9</v>
      </c>
      <c r="M254" s="6">
        <v>253.0</v>
      </c>
    </row>
    <row r="255">
      <c r="A255" s="6">
        <v>254.0</v>
      </c>
      <c r="B255" s="6" t="s">
        <v>5892</v>
      </c>
      <c r="C255" s="6" t="s">
        <v>5893</v>
      </c>
      <c r="D255" s="6" t="s">
        <v>5036</v>
      </c>
      <c r="E255" s="6" t="s">
        <v>5765</v>
      </c>
      <c r="F255" s="6">
        <v>0.0</v>
      </c>
      <c r="G255" s="145">
        <v>46085.0</v>
      </c>
      <c r="H255" s="6">
        <v>60.0</v>
      </c>
      <c r="I255" s="6" t="s">
        <v>5894</v>
      </c>
      <c r="J255" s="11">
        <v>-6.8844199E7</v>
      </c>
      <c r="K255" s="11">
        <v>1.076068344E9</v>
      </c>
      <c r="M255" s="6">
        <v>254.0</v>
      </c>
    </row>
    <row r="256">
      <c r="A256" s="6">
        <v>255.0</v>
      </c>
      <c r="B256" s="6" t="s">
        <v>5895</v>
      </c>
      <c r="C256" s="6" t="s">
        <v>5896</v>
      </c>
      <c r="D256" s="6" t="s">
        <v>5039</v>
      </c>
      <c r="E256" s="6" t="s">
        <v>5765</v>
      </c>
      <c r="F256" s="6">
        <v>15000.0</v>
      </c>
      <c r="G256" s="145">
        <v>46116.0</v>
      </c>
      <c r="H256" s="6">
        <v>180.0</v>
      </c>
      <c r="I256" s="6" t="s">
        <v>5897</v>
      </c>
      <c r="J256" s="11">
        <v>-6.8782387E7</v>
      </c>
      <c r="K256" s="11">
        <v>1.075875349E9</v>
      </c>
      <c r="M256" s="6">
        <v>255.0</v>
      </c>
    </row>
    <row r="257">
      <c r="A257" s="6">
        <v>256.0</v>
      </c>
      <c r="B257" s="6" t="s">
        <v>5898</v>
      </c>
      <c r="C257" s="6" t="s">
        <v>5899</v>
      </c>
      <c r="D257" s="6" t="s">
        <v>5033</v>
      </c>
      <c r="E257" s="6" t="s">
        <v>5765</v>
      </c>
      <c r="F257" s="6">
        <v>10000.0</v>
      </c>
      <c r="G257" s="145">
        <v>46116.0</v>
      </c>
      <c r="I257" s="6" t="s">
        <v>5900</v>
      </c>
      <c r="J257" s="11">
        <v>-6.8936106E7</v>
      </c>
      <c r="K257" s="11">
        <v>1.077447399E9</v>
      </c>
      <c r="M257" s="6">
        <v>256.0</v>
      </c>
    </row>
    <row r="258">
      <c r="A258" s="6">
        <v>257.0</v>
      </c>
      <c r="B258" s="6" t="s">
        <v>5901</v>
      </c>
      <c r="C258" s="6" t="s">
        <v>5902</v>
      </c>
      <c r="D258" s="6" t="s">
        <v>5039</v>
      </c>
      <c r="E258" s="6" t="s">
        <v>5765</v>
      </c>
      <c r="F258" s="6">
        <v>0.0</v>
      </c>
      <c r="G258" s="145">
        <v>46085.0</v>
      </c>
      <c r="I258" s="6" t="s">
        <v>5903</v>
      </c>
      <c r="J258" s="11">
        <v>-6.9338497E7</v>
      </c>
      <c r="K258" s="11">
        <v>1.07604925E8</v>
      </c>
      <c r="M258" s="6">
        <v>257.0</v>
      </c>
    </row>
    <row r="259">
      <c r="A259" s="6">
        <v>258.0</v>
      </c>
      <c r="B259" s="6" t="s">
        <v>5904</v>
      </c>
      <c r="C259" s="6" t="s">
        <v>5905</v>
      </c>
      <c r="D259" s="6" t="s">
        <v>5039</v>
      </c>
      <c r="E259" s="6" t="s">
        <v>5765</v>
      </c>
      <c r="F259" s="6">
        <v>5000.0</v>
      </c>
      <c r="G259" s="145">
        <v>46177.0</v>
      </c>
      <c r="I259" s="6" t="s">
        <v>5906</v>
      </c>
      <c r="J259" s="11">
        <v>-6.9026379E7</v>
      </c>
      <c r="K259" s="11">
        <v>1.07619169E8</v>
      </c>
      <c r="M259" s="6">
        <v>258.0</v>
      </c>
    </row>
    <row r="260">
      <c r="A260" s="6">
        <v>259.0</v>
      </c>
      <c r="B260" s="6" t="s">
        <v>5907</v>
      </c>
      <c r="C260" s="6" t="s">
        <v>5908</v>
      </c>
      <c r="D260" s="6" t="s">
        <v>5039</v>
      </c>
      <c r="E260" s="6" t="s">
        <v>5765</v>
      </c>
      <c r="F260" s="6">
        <v>0.0</v>
      </c>
      <c r="G260" s="145">
        <v>46146.0</v>
      </c>
      <c r="H260" s="6">
        <v>45.0</v>
      </c>
      <c r="I260" s="6" t="s">
        <v>5909</v>
      </c>
      <c r="J260" s="11">
        <v>-6.8934327E7</v>
      </c>
      <c r="K260" s="11">
        <v>1.076185513E9</v>
      </c>
      <c r="M260" s="6">
        <v>259.0</v>
      </c>
    </row>
    <row r="261">
      <c r="A261" s="6">
        <v>260.0</v>
      </c>
      <c r="B261" s="6" t="s">
        <v>5910</v>
      </c>
      <c r="C261" s="6" t="s">
        <v>5911</v>
      </c>
      <c r="D261" s="6" t="s">
        <v>5039</v>
      </c>
      <c r="E261" s="6" t="s">
        <v>5765</v>
      </c>
      <c r="F261" s="6">
        <v>0.0</v>
      </c>
      <c r="G261" s="145">
        <v>46146.0</v>
      </c>
      <c r="I261" s="6" t="s">
        <v>5912</v>
      </c>
      <c r="J261" s="11">
        <v>-6902013.0</v>
      </c>
      <c r="K261" s="11">
        <v>1.076197787E9</v>
      </c>
      <c r="M261" s="6">
        <v>260.0</v>
      </c>
    </row>
    <row r="262">
      <c r="A262" s="6">
        <v>261.0</v>
      </c>
      <c r="B262" s="6" t="s">
        <v>5913</v>
      </c>
      <c r="C262" s="6" t="s">
        <v>5914</v>
      </c>
      <c r="D262" s="6" t="s">
        <v>5033</v>
      </c>
      <c r="E262" s="6" t="s">
        <v>5765</v>
      </c>
      <c r="F262" s="6">
        <v>10000.0</v>
      </c>
      <c r="G262" s="145">
        <v>46085.0</v>
      </c>
      <c r="I262" s="6" t="s">
        <v>5915</v>
      </c>
      <c r="J262" s="11">
        <v>-6786939.0</v>
      </c>
      <c r="K262" s="11">
        <v>1.075837331E9</v>
      </c>
      <c r="M262" s="6">
        <v>261.0</v>
      </c>
    </row>
    <row r="263">
      <c r="A263" s="6">
        <v>262.0</v>
      </c>
      <c r="B263" s="6" t="s">
        <v>5916</v>
      </c>
      <c r="C263" s="6" t="s">
        <v>5917</v>
      </c>
      <c r="D263" s="6" t="s">
        <v>5033</v>
      </c>
      <c r="E263" s="6" t="s">
        <v>5765</v>
      </c>
      <c r="F263" s="6">
        <v>50000.0</v>
      </c>
      <c r="G263" s="145">
        <v>46207.0</v>
      </c>
      <c r="I263" s="6" t="s">
        <v>5918</v>
      </c>
      <c r="J263" s="11">
        <v>-6.8597013E7</v>
      </c>
      <c r="K263" s="11">
        <v>1.076360983E9</v>
      </c>
      <c r="M263" s="6">
        <v>262.0</v>
      </c>
    </row>
    <row r="264">
      <c r="A264" s="6">
        <v>263.0</v>
      </c>
      <c r="B264" s="6" t="s">
        <v>5919</v>
      </c>
      <c r="C264" s="6" t="s">
        <v>5920</v>
      </c>
      <c r="D264" s="6" t="s">
        <v>5033</v>
      </c>
      <c r="E264" s="6" t="s">
        <v>5765</v>
      </c>
      <c r="F264" s="6">
        <v>5000.0</v>
      </c>
      <c r="G264" s="145">
        <v>46026.0</v>
      </c>
      <c r="H264" s="6">
        <v>90.0</v>
      </c>
      <c r="I264" s="6" t="s">
        <v>5921</v>
      </c>
      <c r="J264" s="11">
        <v>-6.8743633E7</v>
      </c>
      <c r="K264" s="11">
        <v>1.076844023E9</v>
      </c>
      <c r="M264" s="6">
        <v>263.0</v>
      </c>
    </row>
    <row r="265">
      <c r="A265" s="6">
        <v>264.0</v>
      </c>
      <c r="B265" s="6" t="s">
        <v>5922</v>
      </c>
      <c r="C265" s="6" t="s">
        <v>5923</v>
      </c>
      <c r="D265" s="6" t="s">
        <v>5055</v>
      </c>
      <c r="E265" s="6" t="s">
        <v>5765</v>
      </c>
      <c r="F265" s="6">
        <v>0.0</v>
      </c>
      <c r="G265" s="145">
        <v>46238.0</v>
      </c>
      <c r="I265" s="6" t="s">
        <v>5924</v>
      </c>
      <c r="J265" s="11">
        <v>-6.9148394E7</v>
      </c>
      <c r="K265" s="11">
        <v>1.076105511E9</v>
      </c>
      <c r="M265" s="6">
        <v>264.0</v>
      </c>
    </row>
    <row r="266">
      <c r="A266" s="6">
        <v>265.0</v>
      </c>
      <c r="B266" s="6" t="s">
        <v>5925</v>
      </c>
      <c r="C266" s="6" t="s">
        <v>5926</v>
      </c>
      <c r="D266" s="6" t="s">
        <v>5039</v>
      </c>
      <c r="E266" s="6" t="s">
        <v>5765</v>
      </c>
      <c r="F266" s="6">
        <v>0.0</v>
      </c>
      <c r="G266" s="145">
        <v>46116.0</v>
      </c>
      <c r="H266" s="6">
        <v>60.0</v>
      </c>
      <c r="I266" s="6" t="s">
        <v>5927</v>
      </c>
      <c r="J266" s="11">
        <v>-6.9173405E7</v>
      </c>
      <c r="K266" s="11">
        <v>1.076112627E9</v>
      </c>
      <c r="M266" s="6">
        <v>265.0</v>
      </c>
    </row>
    <row r="267">
      <c r="A267" s="6">
        <v>266.0</v>
      </c>
      <c r="B267" s="6" t="s">
        <v>5928</v>
      </c>
      <c r="C267" s="6" t="s">
        <v>5929</v>
      </c>
      <c r="D267" s="6" t="s">
        <v>5033</v>
      </c>
      <c r="E267" s="6" t="s">
        <v>5765</v>
      </c>
      <c r="F267" s="6">
        <v>0.0</v>
      </c>
      <c r="G267" s="145">
        <v>46116.0</v>
      </c>
      <c r="I267" s="6" t="s">
        <v>5930</v>
      </c>
      <c r="J267" s="11">
        <v>-6.8580464E7</v>
      </c>
      <c r="K267" s="11">
        <v>1.076647084E9</v>
      </c>
      <c r="M267" s="6">
        <v>266.0</v>
      </c>
    </row>
    <row r="268">
      <c r="A268" s="6">
        <v>267.0</v>
      </c>
      <c r="B268" s="6" t="s">
        <v>5931</v>
      </c>
      <c r="C268" s="6" t="s">
        <v>5932</v>
      </c>
      <c r="D268" s="6" t="s">
        <v>5036</v>
      </c>
      <c r="E268" s="6" t="s">
        <v>5765</v>
      </c>
      <c r="F268" s="6">
        <v>50000.0</v>
      </c>
      <c r="G268" s="145">
        <v>46116.0</v>
      </c>
      <c r="I268" s="6" t="s">
        <v>5933</v>
      </c>
      <c r="J268" s="11">
        <v>-6.9119768E7</v>
      </c>
      <c r="K268" s="11">
        <v>1.07569674E8</v>
      </c>
      <c r="M268" s="6">
        <v>267.0</v>
      </c>
    </row>
    <row r="269">
      <c r="A269" s="6">
        <v>268.0</v>
      </c>
      <c r="B269" s="6" t="s">
        <v>5934</v>
      </c>
      <c r="C269" s="6" t="s">
        <v>5935</v>
      </c>
      <c r="D269" s="6" t="s">
        <v>5036</v>
      </c>
      <c r="E269" s="6" t="s">
        <v>5765</v>
      </c>
      <c r="F269" s="6">
        <v>50000.0</v>
      </c>
      <c r="G269" s="145">
        <v>46177.0</v>
      </c>
      <c r="H269" s="6">
        <v>150.0</v>
      </c>
      <c r="I269" s="6" t="s">
        <v>5936</v>
      </c>
      <c r="J269" s="11">
        <v>-6.8423638E7</v>
      </c>
      <c r="K269" s="11">
        <v>1.076232403E9</v>
      </c>
      <c r="M269" s="6">
        <v>268.0</v>
      </c>
    </row>
    <row r="270">
      <c r="A270" s="6">
        <v>269.0</v>
      </c>
      <c r="B270" s="6" t="s">
        <v>5937</v>
      </c>
      <c r="C270" s="6" t="s">
        <v>5938</v>
      </c>
      <c r="D270" s="6" t="s">
        <v>5033</v>
      </c>
      <c r="E270" s="6" t="s">
        <v>5765</v>
      </c>
      <c r="F270" s="6">
        <v>7500.0</v>
      </c>
      <c r="G270" s="145">
        <v>46146.0</v>
      </c>
      <c r="I270" s="6" t="s">
        <v>5939</v>
      </c>
      <c r="J270" s="11">
        <v>-6.8932173E7</v>
      </c>
      <c r="K270" s="11">
        <v>1.077448856E9</v>
      </c>
      <c r="M270" s="6">
        <v>269.0</v>
      </c>
    </row>
    <row r="271">
      <c r="A271" s="6">
        <v>270.0</v>
      </c>
      <c r="B271" s="6" t="s">
        <v>5940</v>
      </c>
      <c r="C271" s="6" t="s">
        <v>5941</v>
      </c>
      <c r="D271" s="6" t="s">
        <v>5033</v>
      </c>
      <c r="E271" s="6" t="s">
        <v>5765</v>
      </c>
      <c r="F271" s="6">
        <v>25000.0</v>
      </c>
      <c r="G271" s="145">
        <v>46177.0</v>
      </c>
      <c r="I271" s="6" t="s">
        <v>5942</v>
      </c>
      <c r="J271" s="11">
        <v>-6.8417795E7</v>
      </c>
      <c r="K271" s="11">
        <v>1.076768585E9</v>
      </c>
      <c r="M271" s="6">
        <v>270.0</v>
      </c>
    </row>
    <row r="272">
      <c r="A272" s="6">
        <v>271.0</v>
      </c>
      <c r="B272" s="6" t="s">
        <v>5943</v>
      </c>
      <c r="C272" s="6" t="s">
        <v>5944</v>
      </c>
      <c r="D272" s="6" t="s">
        <v>5036</v>
      </c>
      <c r="E272" s="6" t="s">
        <v>5765</v>
      </c>
      <c r="F272" s="6">
        <v>0.0</v>
      </c>
      <c r="G272" s="145">
        <v>46085.0</v>
      </c>
      <c r="H272" s="6">
        <v>45.0</v>
      </c>
      <c r="I272" s="6" t="s">
        <v>5945</v>
      </c>
      <c r="J272" s="11">
        <v>-6.9140478E7</v>
      </c>
      <c r="K272" s="11">
        <v>1.076101684E9</v>
      </c>
      <c r="M272" s="6">
        <v>271.0</v>
      </c>
    </row>
    <row r="273">
      <c r="A273" s="6">
        <v>272.0</v>
      </c>
      <c r="B273" s="6" t="s">
        <v>5946</v>
      </c>
      <c r="C273" s="6" t="s">
        <v>5947</v>
      </c>
      <c r="D273" s="6" t="s">
        <v>5039</v>
      </c>
      <c r="E273" s="6" t="s">
        <v>5765</v>
      </c>
      <c r="F273" s="6">
        <v>0.0</v>
      </c>
      <c r="G273" s="145">
        <v>46085.0</v>
      </c>
      <c r="H273" s="6">
        <v>120.0</v>
      </c>
      <c r="I273" s="6" t="s">
        <v>5948</v>
      </c>
      <c r="J273" s="11">
        <v>-6870099.0</v>
      </c>
      <c r="K273" s="11">
        <v>1.076164386E9</v>
      </c>
      <c r="M273" s="6">
        <v>272.0</v>
      </c>
    </row>
    <row r="274">
      <c r="A274" s="6">
        <v>273.0</v>
      </c>
      <c r="B274" s="6" t="s">
        <v>5949</v>
      </c>
      <c r="C274" s="6" t="s">
        <v>5950</v>
      </c>
      <c r="D274" s="6" t="s">
        <v>5033</v>
      </c>
      <c r="E274" s="6" t="s">
        <v>5765</v>
      </c>
      <c r="F274" s="6">
        <v>7500.0</v>
      </c>
      <c r="G274" s="145">
        <v>46085.0</v>
      </c>
      <c r="H274" s="6">
        <v>120.0</v>
      </c>
      <c r="I274" s="6" t="s">
        <v>5951</v>
      </c>
      <c r="J274" s="11">
        <v>-6790389.0</v>
      </c>
      <c r="K274" s="11">
        <v>1.075777632E9</v>
      </c>
      <c r="M274" s="6">
        <v>273.0</v>
      </c>
    </row>
    <row r="275">
      <c r="A275" s="6">
        <v>274.0</v>
      </c>
      <c r="B275" s="6" t="s">
        <v>5952</v>
      </c>
      <c r="C275" s="6" t="s">
        <v>5953</v>
      </c>
      <c r="D275" s="6" t="s">
        <v>5033</v>
      </c>
      <c r="E275" s="6" t="s">
        <v>5765</v>
      </c>
      <c r="F275" s="6">
        <v>0.0</v>
      </c>
      <c r="G275" s="145">
        <v>46177.0</v>
      </c>
      <c r="I275" s="6" t="s">
        <v>5954</v>
      </c>
      <c r="J275" s="11">
        <v>-6.8853746E7</v>
      </c>
      <c r="K275" s="11">
        <v>1.076111899E9</v>
      </c>
      <c r="M275" s="6">
        <v>274.0</v>
      </c>
    </row>
    <row r="276">
      <c r="A276" s="6">
        <v>275.0</v>
      </c>
      <c r="B276" s="6" t="s">
        <v>5955</v>
      </c>
      <c r="C276" s="6" t="s">
        <v>5956</v>
      </c>
      <c r="D276" s="6" t="s">
        <v>5033</v>
      </c>
      <c r="E276" s="6" t="s">
        <v>5765</v>
      </c>
      <c r="F276" s="6">
        <v>20000.0</v>
      </c>
      <c r="G276" s="145">
        <v>46268.0</v>
      </c>
      <c r="H276" s="6">
        <v>180.0</v>
      </c>
      <c r="I276" s="6" t="s">
        <v>5957</v>
      </c>
      <c r="J276" s="11">
        <v>-6.7991958E7</v>
      </c>
      <c r="K276" s="11">
        <v>1.075922088E9</v>
      </c>
      <c r="M276" s="6">
        <v>275.0</v>
      </c>
    </row>
    <row r="277">
      <c r="A277" s="6">
        <v>276.0</v>
      </c>
      <c r="B277" s="6" t="s">
        <v>5958</v>
      </c>
      <c r="C277" s="6" t="s">
        <v>5959</v>
      </c>
      <c r="D277" s="6" t="s">
        <v>5036</v>
      </c>
      <c r="E277" s="6" t="s">
        <v>5765</v>
      </c>
      <c r="F277" s="6">
        <v>10000.0</v>
      </c>
      <c r="G277" s="145">
        <v>46026.0</v>
      </c>
      <c r="H277" s="6">
        <v>30.0</v>
      </c>
      <c r="I277" s="6" t="s">
        <v>5960</v>
      </c>
      <c r="J277" s="11">
        <v>-6.8980549E7</v>
      </c>
      <c r="K277" s="11">
        <v>1.076094673E9</v>
      </c>
      <c r="M277" s="6">
        <v>276.0</v>
      </c>
    </row>
    <row r="278">
      <c r="A278" s="6">
        <v>277.0</v>
      </c>
      <c r="B278" s="6" t="s">
        <v>5961</v>
      </c>
      <c r="C278" s="6" t="s">
        <v>5962</v>
      </c>
      <c r="D278" s="6" t="s">
        <v>5036</v>
      </c>
      <c r="E278" s="6" t="s">
        <v>5765</v>
      </c>
      <c r="F278" s="6">
        <v>15000.0</v>
      </c>
      <c r="G278" s="145">
        <v>46085.0</v>
      </c>
      <c r="I278" s="6" t="s">
        <v>5963</v>
      </c>
      <c r="J278" s="11">
        <v>-6.9317951E7</v>
      </c>
      <c r="K278" s="11">
        <v>1.075883026E9</v>
      </c>
      <c r="M278" s="6">
        <v>277.0</v>
      </c>
    </row>
    <row r="279">
      <c r="A279" s="6">
        <v>278.0</v>
      </c>
      <c r="B279" s="6" t="s">
        <v>5964</v>
      </c>
      <c r="C279" s="6" t="s">
        <v>5965</v>
      </c>
      <c r="D279" s="6" t="s">
        <v>5055</v>
      </c>
      <c r="E279" s="6" t="s">
        <v>5765</v>
      </c>
      <c r="F279" s="6">
        <v>0.0</v>
      </c>
      <c r="G279" s="145">
        <v>46269.0</v>
      </c>
      <c r="I279" s="6" t="s">
        <v>5966</v>
      </c>
      <c r="J279" s="11">
        <v>-6863527.0</v>
      </c>
      <c r="K279" s="11">
        <v>1.075899194E9</v>
      </c>
      <c r="M279" s="6">
        <v>278.0</v>
      </c>
    </row>
    <row r="280">
      <c r="A280" s="6">
        <v>279.0</v>
      </c>
      <c r="B280" s="6" t="s">
        <v>5967</v>
      </c>
      <c r="C280" s="6" t="s">
        <v>5968</v>
      </c>
      <c r="D280" s="6" t="s">
        <v>5055</v>
      </c>
      <c r="E280" s="6" t="s">
        <v>5765</v>
      </c>
      <c r="F280" s="6">
        <v>0.0</v>
      </c>
      <c r="G280" s="145">
        <v>46238.0</v>
      </c>
      <c r="I280" s="6" t="s">
        <v>5969</v>
      </c>
      <c r="J280" s="11">
        <v>-6.9259635E7</v>
      </c>
      <c r="K280" s="11">
        <v>1.076354278E9</v>
      </c>
      <c r="M280" s="6">
        <v>279.0</v>
      </c>
    </row>
    <row r="281">
      <c r="A281" s="6">
        <v>280.0</v>
      </c>
      <c r="B281" s="6" t="s">
        <v>5970</v>
      </c>
      <c r="C281" s="6" t="s">
        <v>5971</v>
      </c>
      <c r="D281" s="6" t="s">
        <v>5055</v>
      </c>
      <c r="E281" s="6" t="s">
        <v>5765</v>
      </c>
      <c r="F281" s="6">
        <v>0.0</v>
      </c>
      <c r="G281" s="145">
        <v>46269.0</v>
      </c>
      <c r="I281" s="6" t="s">
        <v>5972</v>
      </c>
      <c r="J281" s="11">
        <v>-6.9347698E7</v>
      </c>
      <c r="K281" s="11">
        <v>1.076253513E9</v>
      </c>
      <c r="M281" s="6">
        <v>280.0</v>
      </c>
    </row>
    <row r="282">
      <c r="A282" s="6">
        <v>281.0</v>
      </c>
      <c r="B282" s="6" t="s">
        <v>5973</v>
      </c>
      <c r="C282" s="6" t="s">
        <v>5974</v>
      </c>
      <c r="D282" s="6" t="s">
        <v>5036</v>
      </c>
      <c r="E282" s="6" t="s">
        <v>5765</v>
      </c>
      <c r="F282" s="6">
        <v>60000.0</v>
      </c>
      <c r="G282" s="145">
        <v>46237.0</v>
      </c>
      <c r="I282" s="6" t="s">
        <v>5975</v>
      </c>
      <c r="J282" s="11">
        <v>-7.0096022E7</v>
      </c>
      <c r="K282" s="11">
        <v>1.076062161E9</v>
      </c>
      <c r="M282" s="6">
        <v>281.0</v>
      </c>
    </row>
    <row r="283">
      <c r="A283" s="6">
        <v>282.0</v>
      </c>
      <c r="B283" s="6" t="s">
        <v>5976</v>
      </c>
      <c r="C283" s="6" t="s">
        <v>5977</v>
      </c>
      <c r="D283" s="6" t="s">
        <v>5033</v>
      </c>
      <c r="E283" s="6" t="s">
        <v>5765</v>
      </c>
      <c r="F283" s="6">
        <v>7500.0</v>
      </c>
      <c r="G283" s="6">
        <v>4.0</v>
      </c>
      <c r="H283" s="6">
        <v>60.0</v>
      </c>
      <c r="I283" s="6" t="s">
        <v>5978</v>
      </c>
      <c r="J283" s="11">
        <v>-6.8908877E7</v>
      </c>
      <c r="K283" s="11">
        <v>1.077307085E9</v>
      </c>
      <c r="M283" s="6">
        <v>282.0</v>
      </c>
    </row>
    <row r="284">
      <c r="A284" s="6">
        <v>283.0</v>
      </c>
      <c r="B284" s="6" t="s">
        <v>5979</v>
      </c>
      <c r="C284" s="6" t="s">
        <v>5980</v>
      </c>
      <c r="D284" s="6" t="s">
        <v>5036</v>
      </c>
      <c r="E284" s="6" t="s">
        <v>5765</v>
      </c>
      <c r="F284" s="6">
        <v>0.0</v>
      </c>
      <c r="G284" s="145">
        <v>46177.0</v>
      </c>
      <c r="I284" s="6" t="s">
        <v>5981</v>
      </c>
      <c r="J284" s="11">
        <v>-6.9000987E7</v>
      </c>
      <c r="K284" s="11">
        <v>1.076046708E9</v>
      </c>
      <c r="M284" s="6">
        <v>283.0</v>
      </c>
    </row>
    <row r="285">
      <c r="A285" s="6">
        <v>284.0</v>
      </c>
      <c r="B285" s="6" t="s">
        <v>5982</v>
      </c>
      <c r="C285" s="6" t="s">
        <v>5983</v>
      </c>
      <c r="D285" s="6" t="s">
        <v>129</v>
      </c>
      <c r="E285" s="6" t="s">
        <v>5765</v>
      </c>
      <c r="F285" s="6">
        <v>0.0</v>
      </c>
      <c r="G285" s="145">
        <v>46085.0</v>
      </c>
      <c r="I285" s="6" t="s">
        <v>5984</v>
      </c>
      <c r="J285" s="11">
        <v>-6.9177044E7</v>
      </c>
      <c r="K285" s="11">
        <v>1.076036014E9</v>
      </c>
      <c r="M285" s="6">
        <v>284.0</v>
      </c>
    </row>
    <row r="286">
      <c r="A286" s="6">
        <v>285.0</v>
      </c>
      <c r="B286" s="6" t="s">
        <v>5985</v>
      </c>
      <c r="C286" s="6" t="s">
        <v>5986</v>
      </c>
      <c r="D286" s="6" t="s">
        <v>5039</v>
      </c>
      <c r="E286" s="6" t="s">
        <v>5765</v>
      </c>
      <c r="F286" s="6">
        <v>0.0</v>
      </c>
      <c r="G286" s="145">
        <v>46177.0</v>
      </c>
      <c r="H286" s="6">
        <v>45.0</v>
      </c>
      <c r="I286" s="6" t="s">
        <v>5987</v>
      </c>
      <c r="J286" s="11">
        <v>-6.9103086E7</v>
      </c>
      <c r="K286" s="11">
        <v>1.076098619E9</v>
      </c>
      <c r="M286" s="6">
        <v>285.0</v>
      </c>
    </row>
    <row r="287">
      <c r="A287" s="6">
        <v>286.0</v>
      </c>
      <c r="B287" s="6" t="s">
        <v>5988</v>
      </c>
      <c r="C287" s="6" t="s">
        <v>5989</v>
      </c>
      <c r="D287" s="6" t="s">
        <v>5039</v>
      </c>
      <c r="E287" s="6" t="s">
        <v>5765</v>
      </c>
      <c r="F287" s="6">
        <v>0.0</v>
      </c>
      <c r="G287" s="145">
        <v>46116.0</v>
      </c>
      <c r="I287" s="6" t="s">
        <v>5990</v>
      </c>
      <c r="J287" s="11">
        <v>-6.9204173E7</v>
      </c>
      <c r="K287" s="11">
        <v>1.075996425E9</v>
      </c>
      <c r="M287" s="6">
        <v>286.0</v>
      </c>
    </row>
    <row r="288">
      <c r="A288" s="6">
        <v>287.0</v>
      </c>
      <c r="B288" s="6" t="s">
        <v>5991</v>
      </c>
      <c r="C288" s="6" t="s">
        <v>5992</v>
      </c>
      <c r="D288" s="6" t="s">
        <v>5036</v>
      </c>
      <c r="E288" s="6" t="s">
        <v>5765</v>
      </c>
      <c r="F288" s="6">
        <v>25000.0</v>
      </c>
      <c r="G288" s="145">
        <v>46116.0</v>
      </c>
      <c r="I288" s="6" t="s">
        <v>5993</v>
      </c>
      <c r="J288" s="11">
        <v>-6852208.0</v>
      </c>
      <c r="K288" s="11">
        <v>1.07493882E8</v>
      </c>
      <c r="M288" s="6">
        <v>287.0</v>
      </c>
    </row>
    <row r="289">
      <c r="A289" s="6">
        <v>288.0</v>
      </c>
      <c r="B289" s="6" t="s">
        <v>5994</v>
      </c>
      <c r="C289" s="6" t="s">
        <v>5995</v>
      </c>
      <c r="D289" s="6" t="s">
        <v>5055</v>
      </c>
      <c r="E289" s="6" t="s">
        <v>5765</v>
      </c>
      <c r="F289" s="6">
        <v>0.0</v>
      </c>
      <c r="G289" s="145">
        <v>46238.0</v>
      </c>
      <c r="I289" s="6" t="s">
        <v>5996</v>
      </c>
      <c r="J289" s="11">
        <v>-6.8936643E7</v>
      </c>
      <c r="K289" s="11">
        <v>1.07611271E8</v>
      </c>
      <c r="M289" s="6">
        <v>288.0</v>
      </c>
    </row>
    <row r="290">
      <c r="A290" s="6">
        <v>289.0</v>
      </c>
      <c r="B290" s="6" t="s">
        <v>5997</v>
      </c>
      <c r="C290" s="6" t="s">
        <v>5998</v>
      </c>
      <c r="D290" s="6" t="s">
        <v>5033</v>
      </c>
      <c r="E290" s="6" t="s">
        <v>5765</v>
      </c>
      <c r="F290" s="6">
        <v>10000.0</v>
      </c>
      <c r="G290" s="145">
        <v>46207.0</v>
      </c>
      <c r="I290" s="6" t="s">
        <v>5999</v>
      </c>
      <c r="J290" s="11">
        <v>-6.7875652E7</v>
      </c>
      <c r="K290" s="11">
        <v>1.075822844E9</v>
      </c>
      <c r="M290" s="6">
        <v>289.0</v>
      </c>
    </row>
    <row r="291">
      <c r="A291" s="6">
        <v>290.0</v>
      </c>
      <c r="B291" s="6" t="s">
        <v>6000</v>
      </c>
      <c r="C291" s="6" t="s">
        <v>6001</v>
      </c>
      <c r="D291" s="6" t="s">
        <v>5039</v>
      </c>
      <c r="E291" s="6" t="s">
        <v>5765</v>
      </c>
      <c r="F291" s="6">
        <v>5000.0</v>
      </c>
      <c r="G291" s="145">
        <v>46177.0</v>
      </c>
      <c r="I291" s="6" t="s">
        <v>6002</v>
      </c>
      <c r="J291" s="11">
        <v>-6.8597474E7</v>
      </c>
      <c r="K291" s="11">
        <v>1.075941693E9</v>
      </c>
      <c r="M291" s="6">
        <v>290.0</v>
      </c>
    </row>
    <row r="292">
      <c r="A292" s="6">
        <v>291.0</v>
      </c>
      <c r="B292" s="6" t="s">
        <v>6003</v>
      </c>
      <c r="C292" s="6" t="s">
        <v>6004</v>
      </c>
      <c r="D292" s="6" t="s">
        <v>5036</v>
      </c>
      <c r="E292" s="6" t="s">
        <v>5765</v>
      </c>
      <c r="F292" s="6">
        <v>50000.0</v>
      </c>
      <c r="G292" s="6">
        <v>4.0</v>
      </c>
      <c r="I292" s="6" t="s">
        <v>6005</v>
      </c>
      <c r="J292" s="11">
        <v>-6.9805807E7</v>
      </c>
      <c r="K292" s="11">
        <v>1.075856567E9</v>
      </c>
      <c r="M292" s="6">
        <v>291.0</v>
      </c>
    </row>
    <row r="293">
      <c r="A293" s="6">
        <v>292.0</v>
      </c>
      <c r="B293" s="6" t="s">
        <v>6006</v>
      </c>
      <c r="C293" s="6" t="s">
        <v>6007</v>
      </c>
      <c r="D293" s="6" t="s">
        <v>5033</v>
      </c>
      <c r="E293" s="6" t="s">
        <v>5765</v>
      </c>
      <c r="F293" s="6">
        <v>0.0</v>
      </c>
      <c r="G293" s="145">
        <v>46177.0</v>
      </c>
      <c r="I293" s="6" t="s">
        <v>6008</v>
      </c>
      <c r="J293" s="11">
        <v>-6.8116009E7</v>
      </c>
      <c r="K293" s="11">
        <v>1.075695213E9</v>
      </c>
      <c r="M293" s="6">
        <v>292.0</v>
      </c>
    </row>
    <row r="294">
      <c r="A294" s="6">
        <v>293.0</v>
      </c>
      <c r="B294" s="6" t="s">
        <v>6009</v>
      </c>
      <c r="C294" s="6" t="s">
        <v>6010</v>
      </c>
      <c r="D294" s="6" t="s">
        <v>5036</v>
      </c>
      <c r="E294" s="6" t="s">
        <v>5765</v>
      </c>
      <c r="F294" s="6">
        <v>0.0</v>
      </c>
      <c r="G294" s="145">
        <v>46146.0</v>
      </c>
      <c r="I294" s="6" t="s">
        <v>6011</v>
      </c>
      <c r="J294" s="11">
        <v>-6.9132752E7</v>
      </c>
      <c r="K294" s="11">
        <v>1.076094908E9</v>
      </c>
      <c r="M294" s="6">
        <v>293.0</v>
      </c>
    </row>
    <row r="295">
      <c r="A295" s="6">
        <v>294.0</v>
      </c>
      <c r="B295" s="6" t="s">
        <v>6012</v>
      </c>
      <c r="C295" s="6" t="s">
        <v>6013</v>
      </c>
      <c r="D295" s="6" t="s">
        <v>5039</v>
      </c>
      <c r="E295" s="6" t="s">
        <v>5765</v>
      </c>
      <c r="F295" s="6">
        <v>0.0</v>
      </c>
      <c r="G295" s="145">
        <v>46085.0</v>
      </c>
      <c r="H295" s="6">
        <v>90.0</v>
      </c>
      <c r="I295" s="6" t="s">
        <v>6014</v>
      </c>
      <c r="J295" s="11">
        <v>-6.8986869E7</v>
      </c>
      <c r="K295" s="11">
        <v>1.076077451E9</v>
      </c>
      <c r="M295" s="6">
        <v>294.0</v>
      </c>
    </row>
    <row r="296">
      <c r="A296" s="6">
        <v>295.0</v>
      </c>
      <c r="B296" s="6" t="s">
        <v>6015</v>
      </c>
      <c r="C296" s="6" t="s">
        <v>6016</v>
      </c>
      <c r="D296" s="6" t="s">
        <v>5039</v>
      </c>
      <c r="E296" s="6" t="s">
        <v>5765</v>
      </c>
      <c r="F296" s="6">
        <v>0.0</v>
      </c>
      <c r="G296" s="145">
        <v>46177.0</v>
      </c>
      <c r="I296" s="6" t="s">
        <v>6017</v>
      </c>
      <c r="J296" s="11">
        <v>-6.9406015E7</v>
      </c>
      <c r="K296" s="11">
        <v>1.076725445E9</v>
      </c>
      <c r="M296" s="6">
        <v>295.0</v>
      </c>
    </row>
    <row r="297">
      <c r="A297" s="6">
        <v>296.0</v>
      </c>
      <c r="B297" s="6" t="s">
        <v>6018</v>
      </c>
      <c r="C297" s="6" t="s">
        <v>6019</v>
      </c>
      <c r="D297" s="6" t="s">
        <v>5036</v>
      </c>
      <c r="E297" s="6" t="s">
        <v>5765</v>
      </c>
      <c r="F297" s="6">
        <v>70000.0</v>
      </c>
      <c r="G297" s="145">
        <v>46116.0</v>
      </c>
      <c r="I297" s="6" t="s">
        <v>6020</v>
      </c>
      <c r="J297" s="11">
        <v>-696323.0</v>
      </c>
      <c r="K297" s="11">
        <v>1.07626416E8</v>
      </c>
      <c r="M297" s="6">
        <v>296.0</v>
      </c>
    </row>
    <row r="298">
      <c r="A298" s="6">
        <v>297.0</v>
      </c>
      <c r="B298" s="6" t="s">
        <v>6021</v>
      </c>
      <c r="C298" s="6" t="s">
        <v>6022</v>
      </c>
      <c r="D298" s="6" t="s">
        <v>5033</v>
      </c>
      <c r="E298" s="6" t="s">
        <v>5765</v>
      </c>
      <c r="F298" s="6">
        <v>375000.0</v>
      </c>
      <c r="G298" s="145">
        <v>46116.0</v>
      </c>
      <c r="H298" s="6">
        <v>120.0</v>
      </c>
      <c r="I298" s="6" t="s">
        <v>6023</v>
      </c>
      <c r="J298" s="11">
        <v>-6.8629384E7</v>
      </c>
      <c r="K298" s="11">
        <v>1.076482191E9</v>
      </c>
      <c r="M298" s="6">
        <v>297.0</v>
      </c>
    </row>
    <row r="299">
      <c r="A299" s="6">
        <v>298.0</v>
      </c>
      <c r="B299" s="6" t="s">
        <v>6024</v>
      </c>
      <c r="C299" s="6" t="s">
        <v>6025</v>
      </c>
      <c r="D299" s="6" t="s">
        <v>5033</v>
      </c>
      <c r="E299" s="6" t="s">
        <v>5765</v>
      </c>
      <c r="F299" s="6">
        <v>0.0</v>
      </c>
      <c r="G299" s="145">
        <v>46238.0</v>
      </c>
      <c r="I299" s="6" t="s">
        <v>6026</v>
      </c>
      <c r="J299" s="11">
        <v>-6.9580556E7</v>
      </c>
      <c r="K299" s="11">
        <v>1.075205556E9</v>
      </c>
      <c r="M299" s="6">
        <v>298.0</v>
      </c>
    </row>
    <row r="300">
      <c r="A300" s="6">
        <v>299.0</v>
      </c>
      <c r="B300" s="6" t="s">
        <v>6027</v>
      </c>
      <c r="C300" s="6" t="s">
        <v>6028</v>
      </c>
      <c r="D300" s="6" t="s">
        <v>5033</v>
      </c>
      <c r="E300" s="6" t="s">
        <v>5765</v>
      </c>
      <c r="F300" s="6">
        <v>10000.0</v>
      </c>
      <c r="G300" s="145">
        <v>46085.0</v>
      </c>
      <c r="H300" s="6">
        <v>120.0</v>
      </c>
      <c r="I300" s="6" t="s">
        <v>6029</v>
      </c>
      <c r="J300" s="11">
        <v>-6.7495268E7</v>
      </c>
      <c r="K300" s="11">
        <v>1.07478658E8</v>
      </c>
      <c r="M300" s="6">
        <v>299.0</v>
      </c>
    </row>
    <row r="301">
      <c r="A301" s="6">
        <v>300.0</v>
      </c>
      <c r="B301" s="6" t="s">
        <v>6030</v>
      </c>
      <c r="C301" s="6" t="s">
        <v>6031</v>
      </c>
      <c r="D301" s="6" t="s">
        <v>5033</v>
      </c>
      <c r="E301" s="6" t="s">
        <v>5765</v>
      </c>
      <c r="F301" s="6">
        <v>10000.0</v>
      </c>
      <c r="G301" s="145">
        <v>46116.0</v>
      </c>
      <c r="I301" s="6" t="s">
        <v>6032</v>
      </c>
      <c r="J301" s="11">
        <v>-6.8765131E7</v>
      </c>
      <c r="K301" s="11">
        <v>1.073422183E9</v>
      </c>
      <c r="M301" s="6">
        <v>300.0</v>
      </c>
    </row>
    <row r="302">
      <c r="A302" s="6">
        <v>301.0</v>
      </c>
      <c r="B302" s="6" t="s">
        <v>6033</v>
      </c>
      <c r="C302" s="6" t="s">
        <v>6034</v>
      </c>
      <c r="D302" s="6" t="s">
        <v>5033</v>
      </c>
      <c r="E302" s="6" t="s">
        <v>5765</v>
      </c>
      <c r="F302" s="6">
        <v>50000.0</v>
      </c>
      <c r="G302" s="145">
        <v>46116.0</v>
      </c>
      <c r="H302" s="6">
        <v>150.0</v>
      </c>
      <c r="I302" s="6" t="s">
        <v>6035</v>
      </c>
      <c r="J302" s="11">
        <v>-6842535.0</v>
      </c>
      <c r="K302" s="11">
        <v>1.07622698E8</v>
      </c>
      <c r="M302" s="6">
        <v>301.0</v>
      </c>
    </row>
    <row r="303">
      <c r="A303" s="6">
        <v>302.0</v>
      </c>
      <c r="B303" s="6" t="s">
        <v>6036</v>
      </c>
      <c r="C303" s="6" t="s">
        <v>6037</v>
      </c>
      <c r="D303" s="6" t="s">
        <v>5055</v>
      </c>
      <c r="E303" s="6" t="s">
        <v>5765</v>
      </c>
      <c r="F303" s="6">
        <v>0.0</v>
      </c>
      <c r="G303" s="145">
        <v>46207.0</v>
      </c>
      <c r="I303" s="6" t="s">
        <v>6038</v>
      </c>
      <c r="J303" s="11">
        <v>-6.9000672E7</v>
      </c>
      <c r="K303" s="11">
        <v>1.0762587E7</v>
      </c>
      <c r="M303" s="6">
        <v>302.0</v>
      </c>
    </row>
    <row r="304">
      <c r="A304" s="6">
        <v>303.0</v>
      </c>
      <c r="B304" s="6" t="s">
        <v>6039</v>
      </c>
      <c r="C304" s="6" t="s">
        <v>6040</v>
      </c>
      <c r="D304" s="6" t="s">
        <v>5055</v>
      </c>
      <c r="E304" s="6" t="s">
        <v>5765</v>
      </c>
      <c r="F304" s="6">
        <v>0.0</v>
      </c>
      <c r="G304" s="145">
        <v>46207.0</v>
      </c>
      <c r="I304" s="6" t="s">
        <v>6041</v>
      </c>
      <c r="J304" s="11">
        <v>-6919425.0</v>
      </c>
      <c r="K304" s="11">
        <v>1.076078639E9</v>
      </c>
      <c r="M304" s="6">
        <v>303.0</v>
      </c>
    </row>
    <row r="305">
      <c r="A305" s="6">
        <v>304.0</v>
      </c>
      <c r="B305" s="6" t="s">
        <v>6042</v>
      </c>
      <c r="C305" s="6" t="s">
        <v>6043</v>
      </c>
      <c r="D305" s="6" t="s">
        <v>5033</v>
      </c>
      <c r="E305" s="6" t="s">
        <v>5765</v>
      </c>
      <c r="F305" s="6">
        <v>2500.0</v>
      </c>
      <c r="G305" s="145">
        <v>46116.0</v>
      </c>
      <c r="I305" s="6" t="s">
        <v>6044</v>
      </c>
      <c r="J305" s="11">
        <v>-7.1923281E7</v>
      </c>
      <c r="K305" s="11">
        <v>1.075510012E9</v>
      </c>
      <c r="M305" s="6">
        <v>304.0</v>
      </c>
    </row>
    <row r="306">
      <c r="A306" s="6">
        <v>305.0</v>
      </c>
      <c r="B306" s="6" t="s">
        <v>6045</v>
      </c>
      <c r="C306" s="6" t="s">
        <v>6046</v>
      </c>
      <c r="D306" s="6" t="s">
        <v>5033</v>
      </c>
      <c r="E306" s="6" t="s">
        <v>5765</v>
      </c>
      <c r="F306" s="6">
        <v>10000.0</v>
      </c>
      <c r="G306" s="145">
        <v>46177.0</v>
      </c>
      <c r="I306" s="6" t="s">
        <v>6047</v>
      </c>
      <c r="J306" s="11">
        <v>-7233689.0</v>
      </c>
      <c r="K306" s="11">
        <v>1.075342933E9</v>
      </c>
      <c r="M306" s="6">
        <v>305.0</v>
      </c>
    </row>
    <row r="307">
      <c r="A307" s="6">
        <v>306.0</v>
      </c>
      <c r="B307" s="6" t="s">
        <v>6048</v>
      </c>
      <c r="C307" s="6" t="s">
        <v>6049</v>
      </c>
      <c r="D307" s="6" t="s">
        <v>5033</v>
      </c>
      <c r="E307" s="6" t="s">
        <v>5765</v>
      </c>
      <c r="F307" s="6">
        <v>150000.0</v>
      </c>
      <c r="G307" s="145">
        <v>46177.0</v>
      </c>
      <c r="I307" s="6" t="s">
        <v>6050</v>
      </c>
      <c r="J307" s="11">
        <v>-7.1965023E7</v>
      </c>
      <c r="K307" s="11">
        <v>1.075454594E9</v>
      </c>
      <c r="M307" s="6">
        <v>306.0</v>
      </c>
    </row>
    <row r="308">
      <c r="A308" s="6">
        <v>307.0</v>
      </c>
      <c r="B308" s="6" t="s">
        <v>6051</v>
      </c>
      <c r="C308" s="6" t="s">
        <v>6052</v>
      </c>
      <c r="D308" s="6" t="s">
        <v>5033</v>
      </c>
      <c r="E308" s="6" t="s">
        <v>5765</v>
      </c>
      <c r="F308" s="6">
        <v>5000.0</v>
      </c>
      <c r="G308" s="145">
        <v>46116.0</v>
      </c>
      <c r="I308" s="6" t="s">
        <v>6053</v>
      </c>
      <c r="J308" s="11">
        <v>-7.2274463E7</v>
      </c>
      <c r="K308" s="11">
        <v>1.076050805E9</v>
      </c>
      <c r="M308" s="6">
        <v>307.0</v>
      </c>
    </row>
    <row r="309">
      <c r="A309" s="6">
        <v>308.0</v>
      </c>
      <c r="B309" s="6" t="s">
        <v>6054</v>
      </c>
      <c r="C309" s="6" t="s">
        <v>6055</v>
      </c>
      <c r="D309" s="6" t="s">
        <v>5033</v>
      </c>
      <c r="E309" s="6" t="s">
        <v>5765</v>
      </c>
      <c r="F309" s="6">
        <v>15000.0</v>
      </c>
      <c r="G309" s="145">
        <v>46085.0</v>
      </c>
      <c r="I309" s="6" t="s">
        <v>6056</v>
      </c>
      <c r="J309" s="11">
        <v>-6.7380853E7</v>
      </c>
      <c r="K309" s="11">
        <v>1.076566092E9</v>
      </c>
      <c r="M309" s="6">
        <v>308.0</v>
      </c>
    </row>
    <row r="310">
      <c r="A310" s="6">
        <v>309.0</v>
      </c>
      <c r="B310" s="6" t="s">
        <v>6057</v>
      </c>
      <c r="C310" s="6" t="s">
        <v>6058</v>
      </c>
      <c r="D310" s="6" t="s">
        <v>5033</v>
      </c>
      <c r="E310" s="6" t="s">
        <v>5765</v>
      </c>
      <c r="F310" s="6">
        <v>25000.0</v>
      </c>
      <c r="G310" s="145">
        <v>46146.0</v>
      </c>
      <c r="I310" s="6" t="s">
        <v>6059</v>
      </c>
      <c r="J310" s="11">
        <v>-6.8246311E7</v>
      </c>
      <c r="K310" s="11">
        <v>1.076171106E9</v>
      </c>
      <c r="M310" s="6">
        <v>309.0</v>
      </c>
    </row>
    <row r="311">
      <c r="A311" s="6">
        <v>310.0</v>
      </c>
      <c r="B311" s="6" t="s">
        <v>6060</v>
      </c>
      <c r="C311" s="6" t="s">
        <v>6061</v>
      </c>
      <c r="D311" s="6" t="s">
        <v>5033</v>
      </c>
      <c r="E311" s="6" t="s">
        <v>5765</v>
      </c>
      <c r="F311" s="6">
        <v>0.0</v>
      </c>
      <c r="G311" s="145">
        <v>46026.0</v>
      </c>
      <c r="H311" s="6">
        <v>45.0</v>
      </c>
      <c r="I311" s="6" t="s">
        <v>6062</v>
      </c>
      <c r="J311" s="11">
        <v>-6.8038883E7</v>
      </c>
      <c r="K311" s="11">
        <v>1.075866313E9</v>
      </c>
      <c r="M311" s="6">
        <v>310.0</v>
      </c>
    </row>
    <row r="312">
      <c r="A312" s="6">
        <v>311.0</v>
      </c>
      <c r="B312" s="6" t="s">
        <v>6063</v>
      </c>
      <c r="C312" s="6" t="s">
        <v>6064</v>
      </c>
      <c r="D312" s="6" t="s">
        <v>5033</v>
      </c>
      <c r="E312" s="6" t="s">
        <v>5765</v>
      </c>
      <c r="F312" s="6">
        <v>25000.0</v>
      </c>
      <c r="G312" s="145">
        <v>46085.0</v>
      </c>
      <c r="H312" s="6">
        <v>150.0</v>
      </c>
      <c r="I312" s="6" t="s">
        <v>6065</v>
      </c>
      <c r="J312" s="11">
        <v>-6.8294112E7</v>
      </c>
      <c r="K312" s="11">
        <v>1.076874666E9</v>
      </c>
      <c r="M312" s="6">
        <v>311.0</v>
      </c>
    </row>
    <row r="313">
      <c r="A313" s="6">
        <v>312.0</v>
      </c>
      <c r="B313" s="6" t="s">
        <v>6066</v>
      </c>
      <c r="C313" s="6" t="s">
        <v>6067</v>
      </c>
      <c r="D313" s="6" t="s">
        <v>5033</v>
      </c>
      <c r="E313" s="6" t="s">
        <v>5765</v>
      </c>
      <c r="F313" s="6">
        <v>11000.0</v>
      </c>
      <c r="G313" s="145">
        <v>46146.0</v>
      </c>
      <c r="H313" s="6">
        <v>90.0</v>
      </c>
      <c r="I313" s="6" t="s">
        <v>6068</v>
      </c>
      <c r="J313" s="11">
        <v>-6.8585841E7</v>
      </c>
      <c r="K313" s="11">
        <v>1.076306089E9</v>
      </c>
      <c r="M313" s="6">
        <v>312.0</v>
      </c>
    </row>
    <row r="314">
      <c r="A314" s="6">
        <v>313.0</v>
      </c>
      <c r="B314" s="6" t="s">
        <v>6069</v>
      </c>
      <c r="C314" s="6" t="s">
        <v>6070</v>
      </c>
      <c r="D314" s="6" t="s">
        <v>5033</v>
      </c>
      <c r="E314" s="6" t="s">
        <v>5765</v>
      </c>
      <c r="F314" s="6">
        <v>10000.0</v>
      </c>
      <c r="G314" s="145">
        <v>46116.0</v>
      </c>
      <c r="H314" s="6">
        <v>90.0</v>
      </c>
      <c r="I314" s="6" t="s">
        <v>6071</v>
      </c>
      <c r="J314" s="11">
        <v>-6.8260163E7</v>
      </c>
      <c r="K314" s="11">
        <v>1.076383564E9</v>
      </c>
      <c r="M314" s="6">
        <v>313.0</v>
      </c>
    </row>
    <row r="315">
      <c r="A315" s="6">
        <v>314.0</v>
      </c>
      <c r="B315" s="6" t="s">
        <v>6072</v>
      </c>
      <c r="C315" s="6" t="s">
        <v>6073</v>
      </c>
      <c r="D315" s="6" t="s">
        <v>5033</v>
      </c>
      <c r="E315" s="6" t="s">
        <v>5765</v>
      </c>
      <c r="F315" s="6">
        <v>0.0</v>
      </c>
      <c r="G315" s="145">
        <v>46057.0</v>
      </c>
      <c r="H315" s="6">
        <v>180.0</v>
      </c>
      <c r="I315" s="6" t="s">
        <v>6074</v>
      </c>
      <c r="J315" s="11">
        <v>-6.8426446E7</v>
      </c>
      <c r="K315" s="11">
        <v>1.076228408E9</v>
      </c>
      <c r="M315" s="6">
        <v>314.0</v>
      </c>
    </row>
    <row r="316">
      <c r="A316" s="6">
        <v>315.0</v>
      </c>
      <c r="B316" s="6" t="s">
        <v>6075</v>
      </c>
      <c r="C316" s="6" t="s">
        <v>6076</v>
      </c>
      <c r="D316" s="6" t="s">
        <v>5033</v>
      </c>
      <c r="E316" s="6" t="s">
        <v>5765</v>
      </c>
      <c r="F316" s="6">
        <v>5000.0</v>
      </c>
      <c r="G316" s="145">
        <v>46057.0</v>
      </c>
      <c r="I316" s="6" t="s">
        <v>6077</v>
      </c>
      <c r="J316" s="11">
        <v>-6.8131767E7</v>
      </c>
      <c r="K316" s="11">
        <v>1.077136367E9</v>
      </c>
      <c r="M316" s="6">
        <v>315.0</v>
      </c>
    </row>
    <row r="317">
      <c r="A317" s="6">
        <v>316.0</v>
      </c>
      <c r="B317" s="6" t="s">
        <v>6078</v>
      </c>
      <c r="C317" s="6" t="s">
        <v>6079</v>
      </c>
      <c r="D317" s="6" t="s">
        <v>5033</v>
      </c>
      <c r="E317" s="6" t="s">
        <v>5765</v>
      </c>
      <c r="F317" s="6">
        <v>10000.0</v>
      </c>
      <c r="G317" s="145">
        <v>46116.0</v>
      </c>
      <c r="I317" s="6" t="s">
        <v>6080</v>
      </c>
      <c r="J317" s="11">
        <v>-7.0182386E7</v>
      </c>
      <c r="K317" s="11">
        <v>1.072072145E9</v>
      </c>
      <c r="M317" s="6">
        <v>316.0</v>
      </c>
    </row>
    <row r="318">
      <c r="A318" s="6">
        <v>317.0</v>
      </c>
      <c r="B318" s="6" t="s">
        <v>6081</v>
      </c>
      <c r="C318" s="6" t="s">
        <v>6082</v>
      </c>
      <c r="D318" s="6" t="s">
        <v>5033</v>
      </c>
      <c r="E318" s="6" t="s">
        <v>5765</v>
      </c>
      <c r="F318" s="6">
        <v>15000.0</v>
      </c>
      <c r="G318" s="145">
        <v>46177.0</v>
      </c>
      <c r="H318" s="6">
        <v>30.0</v>
      </c>
      <c r="I318" s="6" t="s">
        <v>6083</v>
      </c>
      <c r="J318" s="11">
        <v>-6.7977383E7</v>
      </c>
      <c r="K318" s="11">
        <v>1.075783691E9</v>
      </c>
      <c r="M318" s="6">
        <v>317.0</v>
      </c>
    </row>
    <row r="319">
      <c r="A319" s="6">
        <v>318.0</v>
      </c>
      <c r="B319" s="6" t="s">
        <v>6084</v>
      </c>
      <c r="C319" s="6" t="s">
        <v>6085</v>
      </c>
      <c r="D319" s="6" t="s">
        <v>5033</v>
      </c>
      <c r="E319" s="6" t="s">
        <v>5765</v>
      </c>
      <c r="F319" s="6">
        <v>20000.0</v>
      </c>
      <c r="G319" s="145">
        <v>46146.0</v>
      </c>
      <c r="I319" s="6" t="s">
        <v>6086</v>
      </c>
      <c r="J319" s="11">
        <v>-7.1669649E7</v>
      </c>
      <c r="K319" s="11">
        <v>1.073575344E9</v>
      </c>
      <c r="M319" s="6">
        <v>318.0</v>
      </c>
    </row>
    <row r="320">
      <c r="A320" s="6">
        <v>319.0</v>
      </c>
      <c r="B320" s="6" t="s">
        <v>6087</v>
      </c>
      <c r="C320" s="6" t="s">
        <v>6088</v>
      </c>
      <c r="D320" s="6" t="s">
        <v>5033</v>
      </c>
      <c r="E320" s="6" t="s">
        <v>5765</v>
      </c>
      <c r="F320" s="6">
        <v>5000.0</v>
      </c>
      <c r="G320" s="145">
        <v>46085.0</v>
      </c>
      <c r="I320" s="6" t="s">
        <v>6089</v>
      </c>
      <c r="J320" s="11">
        <v>-7.1724126E7</v>
      </c>
      <c r="K320" s="11">
        <v>1.073766656E9</v>
      </c>
      <c r="M320" s="6">
        <v>319.0</v>
      </c>
    </row>
    <row r="321">
      <c r="A321" s="6">
        <v>320.0</v>
      </c>
      <c r="B321" s="6" t="s">
        <v>6090</v>
      </c>
      <c r="C321" s="6" t="s">
        <v>6091</v>
      </c>
      <c r="D321" s="6" t="s">
        <v>5033</v>
      </c>
      <c r="E321" s="6" t="s">
        <v>5765</v>
      </c>
      <c r="F321" s="6">
        <v>23000.0</v>
      </c>
      <c r="G321" s="145">
        <v>46268.0</v>
      </c>
      <c r="H321" s="6">
        <v>60.0</v>
      </c>
      <c r="I321" s="6" t="s">
        <v>6092</v>
      </c>
      <c r="J321" s="11">
        <v>-7.1471529E7</v>
      </c>
      <c r="K321" s="11">
        <v>1.073901424E9</v>
      </c>
      <c r="M321" s="6">
        <v>320.0</v>
      </c>
    </row>
    <row r="322">
      <c r="A322" s="6">
        <v>321.0</v>
      </c>
      <c r="B322" s="6" t="s">
        <v>6093</v>
      </c>
      <c r="C322" s="6" t="s">
        <v>6094</v>
      </c>
      <c r="D322" s="6" t="s">
        <v>5036</v>
      </c>
      <c r="E322" s="6" t="s">
        <v>5765</v>
      </c>
      <c r="F322" s="6">
        <v>30000.0</v>
      </c>
      <c r="G322" s="145">
        <v>46116.0</v>
      </c>
      <c r="I322" s="6" t="s">
        <v>6095</v>
      </c>
      <c r="J322" s="11">
        <v>-7.1675908E7</v>
      </c>
      <c r="K322" s="11">
        <v>1.073532419E9</v>
      </c>
      <c r="M322" s="6">
        <v>321.0</v>
      </c>
    </row>
    <row r="323">
      <c r="A323" s="6">
        <v>322.0</v>
      </c>
      <c r="B323" s="6" t="s">
        <v>6096</v>
      </c>
      <c r="C323" s="6" t="s">
        <v>6097</v>
      </c>
      <c r="D323" s="6" t="s">
        <v>5033</v>
      </c>
      <c r="E323" s="6" t="s">
        <v>5765</v>
      </c>
      <c r="F323" s="6">
        <v>0.0</v>
      </c>
      <c r="G323" s="145">
        <v>46057.0</v>
      </c>
      <c r="I323" s="6" t="s">
        <v>6098</v>
      </c>
      <c r="J323" s="11">
        <v>-7.1951102E7</v>
      </c>
      <c r="K323" s="11">
        <v>1.074312811E9</v>
      </c>
      <c r="M323" s="6">
        <v>322.0</v>
      </c>
    </row>
    <row r="324">
      <c r="A324" s="6">
        <v>323.0</v>
      </c>
      <c r="B324" s="6" t="s">
        <v>6099</v>
      </c>
      <c r="C324" s="6" t="s">
        <v>6100</v>
      </c>
      <c r="D324" s="6" t="s">
        <v>5033</v>
      </c>
      <c r="E324" s="6" t="s">
        <v>5765</v>
      </c>
      <c r="F324" s="6">
        <v>0.0</v>
      </c>
      <c r="G324" s="145">
        <v>46269.0</v>
      </c>
      <c r="H324" s="6">
        <v>90.0</v>
      </c>
      <c r="I324" s="6" t="s">
        <v>6101</v>
      </c>
      <c r="J324" s="11">
        <v>-6601321.0</v>
      </c>
      <c r="K324" s="11">
        <v>1.06632734E8</v>
      </c>
      <c r="M324" s="6">
        <v>323.0</v>
      </c>
    </row>
    <row r="325">
      <c r="A325" s="6">
        <v>324.0</v>
      </c>
      <c r="B325" s="6" t="s">
        <v>6102</v>
      </c>
      <c r="C325" s="6" t="s">
        <v>6103</v>
      </c>
      <c r="D325" s="6" t="s">
        <v>5033</v>
      </c>
      <c r="E325" s="6" t="s">
        <v>5765</v>
      </c>
      <c r="F325" s="6">
        <v>15000.0</v>
      </c>
      <c r="G325" s="145">
        <v>46057.0</v>
      </c>
      <c r="H325" s="6">
        <v>90.0</v>
      </c>
      <c r="I325" s="6" t="s">
        <v>6104</v>
      </c>
      <c r="J325" s="11">
        <v>-7.1147877E7</v>
      </c>
      <c r="K325" s="11">
        <v>1.074380865E9</v>
      </c>
      <c r="M325" s="6">
        <v>324.0</v>
      </c>
    </row>
    <row r="326">
      <c r="A326" s="6">
        <v>325.0</v>
      </c>
      <c r="B326" s="6" t="s">
        <v>6105</v>
      </c>
      <c r="C326" s="6" t="s">
        <v>6106</v>
      </c>
      <c r="D326" s="6" t="s">
        <v>5039</v>
      </c>
      <c r="E326" s="6" t="s">
        <v>5765</v>
      </c>
      <c r="F326" s="6">
        <v>75000.0</v>
      </c>
      <c r="G326" s="145">
        <v>46207.0</v>
      </c>
      <c r="I326" s="6" t="s">
        <v>6107</v>
      </c>
      <c r="J326" s="11">
        <v>-6.8971362E7</v>
      </c>
      <c r="K326" s="11">
        <v>1.076558466E9</v>
      </c>
      <c r="M326" s="6">
        <v>325.0</v>
      </c>
    </row>
    <row r="327">
      <c r="A327" s="6">
        <v>326.0</v>
      </c>
      <c r="B327" s="6" t="s">
        <v>6108</v>
      </c>
      <c r="C327" s="6" t="s">
        <v>6109</v>
      </c>
      <c r="D327" s="6" t="s">
        <v>5033</v>
      </c>
      <c r="E327" s="6" t="s">
        <v>5765</v>
      </c>
      <c r="F327" s="6">
        <v>10000.0</v>
      </c>
      <c r="G327" s="6">
        <v>4.0</v>
      </c>
      <c r="I327" s="6" t="s">
        <v>6110</v>
      </c>
      <c r="J327" s="11">
        <v>-6.8590047E7</v>
      </c>
      <c r="K327" s="11">
        <v>1.07568779E8</v>
      </c>
      <c r="M327" s="6">
        <v>326.0</v>
      </c>
    </row>
    <row r="328">
      <c r="A328" s="6">
        <v>327.0</v>
      </c>
      <c r="B328" s="6" t="s">
        <v>6111</v>
      </c>
      <c r="C328" s="6" t="s">
        <v>6112</v>
      </c>
      <c r="D328" s="6" t="s">
        <v>5036</v>
      </c>
      <c r="E328" s="6" t="s">
        <v>5765</v>
      </c>
      <c r="F328" s="6">
        <v>15000.0</v>
      </c>
      <c r="G328" s="145">
        <v>46116.0</v>
      </c>
      <c r="I328" s="6" t="s">
        <v>6113</v>
      </c>
      <c r="J328" s="11">
        <v>-6817327.0</v>
      </c>
      <c r="K328" s="11">
        <v>1.0761794E7</v>
      </c>
      <c r="M328" s="6">
        <v>327.0</v>
      </c>
    </row>
    <row r="329">
      <c r="A329" s="6">
        <v>328.0</v>
      </c>
      <c r="B329" s="6" t="s">
        <v>6114</v>
      </c>
      <c r="C329" s="6" t="s">
        <v>6115</v>
      </c>
      <c r="D329" s="6" t="s">
        <v>5033</v>
      </c>
      <c r="E329" s="6" t="s">
        <v>5765</v>
      </c>
      <c r="F329" s="6">
        <v>10000.0</v>
      </c>
      <c r="G329" s="145">
        <v>46146.0</v>
      </c>
      <c r="H329" s="6">
        <v>90.0</v>
      </c>
      <c r="I329" s="6" t="s">
        <v>6116</v>
      </c>
      <c r="J329" s="11">
        <v>-6.8231833E7</v>
      </c>
      <c r="K329" s="11">
        <v>1.074371655E9</v>
      </c>
      <c r="M329" s="6">
        <v>328.0</v>
      </c>
    </row>
    <row r="330">
      <c r="A330" s="6">
        <v>329.0</v>
      </c>
      <c r="B330" s="6" t="s">
        <v>6117</v>
      </c>
      <c r="C330" s="6" t="s">
        <v>6118</v>
      </c>
      <c r="D330" s="6" t="s">
        <v>5033</v>
      </c>
      <c r="E330" s="6" t="s">
        <v>5765</v>
      </c>
      <c r="F330" s="6">
        <v>0.0</v>
      </c>
      <c r="G330" s="145">
        <v>46116.0</v>
      </c>
      <c r="H330" s="6">
        <v>45.0</v>
      </c>
      <c r="I330" s="6" t="s">
        <v>6119</v>
      </c>
      <c r="J330" s="11">
        <v>-6.9588812E7</v>
      </c>
      <c r="K330" s="11">
        <v>1.074713147E9</v>
      </c>
      <c r="M330" s="6">
        <v>329.0</v>
      </c>
    </row>
    <row r="331">
      <c r="A331" s="6">
        <v>330.0</v>
      </c>
      <c r="B331" s="6" t="s">
        <v>6120</v>
      </c>
      <c r="C331" s="6" t="s">
        <v>6121</v>
      </c>
      <c r="D331" s="6" t="s">
        <v>5039</v>
      </c>
      <c r="E331" s="6" t="s">
        <v>5765</v>
      </c>
      <c r="F331" s="6">
        <v>40000.0</v>
      </c>
      <c r="G331" s="145">
        <v>46116.0</v>
      </c>
      <c r="I331" s="6" t="s">
        <v>6122</v>
      </c>
      <c r="J331" s="11">
        <v>-6.9220816E7</v>
      </c>
      <c r="K331" s="11">
        <v>1.076073182E9</v>
      </c>
      <c r="M331" s="6">
        <v>330.0</v>
      </c>
    </row>
    <row r="332">
      <c r="A332" s="6">
        <v>331.0</v>
      </c>
      <c r="B332" s="6" t="s">
        <v>6123</v>
      </c>
      <c r="C332" s="6" t="s">
        <v>6124</v>
      </c>
      <c r="D332" s="6" t="s">
        <v>5039</v>
      </c>
      <c r="E332" s="6" t="s">
        <v>5765</v>
      </c>
      <c r="F332" s="6">
        <v>175000.0</v>
      </c>
      <c r="G332" s="145">
        <v>46146.0</v>
      </c>
      <c r="H332" s="6">
        <v>150.0</v>
      </c>
      <c r="I332" s="6" t="s">
        <v>6125</v>
      </c>
      <c r="J332" s="11">
        <v>-6819875.0</v>
      </c>
      <c r="K332" s="11">
        <v>1.07618707E8</v>
      </c>
      <c r="M332" s="6">
        <v>331.0</v>
      </c>
    </row>
    <row r="333">
      <c r="A333" s="6">
        <v>332.0</v>
      </c>
      <c r="B333" s="6" t="s">
        <v>6126</v>
      </c>
      <c r="C333" s="6" t="s">
        <v>6127</v>
      </c>
      <c r="D333" s="6" t="s">
        <v>5033</v>
      </c>
      <c r="E333" s="6" t="s">
        <v>5765</v>
      </c>
      <c r="F333" s="6">
        <v>20000.0</v>
      </c>
      <c r="G333" s="145">
        <v>46177.0</v>
      </c>
      <c r="H333" s="6">
        <v>90.0</v>
      </c>
      <c r="I333" s="6" t="s">
        <v>6128</v>
      </c>
      <c r="J333" s="11">
        <v>-6.8179514E7</v>
      </c>
      <c r="K333" s="11">
        <v>1.07618914E8</v>
      </c>
      <c r="M333" s="6">
        <v>332.0</v>
      </c>
    </row>
    <row r="334">
      <c r="A334" s="6">
        <v>333.0</v>
      </c>
      <c r="B334" s="6" t="s">
        <v>6129</v>
      </c>
      <c r="C334" s="6" t="s">
        <v>6130</v>
      </c>
      <c r="D334" s="6" t="s">
        <v>5036</v>
      </c>
      <c r="E334" s="6" t="s">
        <v>5765</v>
      </c>
      <c r="F334" s="6">
        <v>20000.0</v>
      </c>
      <c r="G334" s="145">
        <v>46116.0</v>
      </c>
      <c r="I334" s="6" t="s">
        <v>6131</v>
      </c>
      <c r="J334" s="11">
        <v>-6.8186888E7</v>
      </c>
      <c r="K334" s="11">
        <v>1.076169403E9</v>
      </c>
      <c r="M334" s="6">
        <v>333.0</v>
      </c>
    </row>
    <row r="335">
      <c r="A335" s="6">
        <v>334.0</v>
      </c>
      <c r="B335" s="6" t="s">
        <v>6132</v>
      </c>
      <c r="C335" s="6" t="s">
        <v>6133</v>
      </c>
      <c r="D335" s="6" t="s">
        <v>5036</v>
      </c>
      <c r="E335" s="6" t="s">
        <v>5765</v>
      </c>
      <c r="F335" s="6">
        <v>50000.0</v>
      </c>
      <c r="G335" s="145">
        <v>46146.0</v>
      </c>
      <c r="I335" s="6" t="s">
        <v>6134</v>
      </c>
      <c r="J335" s="11">
        <v>-6.9012241E7</v>
      </c>
      <c r="K335" s="11">
        <v>1.076099853E9</v>
      </c>
      <c r="M335" s="6">
        <v>334.0</v>
      </c>
    </row>
    <row r="336">
      <c r="A336" s="6">
        <v>335.0</v>
      </c>
      <c r="B336" s="6" t="s">
        <v>6135</v>
      </c>
      <c r="C336" s="6" t="s">
        <v>6136</v>
      </c>
      <c r="D336" s="6" t="s">
        <v>5039</v>
      </c>
      <c r="E336" s="6" t="s">
        <v>6137</v>
      </c>
      <c r="F336" s="6">
        <v>10000.0</v>
      </c>
      <c r="G336" s="145">
        <v>46146.0</v>
      </c>
      <c r="I336" s="6" t="s">
        <v>6138</v>
      </c>
      <c r="J336" s="11">
        <v>-7.2098867E7</v>
      </c>
      <c r="K336" s="11">
        <v>1.103421119E9</v>
      </c>
      <c r="M336" s="6">
        <v>335.0</v>
      </c>
    </row>
    <row r="337">
      <c r="A337" s="6">
        <v>336.0</v>
      </c>
      <c r="B337" s="6" t="s">
        <v>6139</v>
      </c>
      <c r="C337" s="6" t="s">
        <v>6140</v>
      </c>
      <c r="D337" s="6" t="s">
        <v>5036</v>
      </c>
      <c r="E337" s="6" t="s">
        <v>6137</v>
      </c>
      <c r="F337" s="6">
        <v>15000.0</v>
      </c>
      <c r="G337" s="145">
        <v>46116.0</v>
      </c>
      <c r="I337" s="6" t="s">
        <v>6141</v>
      </c>
      <c r="J337" s="11">
        <v>-6.9605225E7</v>
      </c>
      <c r="K337" s="11">
        <v>1.103863941E9</v>
      </c>
      <c r="M337" s="6">
        <v>336.0</v>
      </c>
    </row>
    <row r="338">
      <c r="A338" s="6">
        <v>337.0</v>
      </c>
      <c r="B338" s="6" t="s">
        <v>6142</v>
      </c>
      <c r="C338" s="6" t="s">
        <v>6143</v>
      </c>
      <c r="D338" s="6" t="s">
        <v>5036</v>
      </c>
      <c r="E338" s="6" t="s">
        <v>6137</v>
      </c>
      <c r="F338" s="6">
        <v>3000.0</v>
      </c>
      <c r="G338" s="145">
        <v>46085.0</v>
      </c>
      <c r="H338" s="6">
        <v>30.0</v>
      </c>
      <c r="I338" s="6" t="s">
        <v>6144</v>
      </c>
      <c r="J338" s="11">
        <v>-6.9888812E7</v>
      </c>
      <c r="K338" s="11">
        <v>1.104083781E9</v>
      </c>
      <c r="M338" s="6">
        <v>337.0</v>
      </c>
    </row>
    <row r="339">
      <c r="A339" s="6">
        <v>338.0</v>
      </c>
      <c r="B339" s="6" t="s">
        <v>6145</v>
      </c>
      <c r="C339" s="6" t="s">
        <v>6146</v>
      </c>
      <c r="D339" s="6" t="s">
        <v>5039</v>
      </c>
      <c r="E339" s="6" t="s">
        <v>6137</v>
      </c>
      <c r="F339" s="6">
        <v>10000.0</v>
      </c>
      <c r="G339" s="145">
        <v>46177.0</v>
      </c>
      <c r="I339" s="6" t="s">
        <v>6147</v>
      </c>
      <c r="J339" s="11">
        <v>-6.9839099E7</v>
      </c>
      <c r="K339" s="11">
        <v>1.104104342E9</v>
      </c>
      <c r="M339" s="6">
        <v>338.0</v>
      </c>
    </row>
    <row r="340">
      <c r="A340" s="6">
        <v>339.0</v>
      </c>
      <c r="B340" s="6" t="s">
        <v>6148</v>
      </c>
      <c r="C340" s="6" t="s">
        <v>6149</v>
      </c>
      <c r="D340" s="6" t="s">
        <v>5039</v>
      </c>
      <c r="E340" s="6" t="s">
        <v>6137</v>
      </c>
      <c r="F340" s="6">
        <v>35000.0</v>
      </c>
      <c r="G340" s="145">
        <v>46146.0</v>
      </c>
      <c r="I340" s="6" t="s">
        <v>6150</v>
      </c>
      <c r="J340" s="11">
        <v>-6.9962366E7</v>
      </c>
      <c r="K340" s="11">
        <v>1.10398122E8</v>
      </c>
      <c r="M340" s="6">
        <v>339.0</v>
      </c>
    </row>
    <row r="341">
      <c r="A341" s="6">
        <v>340.0</v>
      </c>
      <c r="B341" s="6" t="s">
        <v>6151</v>
      </c>
      <c r="C341" s="6" t="s">
        <v>6152</v>
      </c>
      <c r="D341" s="6" t="s">
        <v>5036</v>
      </c>
      <c r="E341" s="6" t="s">
        <v>6137</v>
      </c>
      <c r="F341" s="6">
        <v>0.0</v>
      </c>
      <c r="G341" s="145">
        <v>46268.0</v>
      </c>
      <c r="H341" s="6">
        <v>90.0</v>
      </c>
      <c r="I341" s="6" t="s">
        <v>6153</v>
      </c>
      <c r="J341" s="11">
        <v>-7.0205245E7</v>
      </c>
      <c r="K341" s="11">
        <v>1.103754605E9</v>
      </c>
      <c r="M341" s="6">
        <v>340.0</v>
      </c>
    </row>
    <row r="342">
      <c r="A342" s="6">
        <v>341.0</v>
      </c>
      <c r="B342" s="6" t="s">
        <v>6154</v>
      </c>
      <c r="C342" s="6" t="s">
        <v>6155</v>
      </c>
      <c r="D342" s="6" t="s">
        <v>5033</v>
      </c>
      <c r="E342" s="6" t="s">
        <v>6137</v>
      </c>
      <c r="F342" s="6">
        <v>3000.0</v>
      </c>
      <c r="G342" s="145">
        <v>46085.0</v>
      </c>
      <c r="I342" s="6" t="s">
        <v>6156</v>
      </c>
      <c r="J342" s="11">
        <v>-7.0296837E7</v>
      </c>
      <c r="K342" s="11">
        <v>1.103999611E9</v>
      </c>
      <c r="M342" s="6">
        <v>341.0</v>
      </c>
    </row>
    <row r="343">
      <c r="A343" s="6">
        <v>342.0</v>
      </c>
      <c r="B343" s="6" t="s">
        <v>6157</v>
      </c>
      <c r="C343" s="6" t="s">
        <v>6158</v>
      </c>
      <c r="D343" s="6" t="s">
        <v>5036</v>
      </c>
      <c r="E343" s="6" t="s">
        <v>6137</v>
      </c>
      <c r="F343" s="6">
        <v>3000.0</v>
      </c>
      <c r="G343" s="145">
        <v>46146.0</v>
      </c>
      <c r="H343" s="6">
        <v>90.0</v>
      </c>
      <c r="I343" s="6" t="s">
        <v>6159</v>
      </c>
      <c r="J343" s="11">
        <v>-6.9909404E7</v>
      </c>
      <c r="K343" s="11">
        <v>1.104065932E9</v>
      </c>
      <c r="M343" s="6">
        <v>342.0</v>
      </c>
    </row>
    <row r="344">
      <c r="A344" s="6">
        <v>343.0</v>
      </c>
      <c r="B344" s="6" t="s">
        <v>6160</v>
      </c>
      <c r="C344" s="6" t="s">
        <v>6161</v>
      </c>
      <c r="D344" s="6" t="s">
        <v>5073</v>
      </c>
      <c r="E344" s="6" t="s">
        <v>6137</v>
      </c>
      <c r="F344" s="6">
        <v>3000.0</v>
      </c>
      <c r="G344" s="6">
        <v>4.0</v>
      </c>
      <c r="I344" s="6" t="s">
        <v>6162</v>
      </c>
      <c r="J344" s="11">
        <v>-6.9451052E7</v>
      </c>
      <c r="K344" s="11">
        <v>1.103982398E9</v>
      </c>
      <c r="M344" s="6">
        <v>343.0</v>
      </c>
    </row>
    <row r="345">
      <c r="A345" s="6">
        <v>344.0</v>
      </c>
      <c r="B345" s="6" t="s">
        <v>6163</v>
      </c>
      <c r="C345" s="6" t="s">
        <v>6164</v>
      </c>
      <c r="D345" s="6" t="s">
        <v>5073</v>
      </c>
      <c r="E345" s="6" t="s">
        <v>6137</v>
      </c>
      <c r="F345" s="6">
        <v>3000.0</v>
      </c>
      <c r="G345" s="145">
        <v>46026.0</v>
      </c>
      <c r="I345" s="6" t="s">
        <v>6165</v>
      </c>
      <c r="J345" s="11">
        <v>-6948877.0</v>
      </c>
      <c r="K345" s="11">
        <v>1.103893285E9</v>
      </c>
      <c r="M345" s="6">
        <v>344.0</v>
      </c>
    </row>
    <row r="346">
      <c r="A346" s="6">
        <v>345.0</v>
      </c>
      <c r="B346" s="6" t="s">
        <v>6166</v>
      </c>
      <c r="C346" s="6" t="s">
        <v>6167</v>
      </c>
      <c r="D346" s="6" t="s">
        <v>5039</v>
      </c>
      <c r="E346" s="6" t="s">
        <v>6137</v>
      </c>
      <c r="F346" s="6">
        <v>10000.0</v>
      </c>
      <c r="G346" s="145">
        <v>46207.0</v>
      </c>
      <c r="I346" s="6" t="s">
        <v>6168</v>
      </c>
      <c r="J346" s="11">
        <v>-6.9687731E7</v>
      </c>
      <c r="K346" s="11">
        <v>1.104319505E9</v>
      </c>
      <c r="M346" s="6">
        <v>345.0</v>
      </c>
    </row>
    <row r="347">
      <c r="A347" s="6">
        <v>346.0</v>
      </c>
      <c r="B347" s="6" t="s">
        <v>6169</v>
      </c>
      <c r="C347" s="6" t="s">
        <v>6170</v>
      </c>
      <c r="D347" s="6" t="s">
        <v>5036</v>
      </c>
      <c r="E347" s="6" t="s">
        <v>6137</v>
      </c>
      <c r="F347" s="6">
        <v>0.0</v>
      </c>
      <c r="G347" s="145">
        <v>46177.0</v>
      </c>
      <c r="H347" s="6">
        <v>45.0</v>
      </c>
      <c r="I347" s="6" t="s">
        <v>6171</v>
      </c>
      <c r="J347" s="11">
        <v>-6.9923507E7</v>
      </c>
      <c r="K347" s="11">
        <v>1.104201162E9</v>
      </c>
      <c r="M347" s="6">
        <v>346.0</v>
      </c>
    </row>
    <row r="348">
      <c r="A348" s="6">
        <v>347.0</v>
      </c>
      <c r="B348" s="6" t="s">
        <v>6172</v>
      </c>
      <c r="C348" s="6" t="s">
        <v>6173</v>
      </c>
      <c r="D348" s="6" t="s">
        <v>5036</v>
      </c>
      <c r="E348" s="6" t="s">
        <v>6137</v>
      </c>
      <c r="F348" s="6">
        <v>0.0</v>
      </c>
      <c r="G348" s="145">
        <v>46116.0</v>
      </c>
      <c r="H348" s="6">
        <v>45.0</v>
      </c>
      <c r="I348" s="6" t="s">
        <v>6174</v>
      </c>
      <c r="J348" s="11">
        <v>-6.9877936E7</v>
      </c>
      <c r="K348" s="11">
        <v>1.104172262E9</v>
      </c>
      <c r="M348" s="6">
        <v>347.0</v>
      </c>
    </row>
    <row r="349">
      <c r="A349" s="6">
        <v>348.0</v>
      </c>
      <c r="B349" s="6" t="s">
        <v>6175</v>
      </c>
      <c r="C349" s="6" t="s">
        <v>6176</v>
      </c>
      <c r="D349" s="6" t="s">
        <v>5039</v>
      </c>
      <c r="E349" s="6" t="s">
        <v>6137</v>
      </c>
      <c r="F349" s="6">
        <v>20000.0</v>
      </c>
      <c r="G349" s="145">
        <v>46207.0</v>
      </c>
      <c r="I349" s="6" t="s">
        <v>6177</v>
      </c>
      <c r="J349" s="11">
        <v>-6.9984759E7</v>
      </c>
      <c r="K349" s="11">
        <v>1.104106468E9</v>
      </c>
      <c r="M349" s="6">
        <v>348.0</v>
      </c>
    </row>
    <row r="350">
      <c r="A350" s="6">
        <v>349.0</v>
      </c>
      <c r="B350" s="6" t="s">
        <v>6178</v>
      </c>
      <c r="C350" s="6" t="s">
        <v>6179</v>
      </c>
      <c r="D350" s="6" t="s">
        <v>5033</v>
      </c>
      <c r="E350" s="6" t="s">
        <v>6137</v>
      </c>
      <c r="F350" s="6">
        <v>5000.0</v>
      </c>
      <c r="G350" s="145">
        <v>46085.0</v>
      </c>
      <c r="H350" s="6">
        <v>90.0</v>
      </c>
      <c r="I350" s="6" t="s">
        <v>6180</v>
      </c>
      <c r="J350" s="11">
        <v>-6.9685618E7</v>
      </c>
      <c r="K350" s="11">
        <v>1.103459696E9</v>
      </c>
      <c r="M350" s="6">
        <v>349.0</v>
      </c>
    </row>
    <row r="351">
      <c r="A351" s="6">
        <v>350.0</v>
      </c>
      <c r="B351" s="6" t="s">
        <v>6181</v>
      </c>
      <c r="C351" s="6" t="s">
        <v>6182</v>
      </c>
      <c r="D351" s="6" t="s">
        <v>5073</v>
      </c>
      <c r="E351" s="6" t="s">
        <v>6137</v>
      </c>
      <c r="F351" s="6">
        <v>5000.0</v>
      </c>
      <c r="G351" s="6">
        <v>4.0</v>
      </c>
      <c r="H351" s="6">
        <v>90.0</v>
      </c>
      <c r="I351" s="6" t="s">
        <v>6183</v>
      </c>
      <c r="J351" s="11">
        <v>-6.9486402E7</v>
      </c>
      <c r="K351" s="11">
        <v>1.104102923E9</v>
      </c>
      <c r="M351" s="6">
        <v>350.0</v>
      </c>
    </row>
    <row r="352">
      <c r="A352" s="6">
        <v>351.0</v>
      </c>
      <c r="B352" s="6" t="s">
        <v>6184</v>
      </c>
      <c r="C352" s="6" t="s">
        <v>6185</v>
      </c>
      <c r="D352" s="6" t="s">
        <v>5039</v>
      </c>
      <c r="E352" s="6" t="s">
        <v>6137</v>
      </c>
      <c r="F352" s="6">
        <v>50000.0</v>
      </c>
      <c r="G352" s="145">
        <v>46116.0</v>
      </c>
      <c r="I352" s="6" t="s">
        <v>6186</v>
      </c>
      <c r="J352" s="11">
        <v>-6.9684064E7</v>
      </c>
      <c r="K352" s="11">
        <v>1.104261995E9</v>
      </c>
      <c r="M352" s="6">
        <v>351.0</v>
      </c>
    </row>
    <row r="353">
      <c r="A353" s="6">
        <v>352.0</v>
      </c>
      <c r="B353" s="6" t="s">
        <v>6187</v>
      </c>
      <c r="C353" s="6" t="s">
        <v>6188</v>
      </c>
      <c r="D353" s="6" t="s">
        <v>5055</v>
      </c>
      <c r="E353" s="6" t="s">
        <v>6137</v>
      </c>
      <c r="F353" s="6">
        <v>0.0</v>
      </c>
      <c r="G353" s="145">
        <v>46177.0</v>
      </c>
      <c r="I353" s="6" t="s">
        <v>6189</v>
      </c>
      <c r="J353" s="11">
        <v>-6.9683488E7</v>
      </c>
      <c r="K353" s="11">
        <v>1.104274767E9</v>
      </c>
      <c r="M353" s="6">
        <v>352.0</v>
      </c>
    </row>
    <row r="354">
      <c r="A354" s="6">
        <v>353.0</v>
      </c>
      <c r="B354" s="6" t="s">
        <v>6190</v>
      </c>
      <c r="C354" s="6" t="s">
        <v>6191</v>
      </c>
      <c r="D354" s="6" t="s">
        <v>5036</v>
      </c>
      <c r="E354" s="6" t="s">
        <v>6137</v>
      </c>
      <c r="F354" s="6">
        <v>0.0</v>
      </c>
      <c r="G354" s="145">
        <v>46207.0</v>
      </c>
      <c r="I354" s="6" t="s">
        <v>6192</v>
      </c>
      <c r="J354" s="11">
        <v>-6.9681728E7</v>
      </c>
      <c r="K354" s="11">
        <v>1.104278262E9</v>
      </c>
      <c r="M354" s="6">
        <v>353.0</v>
      </c>
    </row>
    <row r="355">
      <c r="A355" s="6">
        <v>354.0</v>
      </c>
      <c r="B355" s="6" t="s">
        <v>6193</v>
      </c>
      <c r="C355" s="6" t="s">
        <v>6194</v>
      </c>
      <c r="D355" s="6" t="s">
        <v>5039</v>
      </c>
      <c r="E355" s="6" t="s">
        <v>6137</v>
      </c>
      <c r="F355" s="6">
        <v>10000.0</v>
      </c>
      <c r="G355" s="145">
        <v>46177.0</v>
      </c>
      <c r="H355" s="6">
        <v>90.0</v>
      </c>
      <c r="I355" s="6" t="s">
        <v>6195</v>
      </c>
      <c r="J355" s="11">
        <v>-69675.0</v>
      </c>
      <c r="K355" s="11">
        <v>1104282.0</v>
      </c>
      <c r="M355" s="6">
        <v>354.0</v>
      </c>
    </row>
    <row r="356">
      <c r="A356" s="6">
        <v>355.0</v>
      </c>
      <c r="B356" s="6" t="s">
        <v>6196</v>
      </c>
      <c r="C356" s="6" t="s">
        <v>6197</v>
      </c>
      <c r="D356" s="6" t="s">
        <v>5033</v>
      </c>
      <c r="E356" s="6" t="s">
        <v>6137</v>
      </c>
      <c r="F356" s="6">
        <v>75000.0</v>
      </c>
      <c r="G356" s="145">
        <v>46177.0</v>
      </c>
      <c r="I356" s="6" t="s">
        <v>6198</v>
      </c>
      <c r="J356" s="11">
        <v>-7.1945903E7</v>
      </c>
      <c r="K356" s="11">
        <v>1.103733583E9</v>
      </c>
      <c r="M356" s="6">
        <v>355.0</v>
      </c>
    </row>
    <row r="357">
      <c r="A357" s="6">
        <v>356.0</v>
      </c>
      <c r="B357" s="6" t="s">
        <v>6199</v>
      </c>
      <c r="C357" s="6" t="s">
        <v>6200</v>
      </c>
      <c r="D357" s="6" t="s">
        <v>5036</v>
      </c>
      <c r="E357" s="6" t="s">
        <v>6137</v>
      </c>
      <c r="F357" s="6">
        <v>150000.0</v>
      </c>
      <c r="G357" s="145">
        <v>46116.0</v>
      </c>
      <c r="H357" s="6">
        <v>180.0</v>
      </c>
      <c r="I357" s="6" t="s">
        <v>6201</v>
      </c>
      <c r="J357" s="11">
        <v>-7.2807262E7</v>
      </c>
      <c r="K357" s="11">
        <v>1.104595539E9</v>
      </c>
      <c r="M357" s="6">
        <v>356.0</v>
      </c>
    </row>
    <row r="358">
      <c r="A358" s="6">
        <v>357.0</v>
      </c>
      <c r="B358" s="6" t="s">
        <v>6202</v>
      </c>
      <c r="C358" s="6" t="s">
        <v>6203</v>
      </c>
      <c r="D358" s="6" t="s">
        <v>5033</v>
      </c>
      <c r="E358" s="6" t="s">
        <v>6137</v>
      </c>
      <c r="F358" s="6">
        <v>10000.0</v>
      </c>
      <c r="G358" s="145">
        <v>46026.0</v>
      </c>
      <c r="H358" s="6">
        <v>45.0</v>
      </c>
      <c r="I358" s="6" t="s">
        <v>6204</v>
      </c>
      <c r="J358" s="11">
        <v>-7.1157969E7</v>
      </c>
      <c r="K358" s="11">
        <v>1.104217966E9</v>
      </c>
      <c r="M358" s="6">
        <v>357.0</v>
      </c>
    </row>
    <row r="359">
      <c r="A359" s="6">
        <v>358.0</v>
      </c>
      <c r="B359" s="6" t="s">
        <v>6205</v>
      </c>
      <c r="C359" s="6" t="s">
        <v>6206</v>
      </c>
      <c r="D359" s="6" t="s">
        <v>5055</v>
      </c>
      <c r="E359" s="6" t="s">
        <v>6137</v>
      </c>
      <c r="F359" s="6">
        <v>0.0</v>
      </c>
      <c r="G359" s="145">
        <v>46026.0</v>
      </c>
      <c r="I359" s="6" t="s">
        <v>6207</v>
      </c>
      <c r="J359" s="11">
        <v>-7.0187782E7</v>
      </c>
      <c r="K359" s="11">
        <v>1.102937134E9</v>
      </c>
      <c r="M359" s="6">
        <v>358.0</v>
      </c>
    </row>
    <row r="360">
      <c r="A360" s="6">
        <v>359.0</v>
      </c>
      <c r="B360" s="6" t="s">
        <v>6208</v>
      </c>
      <c r="C360" s="6" t="s">
        <v>6209</v>
      </c>
      <c r="D360" s="6" t="s">
        <v>5033</v>
      </c>
      <c r="E360" s="6" t="s">
        <v>6137</v>
      </c>
      <c r="F360" s="6">
        <v>25000.0</v>
      </c>
      <c r="G360" s="145">
        <v>46085.0</v>
      </c>
      <c r="H360" s="6">
        <v>90.0</v>
      </c>
      <c r="I360" s="6" t="s">
        <v>6210</v>
      </c>
      <c r="J360" s="11">
        <v>-7.2255041E7</v>
      </c>
      <c r="K360" s="11">
        <v>1.103463166E9</v>
      </c>
      <c r="M360" s="6">
        <v>359.0</v>
      </c>
    </row>
    <row r="361">
      <c r="A361" s="6">
        <v>360.0</v>
      </c>
      <c r="B361" s="6" t="s">
        <v>6211</v>
      </c>
      <c r="C361" s="6" t="s">
        <v>6212</v>
      </c>
      <c r="D361" s="6" t="s">
        <v>5033</v>
      </c>
      <c r="E361" s="6" t="s">
        <v>6137</v>
      </c>
      <c r="F361" s="6">
        <v>5000.0</v>
      </c>
      <c r="G361" s="145">
        <v>46026.0</v>
      </c>
      <c r="I361" s="6" t="s">
        <v>6213</v>
      </c>
      <c r="J361" s="11">
        <v>-7.3580963E7</v>
      </c>
      <c r="K361" s="11">
        <v>1.104210681E9</v>
      </c>
      <c r="M361" s="6">
        <v>360.0</v>
      </c>
    </row>
    <row r="362">
      <c r="A362" s="6">
        <v>361.0</v>
      </c>
      <c r="B362" s="6" t="s">
        <v>6214</v>
      </c>
      <c r="C362" s="6" t="s">
        <v>6215</v>
      </c>
      <c r="D362" s="6" t="s">
        <v>5036</v>
      </c>
      <c r="E362" s="6" t="s">
        <v>6137</v>
      </c>
      <c r="F362" s="6">
        <v>10000.0</v>
      </c>
      <c r="G362" s="145">
        <v>46026.0</v>
      </c>
      <c r="I362" s="6" t="s">
        <v>6216</v>
      </c>
      <c r="J362" s="11">
        <v>-7.2141582E7</v>
      </c>
      <c r="K362" s="11">
        <v>1.103769541E9</v>
      </c>
      <c r="M362" s="6">
        <v>361.0</v>
      </c>
    </row>
    <row r="363">
      <c r="A363" s="6">
        <v>362.0</v>
      </c>
      <c r="B363" s="6" t="s">
        <v>6217</v>
      </c>
      <c r="C363" s="6" t="s">
        <v>6218</v>
      </c>
      <c r="D363" s="6" t="s">
        <v>5033</v>
      </c>
      <c r="E363" s="6" t="s">
        <v>6137</v>
      </c>
      <c r="F363" s="6">
        <v>15000.0</v>
      </c>
      <c r="G363" s="145">
        <v>46116.0</v>
      </c>
      <c r="I363" s="6" t="s">
        <v>6219</v>
      </c>
      <c r="J363" s="11">
        <v>-7.2854929E7</v>
      </c>
      <c r="K363" s="11">
        <v>1.104321671E9</v>
      </c>
      <c r="M363" s="6">
        <v>362.0</v>
      </c>
    </row>
    <row r="364">
      <c r="A364" s="6">
        <v>363.0</v>
      </c>
      <c r="B364" s="6" t="s">
        <v>6220</v>
      </c>
      <c r="C364" s="6" t="s">
        <v>6221</v>
      </c>
      <c r="D364" s="6" t="s">
        <v>5073</v>
      </c>
      <c r="E364" s="6" t="s">
        <v>6137</v>
      </c>
      <c r="F364" s="6">
        <v>5000.0</v>
      </c>
      <c r="G364" s="145">
        <v>46115.0</v>
      </c>
      <c r="I364" s="6" t="s">
        <v>6222</v>
      </c>
      <c r="J364" s="11">
        <v>-6.9545687E7</v>
      </c>
      <c r="K364" s="11">
        <v>1.103600951E9</v>
      </c>
      <c r="M364" s="6">
        <v>363.0</v>
      </c>
    </row>
    <row r="365">
      <c r="A365" s="6">
        <v>364.0</v>
      </c>
      <c r="B365" s="6" t="s">
        <v>6223</v>
      </c>
      <c r="C365" s="6" t="s">
        <v>6224</v>
      </c>
      <c r="D365" s="6" t="s">
        <v>5036</v>
      </c>
      <c r="E365" s="6" t="s">
        <v>6137</v>
      </c>
      <c r="F365" s="6">
        <v>80000.0</v>
      </c>
      <c r="G365" s="145">
        <v>46057.0</v>
      </c>
      <c r="H365" s="6">
        <v>60.0</v>
      </c>
      <c r="I365" s="6" t="s">
        <v>6225</v>
      </c>
      <c r="J365" s="11">
        <v>-7.0218894E7</v>
      </c>
      <c r="K365" s="11">
        <v>1.104383345E9</v>
      </c>
      <c r="M365" s="6">
        <v>364.0</v>
      </c>
    </row>
    <row r="366">
      <c r="A366" s="6">
        <v>365.0</v>
      </c>
      <c r="B366" s="6" t="s">
        <v>6226</v>
      </c>
      <c r="C366" s="6" t="s">
        <v>6227</v>
      </c>
      <c r="D366" s="6" t="s">
        <v>5033</v>
      </c>
      <c r="E366" s="6" t="s">
        <v>6137</v>
      </c>
      <c r="F366" s="6">
        <v>2500.0</v>
      </c>
      <c r="G366" s="145">
        <v>46085.0</v>
      </c>
      <c r="I366" s="6" t="s">
        <v>6228</v>
      </c>
      <c r="J366" s="11">
        <v>-7.0370499E7</v>
      </c>
      <c r="K366" s="11">
        <v>1.103477586E9</v>
      </c>
      <c r="M366" s="6">
        <v>365.0</v>
      </c>
    </row>
    <row r="367">
      <c r="A367" s="6">
        <v>366.0</v>
      </c>
      <c r="B367" s="6" t="s">
        <v>6229</v>
      </c>
      <c r="C367" s="6" t="s">
        <v>6230</v>
      </c>
      <c r="D367" s="6" t="s">
        <v>5036</v>
      </c>
      <c r="E367" s="6" t="s">
        <v>6137</v>
      </c>
      <c r="F367" s="6">
        <v>20000.0</v>
      </c>
      <c r="G367" s="145">
        <v>46116.0</v>
      </c>
      <c r="H367" s="6">
        <v>150.0</v>
      </c>
      <c r="I367" s="6" t="s">
        <v>6231</v>
      </c>
      <c r="J367" s="11">
        <v>-7132106.0</v>
      </c>
      <c r="K367" s="11">
        <v>1.10394523E8</v>
      </c>
      <c r="M367" s="6">
        <v>366.0</v>
      </c>
    </row>
    <row r="368">
      <c r="A368" s="6">
        <v>367.0</v>
      </c>
      <c r="B368" s="6" t="s">
        <v>6232</v>
      </c>
      <c r="C368" s="6" t="s">
        <v>6233</v>
      </c>
      <c r="D368" s="6" t="s">
        <v>5033</v>
      </c>
      <c r="E368" s="6" t="s">
        <v>6137</v>
      </c>
      <c r="F368" s="6">
        <v>7000.0</v>
      </c>
      <c r="G368" s="145">
        <v>46085.0</v>
      </c>
      <c r="I368" s="6" t="s">
        <v>6234</v>
      </c>
      <c r="J368" s="11">
        <v>-7.3126613E7</v>
      </c>
      <c r="K368" s="11">
        <v>1.103746785E9</v>
      </c>
      <c r="M368" s="6">
        <v>367.0</v>
      </c>
    </row>
    <row r="369">
      <c r="A369" s="6">
        <v>368.0</v>
      </c>
      <c r="B369" s="6" t="s">
        <v>6235</v>
      </c>
      <c r="C369" s="6" t="s">
        <v>6236</v>
      </c>
      <c r="D369" s="6" t="s">
        <v>5033</v>
      </c>
      <c r="E369" s="6" t="s">
        <v>6137</v>
      </c>
      <c r="F369" s="6">
        <v>3000.0</v>
      </c>
      <c r="G369" s="145">
        <v>46146.0</v>
      </c>
      <c r="I369" s="6" t="s">
        <v>6237</v>
      </c>
      <c r="J369" s="11">
        <v>-7267539.0</v>
      </c>
      <c r="K369" s="11">
        <v>1.10418076E8</v>
      </c>
      <c r="M369" s="6">
        <v>368.0</v>
      </c>
    </row>
    <row r="370">
      <c r="A370" s="6">
        <v>369.0</v>
      </c>
      <c r="B370" s="6" t="s">
        <v>6238</v>
      </c>
      <c r="C370" s="6" t="s">
        <v>6239</v>
      </c>
      <c r="D370" s="6" t="s">
        <v>5039</v>
      </c>
      <c r="E370" s="6" t="s">
        <v>6137</v>
      </c>
      <c r="F370" s="6">
        <v>7500.0</v>
      </c>
      <c r="G370" s="145">
        <v>46116.0</v>
      </c>
      <c r="H370" s="6">
        <v>20.0</v>
      </c>
      <c r="I370" s="6" t="s">
        <v>6240</v>
      </c>
      <c r="J370" s="11">
        <v>-7.2598861E7</v>
      </c>
      <c r="K370" s="11">
        <v>1.104025602E9</v>
      </c>
      <c r="M370" s="6">
        <v>369.0</v>
      </c>
    </row>
    <row r="371">
      <c r="A371" s="6">
        <v>370.0</v>
      </c>
      <c r="B371" s="6" t="s">
        <v>6241</v>
      </c>
      <c r="C371" s="6" t="s">
        <v>6242</v>
      </c>
      <c r="D371" s="6" t="s">
        <v>5039</v>
      </c>
      <c r="E371" s="6" t="s">
        <v>6137</v>
      </c>
      <c r="F371" s="6">
        <v>5000.0</v>
      </c>
      <c r="G371" s="145">
        <v>46057.0</v>
      </c>
      <c r="H371" s="6">
        <v>60.0</v>
      </c>
      <c r="I371" s="6" t="s">
        <v>6243</v>
      </c>
      <c r="J371" s="11">
        <v>-7.2706462E7</v>
      </c>
      <c r="K371" s="11">
        <v>1.104103291E9</v>
      </c>
      <c r="M371" s="6">
        <v>370.0</v>
      </c>
    </row>
    <row r="372">
      <c r="A372" s="6">
        <v>371.0</v>
      </c>
      <c r="B372" s="6" t="s">
        <v>6244</v>
      </c>
      <c r="C372" s="6" t="s">
        <v>6245</v>
      </c>
      <c r="D372" s="6" t="s">
        <v>5033</v>
      </c>
      <c r="E372" s="6" t="s">
        <v>6137</v>
      </c>
      <c r="F372" s="6">
        <v>25000.0</v>
      </c>
      <c r="G372" s="145">
        <v>46085.0</v>
      </c>
      <c r="H372" s="6">
        <v>90.0</v>
      </c>
      <c r="I372" s="6" t="s">
        <v>6246</v>
      </c>
      <c r="J372" s="11">
        <v>-7.2531096E7</v>
      </c>
      <c r="K372" s="11">
        <v>1.104264512E9</v>
      </c>
      <c r="M372" s="6">
        <v>371.0</v>
      </c>
    </row>
    <row r="373">
      <c r="A373" s="6">
        <v>372.0</v>
      </c>
      <c r="B373" s="6" t="s">
        <v>6247</v>
      </c>
      <c r="C373" s="6" t="s">
        <v>6248</v>
      </c>
      <c r="D373" s="6" t="s">
        <v>5033</v>
      </c>
      <c r="E373" s="6" t="s">
        <v>6137</v>
      </c>
      <c r="F373" s="6">
        <v>2000.0</v>
      </c>
      <c r="G373" s="145">
        <v>46238.0</v>
      </c>
      <c r="I373" s="6" t="s">
        <v>6249</v>
      </c>
      <c r="J373" s="11">
        <v>-7.2552364E7</v>
      </c>
      <c r="K373" s="11">
        <v>1.103991897E9</v>
      </c>
      <c r="M373" s="6">
        <v>372.0</v>
      </c>
    </row>
    <row r="374">
      <c r="A374" s="6">
        <v>373.0</v>
      </c>
      <c r="B374" s="6" t="s">
        <v>6250</v>
      </c>
      <c r="C374" s="6" t="s">
        <v>6251</v>
      </c>
      <c r="D374" s="6" t="s">
        <v>5039</v>
      </c>
      <c r="E374" s="6" t="s">
        <v>6137</v>
      </c>
      <c r="F374" s="6">
        <v>10000.0</v>
      </c>
      <c r="G374" s="145">
        <v>46146.0</v>
      </c>
      <c r="H374" s="6">
        <v>60.0</v>
      </c>
      <c r="I374" s="6" t="s">
        <v>6252</v>
      </c>
      <c r="J374" s="11">
        <v>-7.2645989E7</v>
      </c>
      <c r="K374" s="11">
        <v>1.104046017E9</v>
      </c>
      <c r="M374" s="6">
        <v>373.0</v>
      </c>
    </row>
    <row r="375">
      <c r="A375" s="6">
        <v>374.0</v>
      </c>
      <c r="B375" s="6" t="s">
        <v>6253</v>
      </c>
      <c r="C375" s="6" t="s">
        <v>6254</v>
      </c>
      <c r="D375" s="6" t="s">
        <v>5033</v>
      </c>
      <c r="E375" s="6" t="s">
        <v>6137</v>
      </c>
      <c r="F375" s="6">
        <v>6000.0</v>
      </c>
      <c r="G375" s="145">
        <v>46116.0</v>
      </c>
      <c r="I375" s="6" t="s">
        <v>6255</v>
      </c>
      <c r="J375" s="11">
        <v>-7395606.0</v>
      </c>
      <c r="K375" s="11">
        <v>1.104517727E9</v>
      </c>
      <c r="M375" s="6">
        <v>374.0</v>
      </c>
    </row>
    <row r="376">
      <c r="A376" s="6">
        <v>375.0</v>
      </c>
      <c r="B376" s="6" t="s">
        <v>6256</v>
      </c>
      <c r="C376" s="6" t="s">
        <v>6257</v>
      </c>
      <c r="D376" s="6" t="s">
        <v>5039</v>
      </c>
      <c r="E376" s="6" t="s">
        <v>6137</v>
      </c>
      <c r="F376" s="6">
        <v>0.0</v>
      </c>
      <c r="G376" s="145">
        <v>46207.0</v>
      </c>
      <c r="H376" s="6">
        <v>90.0</v>
      </c>
      <c r="I376" s="6" t="s">
        <v>6258</v>
      </c>
      <c r="J376" s="11">
        <v>-6.9681399E7</v>
      </c>
      <c r="K376" s="11">
        <v>1.104278611E9</v>
      </c>
      <c r="M376" s="6">
        <v>375.0</v>
      </c>
    </row>
    <row r="377">
      <c r="A377" s="6">
        <v>376.0</v>
      </c>
      <c r="B377" s="6" t="s">
        <v>6259</v>
      </c>
      <c r="C377" s="6" t="s">
        <v>6260</v>
      </c>
      <c r="D377" s="6" t="s">
        <v>5039</v>
      </c>
      <c r="E377" s="6" t="s">
        <v>6137</v>
      </c>
      <c r="F377" s="6">
        <v>30000.0</v>
      </c>
      <c r="G377" s="145">
        <v>46146.0</v>
      </c>
      <c r="H377" s="6">
        <v>30.0</v>
      </c>
      <c r="I377" s="6" t="s">
        <v>6261</v>
      </c>
      <c r="J377" s="11">
        <v>-6.9749923E7</v>
      </c>
      <c r="K377" s="11">
        <v>1.10424954E8</v>
      </c>
      <c r="M377" s="6">
        <v>376.0</v>
      </c>
    </row>
    <row r="378">
      <c r="A378" s="6">
        <v>377.0</v>
      </c>
      <c r="B378" s="6" t="s">
        <v>6262</v>
      </c>
      <c r="C378" s="6" t="s">
        <v>6263</v>
      </c>
      <c r="D378" s="6" t="s">
        <v>5036</v>
      </c>
      <c r="E378" s="6" t="s">
        <v>6137</v>
      </c>
      <c r="F378" s="6">
        <v>35000.0</v>
      </c>
      <c r="G378" s="145">
        <v>46146.0</v>
      </c>
      <c r="I378" s="6" t="s">
        <v>6264</v>
      </c>
      <c r="J378" s="11">
        <v>-7.2156923E7</v>
      </c>
      <c r="K378" s="11">
        <v>1.103649392E9</v>
      </c>
      <c r="M378" s="6">
        <v>377.0</v>
      </c>
    </row>
    <row r="379">
      <c r="A379" s="6">
        <v>378.0</v>
      </c>
      <c r="B379" s="6" t="s">
        <v>6265</v>
      </c>
      <c r="C379" s="6" t="s">
        <v>6266</v>
      </c>
      <c r="D379" s="6" t="s">
        <v>5036</v>
      </c>
      <c r="E379" s="6" t="s">
        <v>6137</v>
      </c>
      <c r="F379" s="6">
        <v>0.0</v>
      </c>
      <c r="G379" s="145">
        <v>46057.0</v>
      </c>
      <c r="H379" s="6">
        <v>60.0</v>
      </c>
      <c r="I379" s="6" t="s">
        <v>6267</v>
      </c>
      <c r="J379" s="11">
        <v>-7.2678201E7</v>
      </c>
      <c r="K379" s="11">
        <v>1.104483217E9</v>
      </c>
      <c r="M379" s="6">
        <v>378.0</v>
      </c>
    </row>
    <row r="380">
      <c r="A380" s="6">
        <v>379.0</v>
      </c>
      <c r="B380" s="6" t="s">
        <v>6268</v>
      </c>
      <c r="C380" s="6" t="s">
        <v>6269</v>
      </c>
      <c r="D380" s="6" t="s">
        <v>5033</v>
      </c>
      <c r="E380" s="6" t="s">
        <v>6137</v>
      </c>
      <c r="F380" s="6">
        <v>5000.0</v>
      </c>
      <c r="G380" s="145">
        <v>46085.0</v>
      </c>
      <c r="I380" s="6" t="s">
        <v>6270</v>
      </c>
      <c r="J380" s="11">
        <v>-7.2721621E7</v>
      </c>
      <c r="K380" s="11">
        <v>1.104698457E9</v>
      </c>
      <c r="M380" s="6">
        <v>379.0</v>
      </c>
    </row>
    <row r="381">
      <c r="A381" s="6">
        <v>380.0</v>
      </c>
      <c r="B381" s="6" t="s">
        <v>6271</v>
      </c>
      <c r="C381" s="6" t="s">
        <v>6272</v>
      </c>
      <c r="D381" s="6" t="s">
        <v>5055</v>
      </c>
      <c r="E381" s="6" t="s">
        <v>6137</v>
      </c>
      <c r="F381" s="6">
        <v>0.0</v>
      </c>
      <c r="G381" s="145">
        <v>46207.0</v>
      </c>
      <c r="I381" s="6" t="s">
        <v>6273</v>
      </c>
      <c r="J381" s="11">
        <v>-7.1350705E7</v>
      </c>
      <c r="K381" s="11">
        <v>1.104088131E9</v>
      </c>
      <c r="M381" s="6">
        <v>380.0</v>
      </c>
    </row>
    <row r="382">
      <c r="A382" s="6">
        <v>381.0</v>
      </c>
      <c r="B382" s="6" t="s">
        <v>6274</v>
      </c>
      <c r="C382" s="6" t="s">
        <v>6275</v>
      </c>
      <c r="D382" s="6" t="s">
        <v>5039</v>
      </c>
      <c r="E382" s="6" t="s">
        <v>6137</v>
      </c>
      <c r="F382" s="6">
        <v>0.0</v>
      </c>
      <c r="G382" s="145">
        <v>46207.0</v>
      </c>
      <c r="I382" s="6" t="s">
        <v>6276</v>
      </c>
      <c r="J382" s="11">
        <v>-6.9843485E7</v>
      </c>
      <c r="K382" s="11">
        <v>1.104093207E9</v>
      </c>
      <c r="M382" s="6">
        <v>381.0</v>
      </c>
    </row>
    <row r="383">
      <c r="A383" s="6">
        <v>382.0</v>
      </c>
      <c r="B383" s="6" t="s">
        <v>6277</v>
      </c>
      <c r="C383" s="6" t="s">
        <v>6278</v>
      </c>
      <c r="D383" s="6" t="s">
        <v>5036</v>
      </c>
      <c r="E383" s="6" t="s">
        <v>6137</v>
      </c>
      <c r="F383" s="6">
        <v>200000.0</v>
      </c>
      <c r="G383" s="145">
        <v>46085.0</v>
      </c>
      <c r="H383" s="6">
        <v>90.0</v>
      </c>
      <c r="I383" s="6" t="s">
        <v>6279</v>
      </c>
      <c r="J383" s="11">
        <v>-7.2539005E7</v>
      </c>
      <c r="K383" s="11">
        <v>1.104414953E9</v>
      </c>
      <c r="M383" s="6">
        <v>382.0</v>
      </c>
    </row>
    <row r="384">
      <c r="A384" s="6">
        <v>383.0</v>
      </c>
      <c r="B384" s="6" t="s">
        <v>6280</v>
      </c>
      <c r="C384" s="6" t="s">
        <v>6281</v>
      </c>
      <c r="D384" s="6" t="s">
        <v>5036</v>
      </c>
      <c r="E384" s="6" t="s">
        <v>6137</v>
      </c>
      <c r="F384" s="6">
        <v>0.0</v>
      </c>
      <c r="G384" s="145">
        <v>46116.0</v>
      </c>
      <c r="H384" s="6">
        <v>60.0</v>
      </c>
      <c r="I384" s="6" t="s">
        <v>6282</v>
      </c>
      <c r="J384" s="11">
        <v>-7.0388032E7</v>
      </c>
      <c r="K384" s="11">
        <v>1.104215576E9</v>
      </c>
      <c r="M384" s="6">
        <v>383.0</v>
      </c>
    </row>
    <row r="385">
      <c r="A385" s="6">
        <v>384.0</v>
      </c>
      <c r="B385" s="6" t="s">
        <v>6283</v>
      </c>
      <c r="C385" s="6" t="s">
        <v>6284</v>
      </c>
      <c r="D385" s="6" t="s">
        <v>5039</v>
      </c>
      <c r="E385" s="6" t="s">
        <v>6137</v>
      </c>
      <c r="F385" s="6">
        <v>0.0</v>
      </c>
      <c r="G385" s="145">
        <v>46146.0</v>
      </c>
      <c r="H385" s="6">
        <v>90.0</v>
      </c>
      <c r="I385" s="6" t="s">
        <v>6285</v>
      </c>
      <c r="J385" s="11">
        <v>-7.0290974E7</v>
      </c>
      <c r="K385" s="11">
        <v>1.103775382E9</v>
      </c>
      <c r="M385" s="6">
        <v>384.0</v>
      </c>
    </row>
    <row r="386">
      <c r="A386" s="6">
        <v>385.0</v>
      </c>
      <c r="B386" s="6" t="s">
        <v>6286</v>
      </c>
      <c r="C386" s="6" t="s">
        <v>6287</v>
      </c>
      <c r="D386" s="6" t="s">
        <v>5039</v>
      </c>
      <c r="E386" s="6" t="s">
        <v>6137</v>
      </c>
      <c r="F386" s="6">
        <v>0.0</v>
      </c>
      <c r="G386" s="145">
        <v>46116.0</v>
      </c>
      <c r="H386" s="6">
        <v>45.0</v>
      </c>
      <c r="I386" s="6" t="s">
        <v>6288</v>
      </c>
      <c r="J386" s="11">
        <v>-6.9688821E7</v>
      </c>
      <c r="K386" s="11">
        <v>1.104318692E9</v>
      </c>
      <c r="M386" s="6">
        <v>385.0</v>
      </c>
    </row>
    <row r="387">
      <c r="A387" s="6">
        <v>386.0</v>
      </c>
      <c r="B387" s="6" t="s">
        <v>6289</v>
      </c>
      <c r="C387" s="6" t="s">
        <v>6290</v>
      </c>
      <c r="D387" s="6" t="s">
        <v>5033</v>
      </c>
      <c r="E387" s="6" t="s">
        <v>6137</v>
      </c>
      <c r="F387" s="6">
        <v>9000.0</v>
      </c>
      <c r="G387" s="145">
        <v>46116.0</v>
      </c>
      <c r="I387" s="6" t="s">
        <v>6291</v>
      </c>
      <c r="J387" s="11">
        <v>-7.1662971E7</v>
      </c>
      <c r="K387" s="11">
        <v>1.10381068E8</v>
      </c>
      <c r="M387" s="6">
        <v>386.0</v>
      </c>
    </row>
    <row r="388">
      <c r="A388" s="6">
        <v>387.0</v>
      </c>
      <c r="B388" s="6" t="s">
        <v>6292</v>
      </c>
      <c r="C388" s="6" t="s">
        <v>6293</v>
      </c>
      <c r="D388" s="6" t="s">
        <v>5033</v>
      </c>
      <c r="E388" s="6" t="s">
        <v>6137</v>
      </c>
      <c r="F388" s="6">
        <v>5500.0</v>
      </c>
      <c r="G388" s="145">
        <v>46085.0</v>
      </c>
      <c r="H388" s="6">
        <v>60.0</v>
      </c>
      <c r="I388" s="6" t="s">
        <v>6294</v>
      </c>
      <c r="J388" s="11">
        <v>-7.0372113E7</v>
      </c>
      <c r="K388" s="11">
        <v>1.103476164E9</v>
      </c>
      <c r="M388" s="6">
        <v>387.0</v>
      </c>
    </row>
    <row r="389">
      <c r="A389" s="6">
        <v>388.0</v>
      </c>
      <c r="B389" s="6" t="s">
        <v>6295</v>
      </c>
      <c r="C389" s="6" t="s">
        <v>6296</v>
      </c>
      <c r="D389" s="6" t="s">
        <v>5033</v>
      </c>
      <c r="E389" s="6" t="s">
        <v>6137</v>
      </c>
      <c r="F389" s="6">
        <v>25000.0</v>
      </c>
      <c r="G389" s="145">
        <v>46116.0</v>
      </c>
      <c r="I389" s="6" t="s">
        <v>6297</v>
      </c>
      <c r="J389" s="11">
        <v>-7.1298066E7</v>
      </c>
      <c r="K389" s="11">
        <v>1.10388832E8</v>
      </c>
      <c r="M389" s="6">
        <v>388.0</v>
      </c>
    </row>
    <row r="390">
      <c r="A390" s="6">
        <v>389.0</v>
      </c>
      <c r="B390" s="6" t="s">
        <v>6298</v>
      </c>
      <c r="C390" s="6" t="s">
        <v>6299</v>
      </c>
      <c r="D390" s="6" t="s">
        <v>5033</v>
      </c>
      <c r="E390" s="6" t="s">
        <v>6137</v>
      </c>
      <c r="F390" s="6">
        <v>0.0</v>
      </c>
      <c r="G390" s="145">
        <v>46057.0</v>
      </c>
      <c r="H390" s="6">
        <v>30.0</v>
      </c>
      <c r="I390" s="6" t="s">
        <v>6300</v>
      </c>
      <c r="J390" s="11">
        <v>-7.0565164E7</v>
      </c>
      <c r="K390" s="11">
        <v>1.104862531E9</v>
      </c>
      <c r="M390" s="6">
        <v>389.0</v>
      </c>
    </row>
    <row r="391">
      <c r="A391" s="6">
        <v>390.0</v>
      </c>
      <c r="B391" s="6" t="s">
        <v>6301</v>
      </c>
      <c r="C391" s="6" t="s">
        <v>6302</v>
      </c>
      <c r="D391" s="6" t="s">
        <v>5033</v>
      </c>
      <c r="E391" s="6" t="s">
        <v>6137</v>
      </c>
      <c r="F391" s="6">
        <v>5000.0</v>
      </c>
      <c r="G391" s="145">
        <v>46026.0</v>
      </c>
      <c r="H391" s="6">
        <v>45.0</v>
      </c>
      <c r="I391" s="6" t="s">
        <v>6303</v>
      </c>
      <c r="J391" s="11">
        <v>-7.0967079E7</v>
      </c>
      <c r="K391" s="11">
        <v>1.103900517E9</v>
      </c>
      <c r="M391" s="6">
        <v>390.0</v>
      </c>
    </row>
    <row r="392">
      <c r="A392" s="6">
        <v>391.0</v>
      </c>
      <c r="B392" s="6" t="s">
        <v>6304</v>
      </c>
      <c r="C392" s="6" t="s">
        <v>6305</v>
      </c>
      <c r="D392" s="6" t="s">
        <v>5033</v>
      </c>
      <c r="E392" s="6" t="s">
        <v>6137</v>
      </c>
      <c r="F392" s="6">
        <v>7500.0</v>
      </c>
      <c r="G392" s="145">
        <v>46026.0</v>
      </c>
      <c r="H392" s="6">
        <v>45.0</v>
      </c>
      <c r="I392" s="6" t="s">
        <v>6306</v>
      </c>
      <c r="J392" s="11">
        <v>-7.2241813E7</v>
      </c>
      <c r="K392" s="11">
        <v>1.103782661E9</v>
      </c>
      <c r="M392" s="6">
        <v>391.0</v>
      </c>
    </row>
    <row r="393">
      <c r="A393" s="6">
        <v>392.0</v>
      </c>
      <c r="B393" s="6" t="s">
        <v>3199</v>
      </c>
      <c r="C393" s="6" t="s">
        <v>4026</v>
      </c>
      <c r="D393" s="6" t="s">
        <v>5033</v>
      </c>
      <c r="E393" s="6" t="s">
        <v>21</v>
      </c>
      <c r="F393" s="6">
        <v>0.0</v>
      </c>
      <c r="G393" s="145">
        <v>46085.0</v>
      </c>
      <c r="H393" s="6">
        <v>60.0</v>
      </c>
      <c r="I393" s="6" t="s">
        <v>5034</v>
      </c>
      <c r="J393" s="11">
        <v>-7.3086482E7</v>
      </c>
      <c r="K393" s="11">
        <v>1.128216622E9</v>
      </c>
      <c r="M393" s="6">
        <v>392.0</v>
      </c>
    </row>
    <row r="394">
      <c r="A394" s="6">
        <v>393.0</v>
      </c>
      <c r="B394" s="6" t="s">
        <v>4032</v>
      </c>
      <c r="C394" s="6" t="s">
        <v>4033</v>
      </c>
      <c r="D394" s="6" t="s">
        <v>5033</v>
      </c>
      <c r="E394" s="6" t="s">
        <v>21</v>
      </c>
      <c r="F394" s="6">
        <v>0.0</v>
      </c>
      <c r="G394" s="145">
        <v>46116.0</v>
      </c>
      <c r="H394" s="6">
        <v>60.0</v>
      </c>
      <c r="I394" s="6" t="s">
        <v>5035</v>
      </c>
      <c r="J394" s="11">
        <v>-7.2952211E7</v>
      </c>
      <c r="K394" s="11">
        <v>1.128035603E9</v>
      </c>
      <c r="M394" s="6">
        <v>393.0</v>
      </c>
    </row>
    <row r="395">
      <c r="A395" s="6">
        <v>394.0</v>
      </c>
      <c r="B395" s="6" t="s">
        <v>4039</v>
      </c>
      <c r="C395" s="6" t="s">
        <v>4040</v>
      </c>
      <c r="D395" s="6" t="s">
        <v>5036</v>
      </c>
      <c r="E395" s="6" t="s">
        <v>21</v>
      </c>
      <c r="F395" s="6">
        <v>35000.0</v>
      </c>
      <c r="G395" s="145">
        <v>46116.0</v>
      </c>
      <c r="H395" s="6">
        <v>45.0</v>
      </c>
      <c r="I395" s="6" t="s">
        <v>5037</v>
      </c>
      <c r="J395" s="11">
        <v>-7.2356933E7</v>
      </c>
      <c r="K395" s="11">
        <v>1.127955234E9</v>
      </c>
      <c r="M395" s="6">
        <v>394.0</v>
      </c>
    </row>
    <row r="396">
      <c r="A396" s="6">
        <v>395.0</v>
      </c>
      <c r="B396" s="6" t="s">
        <v>4044</v>
      </c>
      <c r="C396" s="6" t="s">
        <v>4045</v>
      </c>
      <c r="D396" s="6" t="s">
        <v>5036</v>
      </c>
      <c r="E396" s="6" t="s">
        <v>21</v>
      </c>
      <c r="F396" s="6">
        <v>0.0</v>
      </c>
      <c r="G396" s="145">
        <v>46177.0</v>
      </c>
      <c r="I396" s="6" t="s">
        <v>5038</v>
      </c>
      <c r="J396" s="11">
        <v>-7.2614722E7</v>
      </c>
      <c r="K396" s="11">
        <v>1.127428284E9</v>
      </c>
      <c r="M396" s="6">
        <v>395.0</v>
      </c>
    </row>
    <row r="397">
      <c r="A397" s="6">
        <v>396.0</v>
      </c>
      <c r="B397" s="6" t="s">
        <v>4050</v>
      </c>
      <c r="C397" s="6" t="s">
        <v>4051</v>
      </c>
      <c r="D397" s="6" t="s">
        <v>5039</v>
      </c>
      <c r="E397" s="6" t="s">
        <v>21</v>
      </c>
      <c r="F397" s="6">
        <v>15000.0</v>
      </c>
      <c r="G397" s="145">
        <v>46116.0</v>
      </c>
      <c r="H397" s="6">
        <v>30.0</v>
      </c>
      <c r="I397" s="6" t="s">
        <v>5040</v>
      </c>
      <c r="J397" s="11">
        <v>-7.2654304E7</v>
      </c>
      <c r="K397" s="11">
        <v>1.127503052E9</v>
      </c>
      <c r="M397" s="6">
        <v>396.0</v>
      </c>
    </row>
    <row r="398">
      <c r="A398" s="6">
        <v>397.0</v>
      </c>
      <c r="B398" s="6" t="s">
        <v>2177</v>
      </c>
      <c r="C398" s="6" t="s">
        <v>4056</v>
      </c>
      <c r="D398" s="6" t="s">
        <v>5036</v>
      </c>
      <c r="E398" s="6" t="s">
        <v>21</v>
      </c>
      <c r="F398" s="6">
        <v>0.0</v>
      </c>
      <c r="G398" s="145">
        <v>46116.0</v>
      </c>
      <c r="H398" s="6">
        <v>45.0</v>
      </c>
      <c r="I398" s="6" t="s">
        <v>5041</v>
      </c>
      <c r="J398" s="11">
        <v>-7.3182202E7</v>
      </c>
      <c r="K398" s="11">
        <v>1.127842405E9</v>
      </c>
      <c r="M398" s="6">
        <v>397.0</v>
      </c>
    </row>
    <row r="399">
      <c r="A399" s="6">
        <v>398.0</v>
      </c>
      <c r="B399" s="6" t="s">
        <v>4058</v>
      </c>
      <c r="C399" s="6" t="s">
        <v>4059</v>
      </c>
      <c r="D399" s="6" t="s">
        <v>5036</v>
      </c>
      <c r="E399" s="6" t="s">
        <v>21</v>
      </c>
      <c r="F399" s="6">
        <v>0.0</v>
      </c>
      <c r="G399" s="145">
        <v>46026.0</v>
      </c>
      <c r="H399" s="6">
        <v>30.0</v>
      </c>
      <c r="I399" s="6" t="s">
        <v>5042</v>
      </c>
      <c r="J399" s="11">
        <v>-7.2662139E7</v>
      </c>
      <c r="K399" s="11">
        <v>1.12795281E8</v>
      </c>
      <c r="M399" s="6">
        <v>398.0</v>
      </c>
    </row>
    <row r="400">
      <c r="A400" s="6">
        <v>399.0</v>
      </c>
      <c r="B400" s="6" t="s">
        <v>3391</v>
      </c>
      <c r="C400" s="6" t="s">
        <v>4065</v>
      </c>
      <c r="D400" s="6" t="s">
        <v>5036</v>
      </c>
      <c r="E400" s="6" t="s">
        <v>21</v>
      </c>
      <c r="F400" s="6">
        <v>0.0</v>
      </c>
      <c r="G400" s="145">
        <v>46146.0</v>
      </c>
      <c r="H400" s="6">
        <v>20.0</v>
      </c>
      <c r="I400" s="6" t="s">
        <v>5043</v>
      </c>
      <c r="J400" s="11">
        <v>-7.3275604E7</v>
      </c>
      <c r="K400" s="11">
        <v>1.127312242E9</v>
      </c>
      <c r="M400" s="6">
        <v>399.0</v>
      </c>
    </row>
    <row r="401">
      <c r="A401" s="6">
        <v>400.0</v>
      </c>
      <c r="B401" s="6" t="s">
        <v>4070</v>
      </c>
      <c r="C401" s="6" t="s">
        <v>4071</v>
      </c>
      <c r="D401" s="6" t="s">
        <v>5033</v>
      </c>
      <c r="E401" s="6" t="s">
        <v>21</v>
      </c>
      <c r="F401" s="6">
        <v>0.0</v>
      </c>
      <c r="G401" s="145">
        <v>46085.0</v>
      </c>
      <c r="H401" s="6">
        <v>25.0</v>
      </c>
      <c r="I401" s="6" t="s">
        <v>5044</v>
      </c>
      <c r="J401" s="11">
        <v>-7.2941909E7</v>
      </c>
      <c r="K401" s="11">
        <v>1.128017238E9</v>
      </c>
      <c r="M401" s="6">
        <v>400.0</v>
      </c>
    </row>
    <row r="402">
      <c r="A402" s="6">
        <v>401.0</v>
      </c>
      <c r="B402" s="6" t="s">
        <v>2829</v>
      </c>
      <c r="C402" s="6" t="s">
        <v>4077</v>
      </c>
      <c r="D402" s="6" t="s">
        <v>5036</v>
      </c>
      <c r="E402" s="6" t="s">
        <v>21</v>
      </c>
      <c r="F402" s="6">
        <v>0.0</v>
      </c>
      <c r="G402" s="145">
        <v>46085.0</v>
      </c>
      <c r="I402" s="6" t="s">
        <v>5045</v>
      </c>
      <c r="J402" s="11">
        <v>-7.2732153E7</v>
      </c>
      <c r="K402" s="11">
        <v>1.12744102E8</v>
      </c>
      <c r="M402" s="6">
        <v>401.0</v>
      </c>
    </row>
    <row r="403">
      <c r="A403" s="6">
        <v>402.0</v>
      </c>
      <c r="B403" s="6" t="s">
        <v>4082</v>
      </c>
      <c r="C403" s="6" t="s">
        <v>5046</v>
      </c>
      <c r="D403" s="6" t="s">
        <v>129</v>
      </c>
      <c r="E403" s="6" t="s">
        <v>21</v>
      </c>
      <c r="F403" s="6">
        <v>0.0</v>
      </c>
      <c r="G403" s="145">
        <v>46146.0</v>
      </c>
      <c r="H403" s="6">
        <v>120.0</v>
      </c>
      <c r="I403" s="6" t="s">
        <v>5047</v>
      </c>
      <c r="J403" s="11">
        <v>-7251022.0</v>
      </c>
      <c r="K403" s="11">
        <v>1.126620053E9</v>
      </c>
      <c r="M403" s="6">
        <v>402.0</v>
      </c>
    </row>
    <row r="404">
      <c r="A404" s="6">
        <v>403.0</v>
      </c>
      <c r="B404" s="6" t="s">
        <v>616</v>
      </c>
      <c r="C404" s="6" t="s">
        <v>4088</v>
      </c>
      <c r="D404" s="6" t="s">
        <v>5036</v>
      </c>
      <c r="E404" s="6" t="s">
        <v>21</v>
      </c>
      <c r="F404" s="6">
        <v>0.0</v>
      </c>
      <c r="G404" s="145">
        <v>46057.0</v>
      </c>
      <c r="H404" s="6">
        <v>30.0</v>
      </c>
      <c r="I404" s="6" t="s">
        <v>5048</v>
      </c>
      <c r="J404" s="11">
        <v>-7.2220559E7</v>
      </c>
      <c r="K404" s="11">
        <v>1.127319967E9</v>
      </c>
      <c r="M404" s="6">
        <v>403.0</v>
      </c>
    </row>
    <row r="405">
      <c r="A405" s="6">
        <v>404.0</v>
      </c>
      <c r="B405" s="6" t="s">
        <v>3568</v>
      </c>
      <c r="C405" s="6" t="s">
        <v>4093</v>
      </c>
      <c r="D405" s="6" t="s">
        <v>5036</v>
      </c>
      <c r="E405" s="6" t="s">
        <v>21</v>
      </c>
      <c r="F405" s="6">
        <v>35000.0</v>
      </c>
      <c r="G405" s="145">
        <v>46057.0</v>
      </c>
      <c r="H405" s="6">
        <v>120.0</v>
      </c>
      <c r="I405" s="6" t="s">
        <v>5049</v>
      </c>
      <c r="J405" s="11">
        <v>-7.2522964E7</v>
      </c>
      <c r="K405" s="11">
        <v>1.127966952E9</v>
      </c>
      <c r="M405" s="6">
        <v>404.0</v>
      </c>
    </row>
    <row r="406">
      <c r="A406" s="6">
        <v>405.0</v>
      </c>
      <c r="B406" s="6" t="s">
        <v>523</v>
      </c>
      <c r="C406" s="6" t="s">
        <v>4099</v>
      </c>
      <c r="D406" s="6" t="s">
        <v>5036</v>
      </c>
      <c r="E406" s="6" t="s">
        <v>21</v>
      </c>
      <c r="F406" s="6">
        <v>50000.0</v>
      </c>
      <c r="G406" s="145">
        <v>46116.0</v>
      </c>
      <c r="I406" s="6" t="s">
        <v>5050</v>
      </c>
      <c r="J406" s="11">
        <v>-7.1968193E7</v>
      </c>
      <c r="K406" s="11">
        <v>1.127324578E9</v>
      </c>
      <c r="M406" s="6">
        <v>405.0</v>
      </c>
    </row>
    <row r="407">
      <c r="A407" s="6">
        <v>406.0</v>
      </c>
      <c r="B407" s="6" t="s">
        <v>2852</v>
      </c>
      <c r="C407" s="6" t="s">
        <v>4104</v>
      </c>
      <c r="D407" s="6" t="s">
        <v>5033</v>
      </c>
      <c r="E407" s="6" t="s">
        <v>21</v>
      </c>
      <c r="F407" s="6">
        <v>0.0</v>
      </c>
      <c r="G407" s="145">
        <v>46116.0</v>
      </c>
      <c r="H407" s="6">
        <v>30.0</v>
      </c>
      <c r="I407" s="6" t="s">
        <v>5051</v>
      </c>
      <c r="J407" s="11">
        <v>-7.3123655E7</v>
      </c>
      <c r="K407" s="11">
        <v>1.127889021E9</v>
      </c>
      <c r="M407" s="6">
        <v>406.0</v>
      </c>
    </row>
    <row r="408">
      <c r="A408" s="6">
        <v>407.0</v>
      </c>
      <c r="B408" s="6" t="s">
        <v>2443</v>
      </c>
      <c r="C408" s="6" t="s">
        <v>4109</v>
      </c>
      <c r="D408" s="6" t="s">
        <v>5036</v>
      </c>
      <c r="E408" s="6" t="s">
        <v>21</v>
      </c>
      <c r="F408" s="6">
        <v>0.0</v>
      </c>
      <c r="G408" s="145">
        <v>46146.0</v>
      </c>
      <c r="H408" s="6">
        <v>45.0</v>
      </c>
      <c r="I408" s="6" t="s">
        <v>5052</v>
      </c>
      <c r="J408" s="11">
        <v>-7.2573072E7</v>
      </c>
      <c r="K408" s="11">
        <v>1.127437199E9</v>
      </c>
      <c r="M408" s="6">
        <v>407.0</v>
      </c>
    </row>
    <row r="409">
      <c r="A409" s="6">
        <v>408.0</v>
      </c>
      <c r="B409" s="6" t="s">
        <v>4114</v>
      </c>
      <c r="C409" s="6" t="s">
        <v>4115</v>
      </c>
      <c r="D409" s="6" t="s">
        <v>5033</v>
      </c>
      <c r="E409" s="6" t="s">
        <v>21</v>
      </c>
      <c r="F409" s="6">
        <v>15000.0</v>
      </c>
      <c r="G409" s="145">
        <v>46085.0</v>
      </c>
      <c r="H409" s="6">
        <v>180.0</v>
      </c>
      <c r="I409" s="6" t="s">
        <v>5053</v>
      </c>
      <c r="J409" s="11">
        <v>-7.2959546E7</v>
      </c>
      <c r="K409" s="11">
        <v>1.127366094E9</v>
      </c>
      <c r="M409" s="6">
        <v>408.0</v>
      </c>
    </row>
    <row r="410">
      <c r="A410" s="6">
        <v>409.0</v>
      </c>
      <c r="B410" s="6" t="s">
        <v>4120</v>
      </c>
      <c r="C410" s="6" t="s">
        <v>4121</v>
      </c>
      <c r="D410" s="6" t="s">
        <v>5039</v>
      </c>
      <c r="E410" s="6" t="s">
        <v>21</v>
      </c>
      <c r="F410" s="6">
        <v>0.0</v>
      </c>
      <c r="G410" s="145">
        <v>46146.0</v>
      </c>
      <c r="H410" s="6">
        <v>15.0</v>
      </c>
      <c r="I410" s="6" t="s">
        <v>5054</v>
      </c>
      <c r="J410" s="11">
        <v>-7278736.0</v>
      </c>
      <c r="K410" s="11">
        <v>1.12718453E8</v>
      </c>
      <c r="M410" s="6">
        <v>409.0</v>
      </c>
    </row>
    <row r="411">
      <c r="A411" s="6">
        <v>410.0</v>
      </c>
      <c r="B411" s="6" t="s">
        <v>6307</v>
      </c>
      <c r="C411" s="6" t="s">
        <v>6308</v>
      </c>
      <c r="D411" s="6" t="s">
        <v>5036</v>
      </c>
      <c r="E411" s="6" t="s">
        <v>21</v>
      </c>
      <c r="F411" s="6">
        <v>95000.0</v>
      </c>
      <c r="G411" s="145">
        <v>46085.0</v>
      </c>
      <c r="H411" s="6">
        <v>90.0</v>
      </c>
      <c r="I411" s="6" t="s">
        <v>6309</v>
      </c>
      <c r="J411" s="11">
        <v>-7.2861707E7</v>
      </c>
      <c r="K411" s="11">
        <v>1.126333338E9</v>
      </c>
      <c r="M411" s="6">
        <v>410.0</v>
      </c>
    </row>
    <row r="412">
      <c r="A412" s="6">
        <v>411.0</v>
      </c>
      <c r="B412" s="6" t="s">
        <v>2255</v>
      </c>
      <c r="C412" s="6" t="s">
        <v>4126</v>
      </c>
      <c r="D412" s="6" t="s">
        <v>5055</v>
      </c>
      <c r="E412" s="6" t="s">
        <v>21</v>
      </c>
      <c r="F412" s="6">
        <v>0.0</v>
      </c>
      <c r="G412" s="145">
        <v>46207.0</v>
      </c>
      <c r="I412" s="6" t="s">
        <v>5056</v>
      </c>
      <c r="J412" s="11">
        <v>-7.2522754E7</v>
      </c>
      <c r="K412" s="11">
        <v>1.127468796E9</v>
      </c>
      <c r="M412" s="6">
        <v>411.0</v>
      </c>
    </row>
    <row r="413">
      <c r="A413" s="6">
        <v>412.0</v>
      </c>
      <c r="B413" s="6" t="s">
        <v>4129</v>
      </c>
      <c r="C413" s="6" t="s">
        <v>4130</v>
      </c>
      <c r="D413" s="6" t="s">
        <v>5055</v>
      </c>
      <c r="E413" s="6" t="s">
        <v>21</v>
      </c>
      <c r="F413" s="6">
        <v>0.0</v>
      </c>
      <c r="G413" s="145">
        <v>46269.0</v>
      </c>
      <c r="I413" s="6" t="s">
        <v>5057</v>
      </c>
      <c r="J413" s="11">
        <v>-7.3366141E7</v>
      </c>
      <c r="K413" s="11">
        <v>1.127151806E9</v>
      </c>
      <c r="M413" s="6">
        <v>412.0</v>
      </c>
    </row>
    <row r="414">
      <c r="A414" s="6">
        <v>413.0</v>
      </c>
      <c r="B414" s="6" t="s">
        <v>2349</v>
      </c>
      <c r="C414" s="6" t="s">
        <v>4136</v>
      </c>
      <c r="D414" s="6" t="s">
        <v>5039</v>
      </c>
      <c r="E414" s="6" t="s">
        <v>21</v>
      </c>
      <c r="F414" s="6">
        <v>2000.0</v>
      </c>
      <c r="G414" s="145">
        <v>46146.0</v>
      </c>
      <c r="I414" s="6" t="s">
        <v>5058</v>
      </c>
      <c r="J414" s="11">
        <v>-7227185.0</v>
      </c>
      <c r="K414" s="11">
        <v>1.12718997E8</v>
      </c>
      <c r="M414" s="6">
        <v>413.0</v>
      </c>
    </row>
    <row r="415">
      <c r="A415" s="6">
        <v>414.0</v>
      </c>
      <c r="B415" s="6" t="s">
        <v>4141</v>
      </c>
      <c r="C415" s="6" t="s">
        <v>4142</v>
      </c>
      <c r="D415" s="6" t="s">
        <v>5039</v>
      </c>
      <c r="E415" s="6" t="s">
        <v>21</v>
      </c>
      <c r="F415" s="6">
        <v>0.0</v>
      </c>
      <c r="G415" s="145">
        <v>46146.0</v>
      </c>
      <c r="H415" s="6">
        <v>30.0</v>
      </c>
      <c r="I415" s="6" t="s">
        <v>5059</v>
      </c>
      <c r="J415" s="11">
        <v>-7.2367447E7</v>
      </c>
      <c r="K415" s="11">
        <v>1.127383009E9</v>
      </c>
      <c r="M415" s="6">
        <v>414.0</v>
      </c>
    </row>
    <row r="416">
      <c r="A416" s="6">
        <v>415.0</v>
      </c>
      <c r="B416" s="6" t="s">
        <v>2992</v>
      </c>
      <c r="C416" s="6" t="s">
        <v>4147</v>
      </c>
      <c r="D416" s="6" t="s">
        <v>5039</v>
      </c>
      <c r="E416" s="6" t="s">
        <v>21</v>
      </c>
      <c r="F416" s="6">
        <v>5000.0</v>
      </c>
      <c r="G416" s="145">
        <v>46177.0</v>
      </c>
      <c r="H416" s="6">
        <v>60.0</v>
      </c>
      <c r="I416" s="6" t="s">
        <v>5060</v>
      </c>
      <c r="J416" s="11">
        <v>-7.2353939E7</v>
      </c>
      <c r="K416" s="11">
        <v>1.127367646E9</v>
      </c>
      <c r="M416" s="6">
        <v>415.0</v>
      </c>
    </row>
    <row r="417">
      <c r="A417" s="6">
        <v>416.0</v>
      </c>
      <c r="B417" s="6" t="s">
        <v>5061</v>
      </c>
      <c r="C417" s="6" t="s">
        <v>5062</v>
      </c>
      <c r="D417" s="6" t="s">
        <v>5039</v>
      </c>
      <c r="E417" s="6" t="s">
        <v>21</v>
      </c>
      <c r="F417" s="6">
        <v>0.0</v>
      </c>
      <c r="G417" s="145">
        <v>46116.0</v>
      </c>
      <c r="I417" s="6" t="s">
        <v>5063</v>
      </c>
      <c r="J417" s="11">
        <v>-7.2567553E7</v>
      </c>
      <c r="K417" s="11">
        <v>1.127942203E9</v>
      </c>
      <c r="M417" s="6">
        <v>416.0</v>
      </c>
    </row>
    <row r="418">
      <c r="A418" s="6">
        <v>417.0</v>
      </c>
      <c r="B418" s="6" t="s">
        <v>4151</v>
      </c>
      <c r="C418" s="6" t="s">
        <v>4152</v>
      </c>
      <c r="D418" s="6" t="s">
        <v>5039</v>
      </c>
      <c r="E418" s="6" t="s">
        <v>21</v>
      </c>
      <c r="F418" s="6">
        <v>10000.0</v>
      </c>
      <c r="G418" s="145">
        <v>46146.0</v>
      </c>
      <c r="I418" s="6" t="s">
        <v>5064</v>
      </c>
      <c r="J418" s="11">
        <v>-7246944.0</v>
      </c>
      <c r="K418" s="11">
        <v>1.12802222E8</v>
      </c>
      <c r="M418" s="6">
        <v>417.0</v>
      </c>
    </row>
    <row r="419">
      <c r="A419" s="6">
        <v>418.0</v>
      </c>
      <c r="B419" s="6" t="s">
        <v>5065</v>
      </c>
      <c r="C419" s="6" t="s">
        <v>4158</v>
      </c>
      <c r="D419" s="6" t="s">
        <v>5039</v>
      </c>
      <c r="E419" s="6" t="s">
        <v>21</v>
      </c>
      <c r="F419" s="6">
        <v>5000.0</v>
      </c>
      <c r="G419" s="145">
        <v>46207.0</v>
      </c>
      <c r="I419" s="6" t="s">
        <v>5066</v>
      </c>
      <c r="J419" s="11">
        <v>-7.2454369E7</v>
      </c>
      <c r="K419" s="11">
        <v>1.127378985E9</v>
      </c>
      <c r="M419" s="6">
        <v>418.0</v>
      </c>
    </row>
    <row r="420">
      <c r="A420" s="6">
        <v>419.0</v>
      </c>
      <c r="B420" s="6" t="s">
        <v>5067</v>
      </c>
      <c r="C420" s="6" t="s">
        <v>5068</v>
      </c>
      <c r="D420" s="6" t="s">
        <v>5039</v>
      </c>
      <c r="E420" s="6" t="s">
        <v>21</v>
      </c>
      <c r="F420" s="6">
        <v>0.0</v>
      </c>
      <c r="G420" s="145">
        <v>46207.0</v>
      </c>
      <c r="H420" s="6">
        <v>30.0</v>
      </c>
      <c r="I420" s="6" t="s">
        <v>5069</v>
      </c>
      <c r="J420" s="11">
        <v>-7246926.0</v>
      </c>
      <c r="K420" s="11">
        <v>1.1273781E7</v>
      </c>
      <c r="M420" s="6">
        <v>419.0</v>
      </c>
    </row>
    <row r="421">
      <c r="A421" s="6">
        <v>420.0</v>
      </c>
      <c r="B421" s="6" t="s">
        <v>3515</v>
      </c>
      <c r="C421" s="6" t="s">
        <v>4170</v>
      </c>
      <c r="D421" s="6" t="s">
        <v>5039</v>
      </c>
      <c r="E421" s="6" t="s">
        <v>21</v>
      </c>
      <c r="F421" s="6">
        <v>0.0</v>
      </c>
      <c r="G421" s="145">
        <v>46146.0</v>
      </c>
      <c r="H421" s="6">
        <v>45.0</v>
      </c>
      <c r="I421" s="6" t="s">
        <v>5070</v>
      </c>
      <c r="J421" s="11">
        <v>-7.2562972E7</v>
      </c>
      <c r="K421" s="11">
        <v>1.127379955E9</v>
      </c>
      <c r="M421" s="6">
        <v>420.0</v>
      </c>
    </row>
    <row r="422">
      <c r="A422" s="6">
        <v>421.0</v>
      </c>
      <c r="B422" s="6" t="s">
        <v>6310</v>
      </c>
      <c r="C422" s="6" t="s">
        <v>6311</v>
      </c>
      <c r="D422" s="6" t="s">
        <v>5039</v>
      </c>
      <c r="E422" s="6" t="s">
        <v>21</v>
      </c>
      <c r="F422" s="6">
        <v>10000.0</v>
      </c>
      <c r="G422" s="145">
        <v>46116.0</v>
      </c>
      <c r="I422" s="6" t="s">
        <v>6312</v>
      </c>
      <c r="J422" s="11">
        <v>-7240328.0</v>
      </c>
      <c r="K422" s="11">
        <v>1.12731431E8</v>
      </c>
      <c r="M422" s="6">
        <v>421.0</v>
      </c>
    </row>
    <row r="423">
      <c r="A423" s="6">
        <v>422.0</v>
      </c>
      <c r="B423" s="6" t="s">
        <v>4175</v>
      </c>
      <c r="C423" s="6" t="s">
        <v>4176</v>
      </c>
      <c r="D423" s="6" t="s">
        <v>5039</v>
      </c>
      <c r="E423" s="6" t="s">
        <v>21</v>
      </c>
      <c r="F423" s="6">
        <v>0.0</v>
      </c>
      <c r="G423" s="145">
        <v>46177.0</v>
      </c>
      <c r="H423" s="6">
        <v>15.0</v>
      </c>
      <c r="I423" s="6" t="s">
        <v>5071</v>
      </c>
      <c r="J423" s="11">
        <v>-7.1954748E7</v>
      </c>
      <c r="K423" s="11">
        <v>1.127395206E9</v>
      </c>
      <c r="M423" s="6">
        <v>422.0</v>
      </c>
    </row>
    <row r="424">
      <c r="A424" s="6">
        <v>423.0</v>
      </c>
      <c r="B424" s="6" t="s">
        <v>4181</v>
      </c>
      <c r="C424" s="6" t="s">
        <v>4182</v>
      </c>
      <c r="D424" s="6" t="s">
        <v>5039</v>
      </c>
      <c r="E424" s="6" t="s">
        <v>21</v>
      </c>
      <c r="F424" s="6">
        <v>0.0</v>
      </c>
      <c r="G424" s="145">
        <v>46177.0</v>
      </c>
      <c r="H424" s="6">
        <v>30.0</v>
      </c>
      <c r="I424" s="6" t="s">
        <v>5072</v>
      </c>
      <c r="J424" s="11">
        <v>-7.2960492E7</v>
      </c>
      <c r="K424" s="11">
        <v>1.127387012E9</v>
      </c>
      <c r="M424" s="6">
        <v>423.0</v>
      </c>
    </row>
    <row r="425">
      <c r="A425" s="6">
        <v>424.0</v>
      </c>
      <c r="B425" s="6" t="s">
        <v>4187</v>
      </c>
      <c r="C425" s="6" t="s">
        <v>4188</v>
      </c>
      <c r="D425" s="6" t="s">
        <v>5073</v>
      </c>
      <c r="E425" s="6" t="s">
        <v>21</v>
      </c>
      <c r="F425" s="6">
        <v>15000.0</v>
      </c>
      <c r="G425" s="145">
        <v>46057.0</v>
      </c>
      <c r="H425" s="6">
        <v>45.0</v>
      </c>
      <c r="I425" s="6" t="s">
        <v>5074</v>
      </c>
      <c r="J425" s="11">
        <v>-7.2509164E7</v>
      </c>
      <c r="K425" s="11">
        <v>1.128009332E9</v>
      </c>
      <c r="M425" s="6">
        <v>424.0</v>
      </c>
    </row>
    <row r="426">
      <c r="A426" s="6">
        <v>425.0</v>
      </c>
      <c r="B426" s="6" t="s">
        <v>4193</v>
      </c>
      <c r="C426" s="6" t="s">
        <v>4194</v>
      </c>
      <c r="D426" s="6" t="s">
        <v>5036</v>
      </c>
      <c r="E426" s="6" t="s">
        <v>21</v>
      </c>
      <c r="F426" s="6">
        <v>35000.0</v>
      </c>
      <c r="G426" s="145">
        <v>46026.0</v>
      </c>
      <c r="I426" s="6" t="s">
        <v>5075</v>
      </c>
      <c r="J426" s="11">
        <v>-7.2477963E7</v>
      </c>
      <c r="K426" s="11">
        <v>1.127998235E9</v>
      </c>
      <c r="M426" s="6">
        <v>425.0</v>
      </c>
    </row>
    <row r="427">
      <c r="A427" s="6">
        <v>426.0</v>
      </c>
      <c r="B427" s="6" t="s">
        <v>4199</v>
      </c>
      <c r="C427" s="6" t="s">
        <v>4200</v>
      </c>
      <c r="D427" s="6" t="s">
        <v>5039</v>
      </c>
      <c r="E427" s="6" t="s">
        <v>21</v>
      </c>
      <c r="F427" s="6">
        <v>0.0</v>
      </c>
      <c r="G427" s="145">
        <v>46207.0</v>
      </c>
      <c r="H427" s="6">
        <v>60.0</v>
      </c>
      <c r="I427" s="6" t="s">
        <v>5076</v>
      </c>
      <c r="J427" s="11">
        <v>-7.2592948E7</v>
      </c>
      <c r="K427" s="11">
        <v>1.127470512E9</v>
      </c>
      <c r="M427" s="6">
        <v>426.0</v>
      </c>
    </row>
    <row r="428">
      <c r="A428" s="6">
        <v>427.0</v>
      </c>
      <c r="B428" s="6" t="s">
        <v>4205</v>
      </c>
      <c r="C428" s="6" t="s">
        <v>4206</v>
      </c>
      <c r="D428" s="6" t="s">
        <v>5039</v>
      </c>
      <c r="E428" s="6" t="s">
        <v>21</v>
      </c>
      <c r="F428" s="6">
        <v>0.0</v>
      </c>
      <c r="G428" s="145">
        <v>46085.0</v>
      </c>
      <c r="I428" s="6" t="s">
        <v>5077</v>
      </c>
      <c r="J428" s="11">
        <v>-7.2472841E7</v>
      </c>
      <c r="K428" s="11">
        <v>1.128010814E9</v>
      </c>
      <c r="M428" s="6">
        <v>427.0</v>
      </c>
    </row>
    <row r="429">
      <c r="A429" s="6">
        <v>428.0</v>
      </c>
      <c r="B429" s="6" t="s">
        <v>4211</v>
      </c>
      <c r="C429" s="6" t="s">
        <v>4212</v>
      </c>
      <c r="D429" s="6" t="s">
        <v>5039</v>
      </c>
      <c r="E429" s="6" t="s">
        <v>21</v>
      </c>
      <c r="F429" s="6">
        <v>0.0</v>
      </c>
      <c r="G429" s="145">
        <v>46177.0</v>
      </c>
      <c r="H429" s="6">
        <v>15.0</v>
      </c>
      <c r="I429" s="6" t="s">
        <v>5078</v>
      </c>
      <c r="J429" s="11">
        <v>-7.2677755E7</v>
      </c>
      <c r="K429" s="11">
        <v>1.127443898E9</v>
      </c>
      <c r="M429" s="6">
        <v>428.0</v>
      </c>
    </row>
    <row r="430">
      <c r="A430" s="6">
        <v>429.0</v>
      </c>
      <c r="B430" s="6" t="s">
        <v>6313</v>
      </c>
      <c r="C430" s="6" t="s">
        <v>6314</v>
      </c>
      <c r="D430" s="6" t="s">
        <v>5039</v>
      </c>
      <c r="E430" s="6" t="s">
        <v>21</v>
      </c>
      <c r="F430" s="6">
        <v>0.0</v>
      </c>
      <c r="G430" s="145">
        <v>46177.0</v>
      </c>
      <c r="H430" s="6">
        <v>30.0</v>
      </c>
      <c r="I430" s="6" t="s">
        <v>6315</v>
      </c>
      <c r="J430" s="11">
        <v>-7.2308173E7</v>
      </c>
      <c r="K430" s="11">
        <v>1.127342344E9</v>
      </c>
      <c r="M430" s="6">
        <v>429.0</v>
      </c>
    </row>
    <row r="431">
      <c r="A431" s="6">
        <v>430.0</v>
      </c>
      <c r="B431" s="6" t="s">
        <v>4217</v>
      </c>
      <c r="C431" s="6" t="s">
        <v>4218</v>
      </c>
      <c r="D431" s="6" t="s">
        <v>5036</v>
      </c>
      <c r="E431" s="6" t="s">
        <v>21</v>
      </c>
      <c r="F431" s="6">
        <v>125000.0</v>
      </c>
      <c r="G431" s="145">
        <v>46116.0</v>
      </c>
      <c r="H431" s="6">
        <v>120.0</v>
      </c>
      <c r="I431" s="6" t="s">
        <v>5079</v>
      </c>
      <c r="J431" s="11">
        <v>-7.2516189E7</v>
      </c>
      <c r="K431" s="11">
        <v>1.128009694E9</v>
      </c>
      <c r="M431" s="6">
        <v>430.0</v>
      </c>
    </row>
    <row r="432">
      <c r="A432" s="6">
        <v>431.0</v>
      </c>
      <c r="B432" s="6" t="s">
        <v>6316</v>
      </c>
      <c r="C432" s="6" t="s">
        <v>6317</v>
      </c>
      <c r="D432" s="6" t="s">
        <v>5036</v>
      </c>
      <c r="E432" s="6" t="s">
        <v>21</v>
      </c>
      <c r="F432" s="6">
        <v>5000.0</v>
      </c>
      <c r="G432" s="145">
        <v>46057.0</v>
      </c>
      <c r="I432" s="6" t="s">
        <v>6318</v>
      </c>
      <c r="J432" s="11">
        <v>-7252291.0</v>
      </c>
      <c r="K432" s="11">
        <v>1.127520012E9</v>
      </c>
      <c r="M432" s="6">
        <v>431.0</v>
      </c>
    </row>
    <row r="433">
      <c r="A433" s="6">
        <v>432.0</v>
      </c>
      <c r="B433" s="6" t="s">
        <v>4223</v>
      </c>
      <c r="C433" s="6" t="s">
        <v>4224</v>
      </c>
      <c r="D433" s="6" t="s">
        <v>5036</v>
      </c>
      <c r="E433" s="6" t="s">
        <v>21</v>
      </c>
      <c r="F433" s="6">
        <v>0.0</v>
      </c>
      <c r="G433" s="145">
        <v>46116.0</v>
      </c>
      <c r="H433" s="6">
        <v>30.0</v>
      </c>
      <c r="I433" s="6" t="s">
        <v>5080</v>
      </c>
      <c r="J433" s="11">
        <v>-7.2516046E7</v>
      </c>
      <c r="K433" s="11">
        <v>1.127545983E9</v>
      </c>
      <c r="M433" s="6">
        <v>432.0</v>
      </c>
    </row>
    <row r="434">
      <c r="A434" s="6">
        <v>433.0</v>
      </c>
      <c r="B434" s="6" t="s">
        <v>2615</v>
      </c>
      <c r="C434" s="6" t="s">
        <v>4229</v>
      </c>
      <c r="D434" s="6" t="s">
        <v>5039</v>
      </c>
      <c r="E434" s="6" t="s">
        <v>21</v>
      </c>
      <c r="F434" s="6">
        <v>2000.0</v>
      </c>
      <c r="G434" s="145">
        <v>46116.0</v>
      </c>
      <c r="H434" s="6">
        <v>45.0</v>
      </c>
      <c r="I434" s="6" t="s">
        <v>5081</v>
      </c>
      <c r="J434" s="11">
        <v>-7.4338593E7</v>
      </c>
      <c r="K434" s="11">
        <v>1.127199058E9</v>
      </c>
      <c r="M434" s="6">
        <v>433.0</v>
      </c>
    </row>
    <row r="435">
      <c r="A435" s="6">
        <v>434.0</v>
      </c>
      <c r="B435" s="6" t="s">
        <v>2874</v>
      </c>
      <c r="C435" s="6" t="s">
        <v>4234</v>
      </c>
      <c r="D435" s="6" t="s">
        <v>5036</v>
      </c>
      <c r="E435" s="6" t="s">
        <v>21</v>
      </c>
      <c r="F435" s="6">
        <v>0.0</v>
      </c>
      <c r="G435" s="145">
        <v>46177.0</v>
      </c>
      <c r="I435" s="6" t="s">
        <v>5082</v>
      </c>
      <c r="J435" s="11">
        <v>-7.2913468E7</v>
      </c>
      <c r="K435" s="11">
        <v>1.127398218E9</v>
      </c>
      <c r="M435" s="6">
        <v>434.0</v>
      </c>
    </row>
    <row r="436">
      <c r="A436" s="6">
        <v>435.0</v>
      </c>
      <c r="B436" s="6" t="s">
        <v>4239</v>
      </c>
      <c r="C436" s="6" t="s">
        <v>4240</v>
      </c>
      <c r="D436" s="6" t="s">
        <v>5036</v>
      </c>
      <c r="E436" s="6" t="s">
        <v>21</v>
      </c>
      <c r="F436" s="6">
        <v>0.0</v>
      </c>
      <c r="G436" s="145">
        <v>46116.0</v>
      </c>
      <c r="H436" s="6">
        <v>45.0</v>
      </c>
      <c r="I436" s="6" t="s">
        <v>5083</v>
      </c>
      <c r="J436" s="11">
        <v>-7.2752955E7</v>
      </c>
      <c r="K436" s="11">
        <v>1.127549381E9</v>
      </c>
      <c r="M436" s="6">
        <v>435.0</v>
      </c>
    </row>
    <row r="437">
      <c r="A437" s="6">
        <v>436.0</v>
      </c>
      <c r="B437" s="6" t="s">
        <v>2145</v>
      </c>
      <c r="C437" s="6" t="s">
        <v>4245</v>
      </c>
      <c r="D437" s="6" t="s">
        <v>5036</v>
      </c>
      <c r="E437" s="6" t="s">
        <v>21</v>
      </c>
      <c r="F437" s="6">
        <v>0.0</v>
      </c>
      <c r="G437" s="145">
        <v>46177.0</v>
      </c>
      <c r="I437" s="6" t="s">
        <v>5084</v>
      </c>
      <c r="J437" s="11">
        <v>-7.2943303E7</v>
      </c>
      <c r="K437" s="11">
        <v>1.127617534E9</v>
      </c>
      <c r="M437" s="6">
        <v>436.0</v>
      </c>
    </row>
    <row r="438">
      <c r="A438" s="6">
        <v>437.0</v>
      </c>
      <c r="B438" s="6" t="s">
        <v>5085</v>
      </c>
      <c r="C438" s="6" t="s">
        <v>4248</v>
      </c>
      <c r="D438" s="6" t="s">
        <v>5055</v>
      </c>
      <c r="E438" s="6" t="s">
        <v>21</v>
      </c>
      <c r="F438" s="6">
        <v>10000.0</v>
      </c>
      <c r="G438" s="145">
        <v>46238.0</v>
      </c>
      <c r="I438" s="6" t="s">
        <v>5086</v>
      </c>
      <c r="J438" s="11">
        <v>-7.2420758E7</v>
      </c>
      <c r="K438" s="11">
        <v>1.127368158E9</v>
      </c>
      <c r="M438" s="6">
        <v>437.0</v>
      </c>
    </row>
  </sheetData>
  <autoFilter ref="$A$1:$K$438"/>
  <drawing r:id="rId1"/>
</worksheet>
</file>